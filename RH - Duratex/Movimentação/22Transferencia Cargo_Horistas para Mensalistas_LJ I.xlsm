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0490" windowHeight="7755" activeTab="1"/>
  </bookViews>
  <sheets>
    <sheet name="Bdados" sheetId="1" r:id="rId1"/>
    <sheet name="Plan1" sheetId="2" r:id="rId2"/>
    <sheet name="base ZITRHR129" sheetId="3" r:id="rId3"/>
  </sheets>
  <definedNames>
    <definedName name="_xlnm._FilterDatabase" localSheetId="0" hidden="1">Bdados!$A$1:$AL$1</definedName>
    <definedName name="_xlnm._FilterDatabase" localSheetId="1" hidden="1">Plan1!$A$1:$AR$630</definedName>
  </definedNames>
  <calcPr calcId="152511"/>
</workbook>
</file>

<file path=xl/calcChain.xml><?xml version="1.0" encoding="utf-8"?>
<calcChain xmlns="http://schemas.openxmlformats.org/spreadsheetml/2006/main">
  <c r="AM629" i="2" l="1"/>
  <c r="AM628" i="2"/>
  <c r="AM627" i="2"/>
  <c r="AM626" i="2"/>
  <c r="AM625" i="2"/>
  <c r="AM624" i="2"/>
  <c r="AM623" i="2"/>
  <c r="AM622" i="2"/>
  <c r="AM621" i="2"/>
  <c r="AM620" i="2"/>
  <c r="AM619" i="2"/>
  <c r="AM618" i="2"/>
  <c r="AM617" i="2"/>
  <c r="AM616" i="2"/>
  <c r="AM615" i="2"/>
  <c r="AM614" i="2"/>
  <c r="AM613" i="2"/>
  <c r="AM612" i="2"/>
  <c r="AM611" i="2"/>
  <c r="AM610" i="2"/>
  <c r="AM609" i="2"/>
  <c r="AM608" i="2"/>
  <c r="AM607" i="2"/>
  <c r="AM606" i="2"/>
  <c r="AM605" i="2"/>
  <c r="AM604" i="2"/>
  <c r="AM603" i="2"/>
  <c r="AM602" i="2"/>
  <c r="AM601" i="2"/>
  <c r="AM600" i="2"/>
  <c r="AM599" i="2"/>
  <c r="AM598" i="2"/>
  <c r="AM597" i="2"/>
  <c r="AM596" i="2"/>
  <c r="AM595" i="2"/>
  <c r="AM594" i="2"/>
  <c r="AM593" i="2"/>
  <c r="AM592" i="2"/>
  <c r="AM591" i="2"/>
  <c r="AM590" i="2"/>
  <c r="AM589" i="2"/>
  <c r="AM588" i="2"/>
  <c r="AM587" i="2"/>
  <c r="AM586" i="2"/>
  <c r="AM585" i="2"/>
  <c r="AM584" i="2"/>
  <c r="AM583" i="2"/>
  <c r="AM582" i="2"/>
  <c r="AM581" i="2"/>
  <c r="AM580" i="2"/>
  <c r="AM579" i="2"/>
  <c r="AM578" i="2"/>
  <c r="AM577" i="2"/>
  <c r="AM576" i="2"/>
  <c r="AM575" i="2"/>
  <c r="AM574" i="2"/>
  <c r="AM573" i="2"/>
  <c r="AM572" i="2"/>
  <c r="AM571" i="2"/>
  <c r="AM570" i="2"/>
  <c r="AM569" i="2"/>
  <c r="AM568" i="2"/>
  <c r="AM567" i="2"/>
  <c r="AM566" i="2"/>
  <c r="AM565" i="2"/>
  <c r="AM564" i="2"/>
  <c r="AM563" i="2"/>
  <c r="AM562" i="2"/>
  <c r="AM561" i="2"/>
  <c r="AM560" i="2"/>
  <c r="AM559" i="2"/>
  <c r="AM558" i="2"/>
  <c r="AM557" i="2"/>
  <c r="AM556" i="2"/>
  <c r="AM555" i="2"/>
  <c r="AM554" i="2"/>
  <c r="AM553" i="2"/>
  <c r="AM552" i="2"/>
  <c r="AM551" i="2"/>
  <c r="AM550" i="2"/>
  <c r="AM549" i="2"/>
  <c r="AM548" i="2"/>
  <c r="AM547" i="2"/>
  <c r="AM546" i="2"/>
  <c r="AM545" i="2"/>
  <c r="AM544" i="2"/>
  <c r="AM543" i="2"/>
  <c r="AM542" i="2"/>
  <c r="AM541" i="2"/>
  <c r="AM540" i="2"/>
  <c r="AM539" i="2"/>
  <c r="AM538" i="2"/>
  <c r="AM537" i="2"/>
  <c r="AM536" i="2"/>
  <c r="AM535" i="2"/>
  <c r="AM534" i="2"/>
  <c r="AM533" i="2"/>
  <c r="AM532" i="2"/>
  <c r="AM531" i="2"/>
  <c r="AM530" i="2"/>
  <c r="AM529" i="2"/>
  <c r="AM528" i="2"/>
  <c r="AM527" i="2"/>
  <c r="AM526" i="2"/>
  <c r="AM525" i="2"/>
  <c r="AM524" i="2"/>
  <c r="AM523" i="2"/>
  <c r="AM522" i="2"/>
  <c r="AM521" i="2"/>
  <c r="AM520" i="2"/>
  <c r="AM519" i="2"/>
  <c r="AM518" i="2"/>
  <c r="AM517" i="2"/>
  <c r="AM516" i="2"/>
  <c r="AM515" i="2"/>
  <c r="AM514" i="2"/>
  <c r="AM513" i="2"/>
  <c r="AM512" i="2"/>
  <c r="AM511" i="2"/>
  <c r="AM510" i="2"/>
  <c r="AM509" i="2"/>
  <c r="AM508" i="2"/>
  <c r="AM507" i="2"/>
  <c r="AM506" i="2"/>
  <c r="AM505" i="2"/>
  <c r="AM504" i="2"/>
  <c r="AM503" i="2"/>
  <c r="AM502" i="2"/>
  <c r="AM501" i="2"/>
  <c r="AM500" i="2"/>
  <c r="AM499" i="2"/>
  <c r="AM498" i="2"/>
  <c r="AM497" i="2"/>
  <c r="AM496" i="2"/>
  <c r="AM495" i="2"/>
  <c r="AM494" i="2"/>
  <c r="AM493" i="2"/>
  <c r="AM492" i="2"/>
  <c r="AM491" i="2"/>
  <c r="AM490" i="2"/>
  <c r="AM489" i="2"/>
  <c r="AM488" i="2"/>
  <c r="AM487" i="2"/>
  <c r="AM486" i="2"/>
  <c r="AM485" i="2"/>
  <c r="AM484" i="2"/>
  <c r="AM483" i="2"/>
  <c r="AM482" i="2"/>
  <c r="AM481" i="2"/>
  <c r="AM480" i="2"/>
  <c r="AM479" i="2"/>
  <c r="AM478" i="2"/>
  <c r="AM477" i="2"/>
  <c r="AM476" i="2"/>
  <c r="AM475" i="2"/>
  <c r="AM474" i="2"/>
  <c r="AM473" i="2"/>
  <c r="AM472" i="2"/>
  <c r="AM471" i="2"/>
  <c r="AM470" i="2"/>
  <c r="AM469" i="2"/>
  <c r="AM468" i="2"/>
  <c r="AM467" i="2"/>
  <c r="AM466" i="2"/>
  <c r="AM465" i="2"/>
  <c r="AM464" i="2"/>
  <c r="AM463" i="2"/>
  <c r="AM462" i="2"/>
  <c r="AM461" i="2"/>
  <c r="AM460" i="2"/>
  <c r="AM459" i="2"/>
  <c r="AM458" i="2"/>
  <c r="AM457" i="2"/>
  <c r="AM456" i="2"/>
  <c r="AM455" i="2"/>
  <c r="AM454" i="2"/>
  <c r="AM453" i="2"/>
  <c r="AM452" i="2"/>
  <c r="AM451" i="2"/>
  <c r="AM450" i="2"/>
  <c r="AM449" i="2"/>
  <c r="AM448" i="2"/>
  <c r="AM447" i="2"/>
  <c r="AM446" i="2"/>
  <c r="AM445" i="2"/>
  <c r="AM444" i="2"/>
  <c r="AM443" i="2"/>
  <c r="AM442" i="2"/>
  <c r="AM441" i="2"/>
  <c r="AM440" i="2"/>
  <c r="AM439" i="2"/>
  <c r="AM438" i="2"/>
  <c r="AM437" i="2"/>
  <c r="AM436" i="2"/>
  <c r="AM435" i="2"/>
  <c r="AM434" i="2"/>
  <c r="AM433" i="2"/>
  <c r="AM432" i="2"/>
  <c r="AM431" i="2"/>
  <c r="AM430" i="2"/>
  <c r="AM429" i="2"/>
  <c r="AM428" i="2"/>
  <c r="AM427" i="2"/>
  <c r="AM426" i="2"/>
  <c r="AM425" i="2"/>
  <c r="AM424" i="2"/>
  <c r="AM423" i="2"/>
  <c r="AM422" i="2"/>
  <c r="AM421" i="2"/>
  <c r="AM420" i="2"/>
  <c r="AM419" i="2"/>
  <c r="AM418" i="2"/>
  <c r="AM417" i="2"/>
  <c r="AM416" i="2"/>
  <c r="AM415" i="2"/>
  <c r="AM414" i="2"/>
  <c r="AM413" i="2"/>
  <c r="AM412" i="2"/>
  <c r="AM411" i="2"/>
  <c r="AM410" i="2"/>
  <c r="AM409" i="2"/>
  <c r="AM408" i="2"/>
  <c r="AM407" i="2"/>
  <c r="AM406" i="2"/>
  <c r="AM405" i="2"/>
  <c r="AM404" i="2"/>
  <c r="AM403" i="2"/>
  <c r="AM402" i="2"/>
  <c r="AM401" i="2"/>
  <c r="AM400" i="2"/>
  <c r="AM399" i="2"/>
  <c r="AM398" i="2"/>
  <c r="AM397" i="2"/>
  <c r="AM396" i="2"/>
  <c r="AM395" i="2"/>
  <c r="AM394" i="2"/>
  <c r="AM393" i="2"/>
  <c r="AM392" i="2"/>
  <c r="AM391" i="2"/>
  <c r="AM390" i="2"/>
  <c r="AM389" i="2"/>
  <c r="AM388" i="2"/>
  <c r="AM387" i="2"/>
  <c r="AM386" i="2"/>
  <c r="AM385" i="2"/>
  <c r="AM384" i="2"/>
  <c r="AM383" i="2"/>
  <c r="AM382" i="2"/>
  <c r="AM381" i="2"/>
  <c r="AM380" i="2"/>
  <c r="AM379" i="2"/>
  <c r="AM378" i="2"/>
  <c r="AM377" i="2"/>
  <c r="AM376" i="2"/>
  <c r="AM375" i="2"/>
  <c r="AM374" i="2"/>
  <c r="AM373" i="2"/>
  <c r="AM372" i="2"/>
  <c r="AM371" i="2"/>
  <c r="AM370" i="2"/>
  <c r="AM369" i="2"/>
  <c r="AM368" i="2"/>
  <c r="AM367" i="2"/>
  <c r="AM366" i="2"/>
  <c r="AM365" i="2"/>
  <c r="AM364" i="2"/>
  <c r="AM363" i="2"/>
  <c r="AM362" i="2"/>
  <c r="AM361" i="2"/>
  <c r="AM360" i="2"/>
  <c r="AM359" i="2"/>
  <c r="AM358" i="2"/>
  <c r="AM357" i="2"/>
  <c r="AM356" i="2"/>
  <c r="AM355" i="2"/>
  <c r="AM354" i="2"/>
  <c r="AM353" i="2"/>
  <c r="AM352" i="2"/>
  <c r="AM351" i="2"/>
  <c r="AM350" i="2"/>
  <c r="AM349" i="2"/>
  <c r="AM348" i="2"/>
  <c r="AM347" i="2"/>
  <c r="AM346" i="2"/>
  <c r="AM345" i="2"/>
  <c r="AM344" i="2"/>
  <c r="AM343" i="2"/>
  <c r="AM342" i="2"/>
  <c r="AM341" i="2"/>
  <c r="AM340" i="2"/>
  <c r="AM339" i="2"/>
  <c r="AM338" i="2"/>
  <c r="AM337" i="2"/>
  <c r="AM336" i="2"/>
  <c r="AM335" i="2"/>
  <c r="AM334" i="2"/>
  <c r="AM333" i="2"/>
  <c r="AM332" i="2"/>
  <c r="AM331" i="2"/>
  <c r="AM330" i="2"/>
  <c r="AM329" i="2"/>
  <c r="AM328" i="2"/>
  <c r="AM327" i="2"/>
  <c r="AM326" i="2"/>
  <c r="AM325" i="2"/>
  <c r="AM324" i="2"/>
  <c r="AM323" i="2"/>
  <c r="AM322" i="2"/>
  <c r="AM321" i="2"/>
  <c r="AM320" i="2"/>
  <c r="AM319" i="2"/>
  <c r="AM318" i="2"/>
  <c r="AM317" i="2"/>
  <c r="AM316" i="2"/>
  <c r="AM315" i="2"/>
  <c r="AM314" i="2"/>
  <c r="AM313" i="2"/>
  <c r="AM312" i="2"/>
  <c r="AM311" i="2"/>
  <c r="AM310" i="2"/>
  <c r="AM309" i="2"/>
  <c r="AM308" i="2"/>
  <c r="AM307" i="2"/>
  <c r="AM306" i="2"/>
  <c r="AM305" i="2"/>
  <c r="AM304" i="2"/>
  <c r="AM303" i="2"/>
  <c r="AM302" i="2"/>
  <c r="AM301" i="2"/>
  <c r="AM300" i="2"/>
  <c r="AM299" i="2"/>
  <c r="AM298" i="2"/>
  <c r="AM297" i="2"/>
  <c r="AM296" i="2"/>
  <c r="AM295" i="2"/>
  <c r="AM294" i="2"/>
  <c r="AM293" i="2"/>
  <c r="AM292" i="2"/>
  <c r="AM291" i="2"/>
  <c r="AM290" i="2"/>
  <c r="AM289" i="2"/>
  <c r="AM288" i="2"/>
  <c r="AM287" i="2"/>
  <c r="AM286" i="2"/>
  <c r="AM285" i="2"/>
  <c r="AM284" i="2"/>
  <c r="AM283" i="2"/>
  <c r="AM282" i="2"/>
  <c r="AM281" i="2"/>
  <c r="AM280" i="2"/>
  <c r="AM279" i="2"/>
  <c r="AM278" i="2"/>
  <c r="AM277" i="2"/>
  <c r="AM276" i="2"/>
  <c r="AM275" i="2"/>
  <c r="AM274" i="2"/>
  <c r="AM273" i="2"/>
  <c r="AM272" i="2"/>
  <c r="AM271" i="2"/>
  <c r="AM270" i="2"/>
  <c r="AM269" i="2"/>
  <c r="AM268" i="2"/>
  <c r="AM267" i="2"/>
  <c r="AM266" i="2"/>
  <c r="AM265" i="2"/>
  <c r="AM264" i="2"/>
  <c r="AM263" i="2"/>
  <c r="AM262" i="2"/>
  <c r="AM261" i="2"/>
  <c r="AM260" i="2"/>
  <c r="AM259" i="2"/>
  <c r="AM258" i="2"/>
  <c r="AM257" i="2"/>
  <c r="AM256" i="2"/>
  <c r="AM255" i="2"/>
  <c r="AM254" i="2"/>
  <c r="AM253" i="2"/>
  <c r="AM252" i="2"/>
  <c r="AM251" i="2"/>
  <c r="AM250" i="2"/>
  <c r="AM249" i="2"/>
  <c r="AM248" i="2"/>
  <c r="AM247" i="2"/>
  <c r="AM246" i="2"/>
  <c r="AM245" i="2"/>
  <c r="AM244" i="2"/>
  <c r="AM243" i="2"/>
  <c r="AM242" i="2"/>
  <c r="AM241" i="2"/>
  <c r="AM240" i="2"/>
  <c r="AM239" i="2"/>
  <c r="AM237" i="2"/>
  <c r="AM238" i="2"/>
  <c r="AM236" i="2"/>
  <c r="AM235" i="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81" i="2"/>
  <c r="AM180" i="2"/>
  <c r="AM179" i="2"/>
  <c r="AM178" i="2"/>
  <c r="AM177" i="2"/>
  <c r="AM176" i="2"/>
  <c r="AM175" i="2"/>
  <c r="AM174" i="2"/>
  <c r="AM173" i="2"/>
  <c r="AM172" i="2"/>
  <c r="AM171" i="2"/>
  <c r="AM170" i="2"/>
  <c r="AM169" i="2"/>
  <c r="AM168" i="2"/>
  <c r="AM167" i="2"/>
  <c r="AM166" i="2"/>
  <c r="AM165" i="2"/>
  <c r="AM164" i="2"/>
  <c r="AM163" i="2"/>
  <c r="AM162" i="2"/>
  <c r="AM161" i="2"/>
  <c r="AM160" i="2"/>
  <c r="AM159" i="2"/>
  <c r="AM158" i="2"/>
  <c r="AM157" i="2"/>
  <c r="AM156" i="2"/>
  <c r="AM155" i="2"/>
  <c r="AM154" i="2"/>
  <c r="AM153" i="2"/>
  <c r="AM152" i="2"/>
  <c r="AM151" i="2"/>
  <c r="AM150" i="2"/>
  <c r="AM149" i="2"/>
  <c r="AM148" i="2"/>
  <c r="AM147" i="2"/>
  <c r="AM146" i="2"/>
  <c r="AM145" i="2"/>
  <c r="AM144" i="2"/>
  <c r="AM143" i="2"/>
  <c r="AM142" i="2"/>
  <c r="AM141" i="2"/>
  <c r="AM140" i="2"/>
  <c r="AM139" i="2"/>
  <c r="AM138" i="2"/>
  <c r="AM137" i="2"/>
  <c r="AM136" i="2"/>
  <c r="AM135" i="2"/>
  <c r="AM134" i="2"/>
  <c r="AM133" i="2"/>
  <c r="AM132" i="2"/>
  <c r="AM131" i="2"/>
  <c r="AM130" i="2"/>
  <c r="AM129" i="2"/>
  <c r="AM128" i="2"/>
  <c r="AM127" i="2"/>
  <c r="AM126" i="2"/>
  <c r="AM125" i="2"/>
  <c r="AM124" i="2"/>
  <c r="AM123" i="2"/>
  <c r="AM122" i="2"/>
  <c r="AM121" i="2"/>
  <c r="AM120" i="2"/>
  <c r="AM119" i="2"/>
  <c r="AM118" i="2"/>
  <c r="AM117" i="2"/>
  <c r="AM116" i="2"/>
  <c r="AM115" i="2"/>
  <c r="AM114" i="2"/>
  <c r="AM113" i="2"/>
  <c r="AM112" i="2"/>
  <c r="AM111" i="2"/>
  <c r="AM110" i="2"/>
  <c r="AM109" i="2"/>
  <c r="AM108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5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70" i="2"/>
  <c r="AM69" i="2"/>
  <c r="AM68" i="2"/>
  <c r="AM67" i="2"/>
  <c r="AM66" i="2"/>
  <c r="AM65" i="2"/>
  <c r="AM64" i="2"/>
  <c r="AM63" i="2"/>
  <c r="AM62" i="2"/>
  <c r="AM61" i="2"/>
  <c r="AM60" i="2"/>
  <c r="AM59" i="2"/>
  <c r="AM58" i="2"/>
  <c r="AM57" i="2"/>
  <c r="AM56" i="2"/>
  <c r="AM55" i="2"/>
  <c r="AM54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M6" i="2"/>
  <c r="AM5" i="2"/>
  <c r="AM4" i="2"/>
  <c r="AM3" i="2"/>
  <c r="AM2" i="2"/>
  <c r="AM630" i="2"/>
  <c r="AP212" i="2" l="1"/>
  <c r="AQ212" i="2" s="1"/>
  <c r="AP2" i="2"/>
  <c r="AQ2" i="2" s="1"/>
  <c r="AP3" i="2"/>
  <c r="AQ3" i="2" s="1"/>
  <c r="AP4" i="2"/>
  <c r="AQ4" i="2" s="1"/>
  <c r="AP5" i="2"/>
  <c r="AQ5" i="2" s="1"/>
  <c r="AP9" i="2"/>
  <c r="AQ9" i="2" s="1"/>
  <c r="AP8" i="2"/>
  <c r="AQ8" i="2" s="1"/>
  <c r="AP7" i="2"/>
  <c r="AQ7" i="2" s="1"/>
  <c r="AP6" i="2"/>
  <c r="AQ6" i="2" s="1"/>
  <c r="AP10" i="2"/>
  <c r="AQ10" i="2" s="1"/>
  <c r="AP19" i="2"/>
  <c r="AQ19" i="2" s="1"/>
  <c r="AP18" i="2"/>
  <c r="AQ18" i="2" s="1"/>
  <c r="AP17" i="2"/>
  <c r="AQ17" i="2" s="1"/>
  <c r="AP16" i="2"/>
  <c r="AQ16" i="2" s="1"/>
  <c r="AP15" i="2"/>
  <c r="AQ15" i="2" s="1"/>
  <c r="AP14" i="2"/>
  <c r="AQ14" i="2" s="1"/>
  <c r="AP13" i="2"/>
  <c r="AQ13" i="2" s="1"/>
  <c r="AP12" i="2"/>
  <c r="AQ12" i="2" s="1"/>
  <c r="AP11" i="2"/>
  <c r="AQ11" i="2" s="1"/>
  <c r="AP20" i="2"/>
  <c r="AQ20" i="2" s="1"/>
  <c r="AP39" i="2"/>
  <c r="AQ39" i="2" s="1"/>
  <c r="AP38" i="2"/>
  <c r="AQ38" i="2" s="1"/>
  <c r="AP37" i="2"/>
  <c r="AQ37" i="2" s="1"/>
  <c r="AP36" i="2"/>
  <c r="AQ36" i="2" s="1"/>
  <c r="AP35" i="2"/>
  <c r="AQ35" i="2" s="1"/>
  <c r="AP34" i="2"/>
  <c r="AQ34" i="2" s="1"/>
  <c r="AP33" i="2"/>
  <c r="AQ33" i="2" s="1"/>
  <c r="AP32" i="2"/>
  <c r="AQ32" i="2" s="1"/>
  <c r="AP31" i="2"/>
  <c r="AQ31" i="2" s="1"/>
  <c r="AP30" i="2"/>
  <c r="AQ30" i="2" s="1"/>
  <c r="AP29" i="2"/>
  <c r="AQ29" i="2" s="1"/>
  <c r="AP28" i="2"/>
  <c r="AQ28" i="2" s="1"/>
  <c r="AP27" i="2"/>
  <c r="AQ27" i="2" s="1"/>
  <c r="AP26" i="2"/>
  <c r="AQ26" i="2" s="1"/>
  <c r="AP25" i="2"/>
  <c r="AQ25" i="2" s="1"/>
  <c r="AP24" i="2"/>
  <c r="AQ24" i="2" s="1"/>
  <c r="AP23" i="2"/>
  <c r="AQ23" i="2" s="1"/>
  <c r="AP22" i="2"/>
  <c r="AQ22" i="2" s="1"/>
  <c r="AP21" i="2"/>
  <c r="AQ21" i="2" s="1"/>
  <c r="AP40" i="2"/>
  <c r="AQ40" i="2" s="1"/>
  <c r="AP78" i="2"/>
  <c r="AQ78" i="2" s="1"/>
  <c r="AP77" i="2"/>
  <c r="AQ77" i="2" s="1"/>
  <c r="AP76" i="2"/>
  <c r="AQ76" i="2" s="1"/>
  <c r="AP75" i="2"/>
  <c r="AQ75" i="2" s="1"/>
  <c r="AP74" i="2"/>
  <c r="AQ74" i="2" s="1"/>
  <c r="AP73" i="2"/>
  <c r="AQ73" i="2" s="1"/>
  <c r="AP72" i="2"/>
  <c r="AQ72" i="2" s="1"/>
  <c r="AP71" i="2"/>
  <c r="AQ71" i="2" s="1"/>
  <c r="AP70" i="2"/>
  <c r="AQ70" i="2" s="1"/>
  <c r="AP69" i="2"/>
  <c r="AQ69" i="2" s="1"/>
  <c r="AP68" i="2"/>
  <c r="AQ68" i="2" s="1"/>
  <c r="AP67" i="2"/>
  <c r="AQ67" i="2" s="1"/>
  <c r="AP66" i="2"/>
  <c r="AQ66" i="2" s="1"/>
  <c r="AP65" i="2"/>
  <c r="AQ65" i="2" s="1"/>
  <c r="AP64" i="2"/>
  <c r="AQ64" i="2" s="1"/>
  <c r="AP63" i="2"/>
  <c r="AQ63" i="2" s="1"/>
  <c r="AP62" i="2"/>
  <c r="AQ62" i="2" s="1"/>
  <c r="AP61" i="2"/>
  <c r="AQ61" i="2" s="1"/>
  <c r="AP60" i="2"/>
  <c r="AQ60" i="2" s="1"/>
  <c r="AP59" i="2"/>
  <c r="AQ59" i="2" s="1"/>
  <c r="AP58" i="2"/>
  <c r="AQ58" i="2" s="1"/>
  <c r="AP57" i="2"/>
  <c r="AQ57" i="2" s="1"/>
  <c r="AP56" i="2"/>
  <c r="AQ56" i="2" s="1"/>
  <c r="AP55" i="2"/>
  <c r="AQ55" i="2" s="1"/>
  <c r="AP54" i="2"/>
  <c r="AQ54" i="2" s="1"/>
  <c r="AP53" i="2"/>
  <c r="AQ53" i="2" s="1"/>
  <c r="AP52" i="2"/>
  <c r="AQ52" i="2" s="1"/>
  <c r="AP51" i="2"/>
  <c r="AQ51" i="2" s="1"/>
  <c r="AP50" i="2"/>
  <c r="AQ50" i="2" s="1"/>
  <c r="AP49" i="2"/>
  <c r="AQ49" i="2" s="1"/>
  <c r="AP48" i="2"/>
  <c r="AQ48" i="2" s="1"/>
  <c r="AP47" i="2"/>
  <c r="AQ47" i="2" s="1"/>
  <c r="AP46" i="2"/>
  <c r="AQ46" i="2" s="1"/>
  <c r="AP45" i="2"/>
  <c r="AQ45" i="2" s="1"/>
  <c r="AP44" i="2"/>
  <c r="AQ44" i="2" s="1"/>
  <c r="AP43" i="2"/>
  <c r="AQ43" i="2" s="1"/>
  <c r="AP42" i="2"/>
  <c r="AQ42" i="2" s="1"/>
  <c r="AP41" i="2"/>
  <c r="AQ41" i="2" s="1"/>
  <c r="AP79" i="2"/>
  <c r="AQ79" i="2" s="1"/>
  <c r="AP157" i="2"/>
  <c r="AQ157" i="2" s="1"/>
  <c r="AP156" i="2"/>
  <c r="AQ156" i="2" s="1"/>
  <c r="AP155" i="2"/>
  <c r="AQ155" i="2" s="1"/>
  <c r="AP154" i="2"/>
  <c r="AQ154" i="2" s="1"/>
  <c r="AP153" i="2"/>
  <c r="AQ153" i="2" s="1"/>
  <c r="AP152" i="2"/>
  <c r="AQ152" i="2" s="1"/>
  <c r="AP151" i="2"/>
  <c r="AQ151" i="2" s="1"/>
  <c r="AP150" i="2"/>
  <c r="AQ150" i="2" s="1"/>
  <c r="AP149" i="2"/>
  <c r="AQ149" i="2" s="1"/>
  <c r="AP148" i="2"/>
  <c r="AQ148" i="2" s="1"/>
  <c r="AP147" i="2"/>
  <c r="AQ147" i="2" s="1"/>
  <c r="AP146" i="2"/>
  <c r="AQ146" i="2" s="1"/>
  <c r="AP145" i="2"/>
  <c r="AQ145" i="2" s="1"/>
  <c r="AP144" i="2"/>
  <c r="AQ144" i="2" s="1"/>
  <c r="AP143" i="2"/>
  <c r="AQ143" i="2" s="1"/>
  <c r="AP142" i="2"/>
  <c r="AQ142" i="2" s="1"/>
  <c r="AP141" i="2"/>
  <c r="AQ141" i="2" s="1"/>
  <c r="AP140" i="2"/>
  <c r="AQ140" i="2" s="1"/>
  <c r="AP139" i="2"/>
  <c r="AQ139" i="2" s="1"/>
  <c r="AP138" i="2"/>
  <c r="AQ138" i="2" s="1"/>
  <c r="AP137" i="2"/>
  <c r="AQ137" i="2" s="1"/>
  <c r="AP136" i="2"/>
  <c r="AQ136" i="2" s="1"/>
  <c r="AP135" i="2"/>
  <c r="AQ135" i="2" s="1"/>
  <c r="AP134" i="2"/>
  <c r="AQ134" i="2" s="1"/>
  <c r="AP133" i="2"/>
  <c r="AQ133" i="2" s="1"/>
  <c r="AP132" i="2"/>
  <c r="AQ132" i="2" s="1"/>
  <c r="AP131" i="2"/>
  <c r="AQ131" i="2" s="1"/>
  <c r="AP130" i="2"/>
  <c r="AQ130" i="2" s="1"/>
  <c r="AP129" i="2"/>
  <c r="AQ129" i="2" s="1"/>
  <c r="AP128" i="2"/>
  <c r="AQ128" i="2" s="1"/>
  <c r="AP127" i="2"/>
  <c r="AQ127" i="2" s="1"/>
  <c r="AP126" i="2"/>
  <c r="AQ126" i="2" s="1"/>
  <c r="AP125" i="2"/>
  <c r="AQ125" i="2" s="1"/>
  <c r="AP124" i="2"/>
  <c r="AQ124" i="2" s="1"/>
  <c r="AP123" i="2"/>
  <c r="AQ123" i="2" s="1"/>
  <c r="AP122" i="2"/>
  <c r="AQ122" i="2" s="1"/>
  <c r="AP121" i="2"/>
  <c r="AQ121" i="2" s="1"/>
  <c r="AP120" i="2"/>
  <c r="AQ120" i="2" s="1"/>
  <c r="AP119" i="2"/>
  <c r="AQ119" i="2" s="1"/>
  <c r="AP118" i="2"/>
  <c r="AQ118" i="2" s="1"/>
  <c r="AP117" i="2"/>
  <c r="AQ117" i="2" s="1"/>
  <c r="AP116" i="2"/>
  <c r="AQ116" i="2" s="1"/>
  <c r="AP115" i="2"/>
  <c r="AQ115" i="2" s="1"/>
  <c r="AP114" i="2"/>
  <c r="AQ114" i="2" s="1"/>
  <c r="AP113" i="2"/>
  <c r="AQ113" i="2" s="1"/>
  <c r="AP112" i="2"/>
  <c r="AQ112" i="2" s="1"/>
  <c r="AP111" i="2"/>
  <c r="AQ111" i="2" s="1"/>
  <c r="AP110" i="2"/>
  <c r="AQ110" i="2" s="1"/>
  <c r="AP109" i="2"/>
  <c r="AQ109" i="2" s="1"/>
  <c r="AP108" i="2"/>
  <c r="AQ108" i="2" s="1"/>
  <c r="AP107" i="2"/>
  <c r="AQ107" i="2" s="1"/>
  <c r="AP106" i="2"/>
  <c r="AQ106" i="2" s="1"/>
  <c r="AP105" i="2"/>
  <c r="AQ105" i="2" s="1"/>
  <c r="AP104" i="2"/>
  <c r="AQ104" i="2" s="1"/>
  <c r="AP103" i="2"/>
  <c r="AQ103" i="2" s="1"/>
  <c r="AP102" i="2"/>
  <c r="AQ102" i="2" s="1"/>
  <c r="AP101" i="2"/>
  <c r="AQ101" i="2" s="1"/>
  <c r="AP100" i="2"/>
  <c r="AQ100" i="2" s="1"/>
  <c r="AP99" i="2"/>
  <c r="AQ99" i="2" s="1"/>
  <c r="AP98" i="2"/>
  <c r="AQ98" i="2" s="1"/>
  <c r="AP97" i="2"/>
  <c r="AQ97" i="2" s="1"/>
  <c r="AP96" i="2"/>
  <c r="AQ96" i="2" s="1"/>
  <c r="AP95" i="2"/>
  <c r="AQ95" i="2" s="1"/>
  <c r="AP94" i="2"/>
  <c r="AQ94" i="2" s="1"/>
  <c r="AP93" i="2"/>
  <c r="AQ93" i="2" s="1"/>
  <c r="AP92" i="2"/>
  <c r="AQ92" i="2" s="1"/>
  <c r="AP91" i="2"/>
  <c r="AQ91" i="2" s="1"/>
  <c r="AP90" i="2"/>
  <c r="AQ90" i="2" s="1"/>
  <c r="AP89" i="2"/>
  <c r="AQ89" i="2" s="1"/>
  <c r="AP88" i="2"/>
  <c r="AQ88" i="2" s="1"/>
  <c r="AP87" i="2"/>
  <c r="AQ87" i="2" s="1"/>
  <c r="AP86" i="2"/>
  <c r="AQ86" i="2" s="1"/>
  <c r="AP85" i="2"/>
  <c r="AQ85" i="2" s="1"/>
  <c r="AP84" i="2"/>
  <c r="AQ84" i="2" s="1"/>
  <c r="AP83" i="2"/>
  <c r="AQ83" i="2" s="1"/>
  <c r="AP82" i="2"/>
  <c r="AQ82" i="2" s="1"/>
  <c r="AP81" i="2"/>
  <c r="AQ81" i="2" s="1"/>
  <c r="AP80" i="2"/>
  <c r="AQ80" i="2" s="1"/>
  <c r="AP158" i="2"/>
  <c r="AQ158" i="2" s="1"/>
  <c r="AP315" i="2"/>
  <c r="AQ315" i="2" s="1"/>
  <c r="AP314" i="2"/>
  <c r="AQ314" i="2" s="1"/>
  <c r="AP313" i="2"/>
  <c r="AQ313" i="2" s="1"/>
  <c r="AP312" i="2"/>
  <c r="AQ312" i="2" s="1"/>
  <c r="AP311" i="2"/>
  <c r="AQ311" i="2" s="1"/>
  <c r="AP310" i="2"/>
  <c r="AQ310" i="2" s="1"/>
  <c r="AP309" i="2"/>
  <c r="AQ309" i="2" s="1"/>
  <c r="AP308" i="2"/>
  <c r="AQ308" i="2" s="1"/>
  <c r="AP307" i="2"/>
  <c r="AQ307" i="2" s="1"/>
  <c r="AP306" i="2"/>
  <c r="AQ306" i="2" s="1"/>
  <c r="AP305" i="2"/>
  <c r="AQ305" i="2" s="1"/>
  <c r="AP304" i="2"/>
  <c r="AQ304" i="2" s="1"/>
  <c r="AP303" i="2"/>
  <c r="AQ303" i="2" s="1"/>
  <c r="AP302" i="2"/>
  <c r="AQ302" i="2" s="1"/>
  <c r="AP301" i="2"/>
  <c r="AQ301" i="2" s="1"/>
  <c r="AP300" i="2"/>
  <c r="AQ300" i="2" s="1"/>
  <c r="AP299" i="2"/>
  <c r="AQ299" i="2" s="1"/>
  <c r="AP298" i="2"/>
  <c r="AQ298" i="2" s="1"/>
  <c r="AP297" i="2"/>
  <c r="AQ297" i="2" s="1"/>
  <c r="AP296" i="2"/>
  <c r="AQ296" i="2" s="1"/>
  <c r="AP295" i="2"/>
  <c r="AQ295" i="2" s="1"/>
  <c r="AP294" i="2"/>
  <c r="AQ294" i="2" s="1"/>
  <c r="AP293" i="2"/>
  <c r="AQ293" i="2" s="1"/>
  <c r="AP292" i="2"/>
  <c r="AQ292" i="2" s="1"/>
  <c r="AP291" i="2"/>
  <c r="AQ291" i="2" s="1"/>
  <c r="AP290" i="2"/>
  <c r="AQ290" i="2" s="1"/>
  <c r="AP289" i="2"/>
  <c r="AQ289" i="2" s="1"/>
  <c r="AP288" i="2"/>
  <c r="AQ288" i="2" s="1"/>
  <c r="AP287" i="2"/>
  <c r="AQ287" i="2" s="1"/>
  <c r="AP286" i="2"/>
  <c r="AQ286" i="2" s="1"/>
  <c r="AP285" i="2"/>
  <c r="AQ285" i="2" s="1"/>
  <c r="AP284" i="2"/>
  <c r="AQ284" i="2" s="1"/>
  <c r="AP283" i="2"/>
  <c r="AQ283" i="2" s="1"/>
  <c r="AP282" i="2"/>
  <c r="AQ282" i="2" s="1"/>
  <c r="AP281" i="2"/>
  <c r="AQ281" i="2" s="1"/>
  <c r="AP280" i="2"/>
  <c r="AQ280" i="2" s="1"/>
  <c r="AP279" i="2"/>
  <c r="AQ279" i="2" s="1"/>
  <c r="AP278" i="2"/>
  <c r="AQ278" i="2" s="1"/>
  <c r="AP277" i="2"/>
  <c r="AQ277" i="2" s="1"/>
  <c r="AP276" i="2"/>
  <c r="AQ276" i="2" s="1"/>
  <c r="AP275" i="2"/>
  <c r="AQ275" i="2" s="1"/>
  <c r="AP274" i="2"/>
  <c r="AQ274" i="2" s="1"/>
  <c r="AP273" i="2"/>
  <c r="AQ273" i="2" s="1"/>
  <c r="AP272" i="2"/>
  <c r="AQ272" i="2" s="1"/>
  <c r="AP271" i="2"/>
  <c r="AQ271" i="2" s="1"/>
  <c r="AP270" i="2"/>
  <c r="AQ270" i="2" s="1"/>
  <c r="AP269" i="2"/>
  <c r="AQ269" i="2" s="1"/>
  <c r="AP268" i="2"/>
  <c r="AQ268" i="2" s="1"/>
  <c r="AP267" i="2"/>
  <c r="AQ267" i="2" s="1"/>
  <c r="AP266" i="2"/>
  <c r="AQ266" i="2" s="1"/>
  <c r="AP265" i="2"/>
  <c r="AQ265" i="2" s="1"/>
  <c r="AP264" i="2"/>
  <c r="AQ264" i="2" s="1"/>
  <c r="AP263" i="2"/>
  <c r="AQ263" i="2" s="1"/>
  <c r="AP262" i="2"/>
  <c r="AQ262" i="2" s="1"/>
  <c r="AP261" i="2"/>
  <c r="AQ261" i="2" s="1"/>
  <c r="AP260" i="2"/>
  <c r="AQ260" i="2" s="1"/>
  <c r="AP259" i="2"/>
  <c r="AQ259" i="2" s="1"/>
  <c r="AP258" i="2"/>
  <c r="AQ258" i="2" s="1"/>
  <c r="AP257" i="2"/>
  <c r="AQ257" i="2" s="1"/>
  <c r="AP256" i="2"/>
  <c r="AQ256" i="2" s="1"/>
  <c r="AP255" i="2"/>
  <c r="AQ255" i="2" s="1"/>
  <c r="AP254" i="2"/>
  <c r="AQ254" i="2" s="1"/>
  <c r="AP253" i="2"/>
  <c r="AQ253" i="2" s="1"/>
  <c r="AP252" i="2"/>
  <c r="AQ252" i="2" s="1"/>
  <c r="AP251" i="2"/>
  <c r="AQ251" i="2" s="1"/>
  <c r="AP250" i="2"/>
  <c r="AQ250" i="2" s="1"/>
  <c r="AP249" i="2"/>
  <c r="AQ249" i="2" s="1"/>
  <c r="AP248" i="2"/>
  <c r="AQ248" i="2" s="1"/>
  <c r="AP247" i="2"/>
  <c r="AQ247" i="2" s="1"/>
  <c r="AP246" i="2"/>
  <c r="AQ246" i="2" s="1"/>
  <c r="AP245" i="2"/>
  <c r="AQ245" i="2" s="1"/>
  <c r="AP244" i="2"/>
  <c r="AQ244" i="2" s="1"/>
  <c r="AP243" i="2"/>
  <c r="AQ243" i="2" s="1"/>
  <c r="AP242" i="2"/>
  <c r="AQ242" i="2" s="1"/>
  <c r="AP241" i="2"/>
  <c r="AQ241" i="2" s="1"/>
  <c r="AP240" i="2"/>
  <c r="AQ240" i="2" s="1"/>
  <c r="AP239" i="2"/>
  <c r="AQ239" i="2" s="1"/>
  <c r="AP237" i="2"/>
  <c r="AQ237" i="2" s="1"/>
  <c r="AP238" i="2"/>
  <c r="AQ238" i="2" s="1"/>
  <c r="AP236" i="2"/>
  <c r="AQ236" i="2" s="1"/>
  <c r="AP235" i="2"/>
  <c r="AQ235" i="2" s="1"/>
  <c r="AP234" i="2"/>
  <c r="AQ234" i="2" s="1"/>
  <c r="AP233" i="2"/>
  <c r="AQ233" i="2" s="1"/>
  <c r="AP232" i="2"/>
  <c r="AQ232" i="2" s="1"/>
  <c r="AP231" i="2"/>
  <c r="AQ231" i="2" s="1"/>
  <c r="AP230" i="2"/>
  <c r="AQ230" i="2" s="1"/>
  <c r="AP229" i="2"/>
  <c r="AQ229" i="2" s="1"/>
  <c r="AP228" i="2"/>
  <c r="AQ228" i="2" s="1"/>
  <c r="AP227" i="2"/>
  <c r="AQ227" i="2" s="1"/>
  <c r="AP226" i="2"/>
  <c r="AQ226" i="2" s="1"/>
  <c r="AP225" i="2"/>
  <c r="AQ225" i="2" s="1"/>
  <c r="AP224" i="2"/>
  <c r="AQ224" i="2" s="1"/>
  <c r="AP223" i="2"/>
  <c r="AQ223" i="2" s="1"/>
  <c r="AP222" i="2"/>
  <c r="AQ222" i="2" s="1"/>
  <c r="AP221" i="2"/>
  <c r="AQ221" i="2" s="1"/>
  <c r="AP220" i="2"/>
  <c r="AQ220" i="2" s="1"/>
  <c r="AP219" i="2"/>
  <c r="AQ219" i="2" s="1"/>
  <c r="AP218" i="2"/>
  <c r="AQ218" i="2" s="1"/>
  <c r="AP217" i="2"/>
  <c r="AQ217" i="2" s="1"/>
  <c r="AP216" i="2"/>
  <c r="AQ216" i="2" s="1"/>
  <c r="AP215" i="2"/>
  <c r="AQ215" i="2" s="1"/>
  <c r="AP214" i="2"/>
  <c r="AQ214" i="2" s="1"/>
  <c r="AP213" i="2"/>
  <c r="AQ213" i="2" s="1"/>
  <c r="AP211" i="2"/>
  <c r="AQ211" i="2" s="1"/>
  <c r="AP210" i="2"/>
  <c r="AQ210" i="2" s="1"/>
  <c r="AP209" i="2"/>
  <c r="AQ209" i="2" s="1"/>
  <c r="AP208" i="2"/>
  <c r="AQ208" i="2" s="1"/>
  <c r="AP207" i="2"/>
  <c r="AQ207" i="2" s="1"/>
  <c r="AP206" i="2"/>
  <c r="AQ206" i="2" s="1"/>
  <c r="AP205" i="2"/>
  <c r="AQ205" i="2" s="1"/>
  <c r="AP204" i="2"/>
  <c r="AQ204" i="2" s="1"/>
  <c r="AP203" i="2"/>
  <c r="AQ203" i="2" s="1"/>
  <c r="AP202" i="2"/>
  <c r="AQ202" i="2" s="1"/>
  <c r="AP201" i="2"/>
  <c r="AQ201" i="2" s="1"/>
  <c r="AP200" i="2"/>
  <c r="AQ200" i="2" s="1"/>
  <c r="AP199" i="2"/>
  <c r="AQ199" i="2" s="1"/>
  <c r="AP198" i="2"/>
  <c r="AQ198" i="2" s="1"/>
  <c r="AP197" i="2"/>
  <c r="AQ197" i="2" s="1"/>
  <c r="AP196" i="2"/>
  <c r="AQ196" i="2" s="1"/>
  <c r="AP195" i="2"/>
  <c r="AQ195" i="2" s="1"/>
  <c r="AP194" i="2"/>
  <c r="AQ194" i="2" s="1"/>
  <c r="AP193" i="2"/>
  <c r="AQ193" i="2" s="1"/>
  <c r="AP192" i="2"/>
  <c r="AQ192" i="2" s="1"/>
  <c r="AP191" i="2"/>
  <c r="AQ191" i="2" s="1"/>
  <c r="AP190" i="2"/>
  <c r="AQ190" i="2" s="1"/>
  <c r="AP189" i="2"/>
  <c r="AQ189" i="2" s="1"/>
  <c r="AP188" i="2"/>
  <c r="AQ188" i="2" s="1"/>
  <c r="AP187" i="2"/>
  <c r="AQ187" i="2" s="1"/>
  <c r="AP186" i="2"/>
  <c r="AQ186" i="2" s="1"/>
  <c r="AP185" i="2"/>
  <c r="AQ185" i="2" s="1"/>
  <c r="AP184" i="2"/>
  <c r="AQ184" i="2" s="1"/>
  <c r="AP183" i="2"/>
  <c r="AQ183" i="2" s="1"/>
  <c r="AP182" i="2"/>
  <c r="AQ182" i="2" s="1"/>
  <c r="AP181" i="2"/>
  <c r="AQ181" i="2" s="1"/>
  <c r="AP180" i="2"/>
  <c r="AQ180" i="2" s="1"/>
  <c r="AP179" i="2"/>
  <c r="AQ179" i="2" s="1"/>
  <c r="AP178" i="2"/>
  <c r="AQ178" i="2" s="1"/>
  <c r="AP177" i="2"/>
  <c r="AQ177" i="2" s="1"/>
  <c r="AP176" i="2"/>
  <c r="AQ176" i="2" s="1"/>
  <c r="AP175" i="2"/>
  <c r="AQ175" i="2" s="1"/>
  <c r="AP174" i="2"/>
  <c r="AQ174" i="2" s="1"/>
  <c r="AP173" i="2"/>
  <c r="AQ173" i="2" s="1"/>
  <c r="AP172" i="2"/>
  <c r="AQ172" i="2" s="1"/>
  <c r="AP171" i="2"/>
  <c r="AQ171" i="2" s="1"/>
  <c r="AP170" i="2"/>
  <c r="AQ170" i="2" s="1"/>
  <c r="AP169" i="2"/>
  <c r="AQ169" i="2" s="1"/>
  <c r="AP168" i="2"/>
  <c r="AQ168" i="2" s="1"/>
  <c r="AP167" i="2"/>
  <c r="AQ167" i="2" s="1"/>
  <c r="AP166" i="2"/>
  <c r="AQ166" i="2" s="1"/>
  <c r="AP165" i="2"/>
  <c r="AQ165" i="2" s="1"/>
  <c r="AP164" i="2"/>
  <c r="AQ164" i="2" s="1"/>
  <c r="AP163" i="2"/>
  <c r="AQ163" i="2" s="1"/>
  <c r="AP162" i="2"/>
  <c r="AQ162" i="2" s="1"/>
  <c r="AP161" i="2"/>
  <c r="AQ161" i="2" s="1"/>
  <c r="AP160" i="2"/>
  <c r="AQ160" i="2" s="1"/>
  <c r="AP159" i="2"/>
  <c r="AQ159" i="2" s="1"/>
  <c r="AP316" i="2"/>
  <c r="AQ316" i="2" s="1"/>
  <c r="AP528" i="2"/>
  <c r="AP527" i="2"/>
  <c r="AP526" i="2"/>
  <c r="AQ526" i="2" s="1"/>
  <c r="AP525" i="2"/>
  <c r="AQ525" i="2" s="1"/>
  <c r="AP524" i="2"/>
  <c r="AQ524" i="2" s="1"/>
  <c r="AP523" i="2"/>
  <c r="AP522" i="2"/>
  <c r="AQ522" i="2" s="1"/>
  <c r="AP521" i="2"/>
  <c r="AQ521" i="2" s="1"/>
  <c r="AP520" i="2"/>
  <c r="AQ520" i="2" s="1"/>
  <c r="AP519" i="2"/>
  <c r="AP518" i="2"/>
  <c r="AQ518" i="2" s="1"/>
  <c r="AP517" i="2"/>
  <c r="AQ517" i="2" s="1"/>
  <c r="AP516" i="2"/>
  <c r="AQ516" i="2" s="1"/>
  <c r="AP515" i="2"/>
  <c r="AP514" i="2"/>
  <c r="AQ514" i="2" s="1"/>
  <c r="AP513" i="2"/>
  <c r="AQ513" i="2" s="1"/>
  <c r="AP512" i="2"/>
  <c r="AQ512" i="2" s="1"/>
  <c r="AP511" i="2"/>
  <c r="AP510" i="2"/>
  <c r="AQ510" i="2" s="1"/>
  <c r="AP509" i="2"/>
  <c r="AQ509" i="2" s="1"/>
  <c r="AP508" i="2"/>
  <c r="AQ508" i="2" s="1"/>
  <c r="AP507" i="2"/>
  <c r="AP506" i="2"/>
  <c r="AQ506" i="2" s="1"/>
  <c r="AP505" i="2"/>
  <c r="AQ505" i="2" s="1"/>
  <c r="AP504" i="2"/>
  <c r="AQ504" i="2" s="1"/>
  <c r="AP503" i="2"/>
  <c r="AP502" i="2"/>
  <c r="AQ502" i="2" s="1"/>
  <c r="AP501" i="2"/>
  <c r="AQ501" i="2" s="1"/>
  <c r="AP500" i="2"/>
  <c r="AQ500" i="2" s="1"/>
  <c r="AP499" i="2"/>
  <c r="AQ499" i="2" s="1"/>
  <c r="AP498" i="2"/>
  <c r="AQ498" i="2" s="1"/>
  <c r="AP497" i="2"/>
  <c r="AQ497" i="2" s="1"/>
  <c r="AP496" i="2"/>
  <c r="AQ496" i="2" s="1"/>
  <c r="AP495" i="2"/>
  <c r="AP494" i="2"/>
  <c r="AQ494" i="2" s="1"/>
  <c r="AP493" i="2"/>
  <c r="AQ493" i="2" s="1"/>
  <c r="AP492" i="2"/>
  <c r="AQ492" i="2" s="1"/>
  <c r="AP491" i="2"/>
  <c r="AP490" i="2"/>
  <c r="AQ490" i="2" s="1"/>
  <c r="AP489" i="2"/>
  <c r="AQ489" i="2" s="1"/>
  <c r="AP488" i="2"/>
  <c r="AQ488" i="2" s="1"/>
  <c r="AP487" i="2"/>
  <c r="AP486" i="2"/>
  <c r="AQ486" i="2" s="1"/>
  <c r="AP485" i="2"/>
  <c r="AQ485" i="2" s="1"/>
  <c r="AP484" i="2"/>
  <c r="AQ484" i="2" s="1"/>
  <c r="AP483" i="2"/>
  <c r="AQ483" i="2" s="1"/>
  <c r="AP482" i="2"/>
  <c r="AQ482" i="2" s="1"/>
  <c r="AP481" i="2"/>
  <c r="AQ481" i="2" s="1"/>
  <c r="AP480" i="2"/>
  <c r="AQ480" i="2" s="1"/>
  <c r="AP479" i="2"/>
  <c r="AP478" i="2"/>
  <c r="AQ478" i="2" s="1"/>
  <c r="AP477" i="2"/>
  <c r="AQ477" i="2" s="1"/>
  <c r="AP476" i="2"/>
  <c r="AQ476" i="2" s="1"/>
  <c r="AP475" i="2"/>
  <c r="AP474" i="2"/>
  <c r="AQ474" i="2" s="1"/>
  <c r="AP473" i="2"/>
  <c r="AQ473" i="2" s="1"/>
  <c r="AP472" i="2"/>
  <c r="AQ472" i="2" s="1"/>
  <c r="AP471" i="2"/>
  <c r="AP470" i="2"/>
  <c r="AQ470" i="2" s="1"/>
  <c r="AP469" i="2"/>
  <c r="AQ469" i="2" s="1"/>
  <c r="AP468" i="2"/>
  <c r="AQ468" i="2" s="1"/>
  <c r="AP467" i="2"/>
  <c r="AQ467" i="2" s="1"/>
  <c r="AP466" i="2"/>
  <c r="AQ466" i="2" s="1"/>
  <c r="AP465" i="2"/>
  <c r="AQ465" i="2" s="1"/>
  <c r="AP464" i="2"/>
  <c r="AQ464" i="2" s="1"/>
  <c r="AP463" i="2"/>
  <c r="AP462" i="2"/>
  <c r="AQ462" i="2" s="1"/>
  <c r="AP461" i="2"/>
  <c r="AQ461" i="2" s="1"/>
  <c r="AP460" i="2"/>
  <c r="AQ460" i="2" s="1"/>
  <c r="AP459" i="2"/>
  <c r="AP458" i="2"/>
  <c r="AQ458" i="2" s="1"/>
  <c r="AP457" i="2"/>
  <c r="AQ457" i="2" s="1"/>
  <c r="AP456" i="2"/>
  <c r="AQ456" i="2" s="1"/>
  <c r="AP455" i="2"/>
  <c r="AP454" i="2"/>
  <c r="AQ454" i="2" s="1"/>
  <c r="AP453" i="2"/>
  <c r="AQ453" i="2" s="1"/>
  <c r="AP452" i="2"/>
  <c r="AQ452" i="2" s="1"/>
  <c r="AP451" i="2"/>
  <c r="AQ451" i="2" s="1"/>
  <c r="AP450" i="2"/>
  <c r="AQ450" i="2" s="1"/>
  <c r="AP449" i="2"/>
  <c r="AQ449" i="2" s="1"/>
  <c r="AP448" i="2"/>
  <c r="AQ448" i="2" s="1"/>
  <c r="AP447" i="2"/>
  <c r="AP446" i="2"/>
  <c r="AQ446" i="2" s="1"/>
  <c r="AP445" i="2"/>
  <c r="AQ445" i="2" s="1"/>
  <c r="AP444" i="2"/>
  <c r="AQ444" i="2" s="1"/>
  <c r="AP443" i="2"/>
  <c r="AP442" i="2"/>
  <c r="AQ442" i="2" s="1"/>
  <c r="AP441" i="2"/>
  <c r="AQ441" i="2" s="1"/>
  <c r="AP440" i="2"/>
  <c r="AQ440" i="2" s="1"/>
  <c r="AP439" i="2"/>
  <c r="AP438" i="2"/>
  <c r="AQ438" i="2" s="1"/>
  <c r="AP437" i="2"/>
  <c r="AQ437" i="2" s="1"/>
  <c r="AP436" i="2"/>
  <c r="AQ436" i="2" s="1"/>
  <c r="AP435" i="2"/>
  <c r="AQ435" i="2" s="1"/>
  <c r="AP434" i="2"/>
  <c r="AQ434" i="2" s="1"/>
  <c r="AP433" i="2"/>
  <c r="AQ433" i="2" s="1"/>
  <c r="AP432" i="2"/>
  <c r="AQ432" i="2" s="1"/>
  <c r="AP431" i="2"/>
  <c r="AP430" i="2"/>
  <c r="AQ430" i="2" s="1"/>
  <c r="AP429" i="2"/>
  <c r="AQ429" i="2" s="1"/>
  <c r="AP428" i="2"/>
  <c r="AQ428" i="2" s="1"/>
  <c r="AP427" i="2"/>
  <c r="AP426" i="2"/>
  <c r="AQ426" i="2" s="1"/>
  <c r="AP425" i="2"/>
  <c r="AQ425" i="2" s="1"/>
  <c r="AP424" i="2"/>
  <c r="AQ424" i="2" s="1"/>
  <c r="AP423" i="2"/>
  <c r="AP422" i="2"/>
  <c r="AQ422" i="2" s="1"/>
  <c r="AP421" i="2"/>
  <c r="AQ421" i="2" s="1"/>
  <c r="AP420" i="2"/>
  <c r="AQ420" i="2" s="1"/>
  <c r="AP419" i="2"/>
  <c r="AQ419" i="2" s="1"/>
  <c r="AP418" i="2"/>
  <c r="AQ418" i="2" s="1"/>
  <c r="AP417" i="2"/>
  <c r="AQ417" i="2" s="1"/>
  <c r="AP416" i="2"/>
  <c r="AQ416" i="2" s="1"/>
  <c r="AP415" i="2"/>
  <c r="AP414" i="2"/>
  <c r="AQ414" i="2" s="1"/>
  <c r="AP413" i="2"/>
  <c r="AQ413" i="2" s="1"/>
  <c r="AP412" i="2"/>
  <c r="AQ412" i="2" s="1"/>
  <c r="AP411" i="2"/>
  <c r="AP410" i="2"/>
  <c r="AQ410" i="2" s="1"/>
  <c r="AP409" i="2"/>
  <c r="AQ409" i="2" s="1"/>
  <c r="AP408" i="2"/>
  <c r="AQ408" i="2" s="1"/>
  <c r="AP407" i="2"/>
  <c r="AP406" i="2"/>
  <c r="AQ406" i="2" s="1"/>
  <c r="AP405" i="2"/>
  <c r="AQ405" i="2" s="1"/>
  <c r="AP404" i="2"/>
  <c r="AQ404" i="2" s="1"/>
  <c r="AP403" i="2"/>
  <c r="AQ403" i="2" s="1"/>
  <c r="AP402" i="2"/>
  <c r="AQ402" i="2" s="1"/>
  <c r="AP401" i="2"/>
  <c r="AQ401" i="2" s="1"/>
  <c r="AP400" i="2"/>
  <c r="AQ400" i="2" s="1"/>
  <c r="AP399" i="2"/>
  <c r="AP398" i="2"/>
  <c r="AQ398" i="2" s="1"/>
  <c r="AP397" i="2"/>
  <c r="AQ397" i="2" s="1"/>
  <c r="AP396" i="2"/>
  <c r="AQ396" i="2" s="1"/>
  <c r="AP395" i="2"/>
  <c r="AQ395" i="2" s="1"/>
  <c r="AP394" i="2"/>
  <c r="AQ394" i="2" s="1"/>
  <c r="AP393" i="2"/>
  <c r="AQ393" i="2" s="1"/>
  <c r="AP392" i="2"/>
  <c r="AQ392" i="2" s="1"/>
  <c r="AP391" i="2"/>
  <c r="AQ391" i="2" s="1"/>
  <c r="AP390" i="2"/>
  <c r="AQ390" i="2" s="1"/>
  <c r="AP389" i="2"/>
  <c r="AQ389" i="2" s="1"/>
  <c r="AP388" i="2"/>
  <c r="AQ388" i="2" s="1"/>
  <c r="AP387" i="2"/>
  <c r="AP386" i="2"/>
  <c r="AQ386" i="2" s="1"/>
  <c r="AP385" i="2"/>
  <c r="AQ385" i="2" s="1"/>
  <c r="AP384" i="2"/>
  <c r="AQ384" i="2" s="1"/>
  <c r="AP383" i="2"/>
  <c r="AP382" i="2"/>
  <c r="AQ382" i="2" s="1"/>
  <c r="AP381" i="2"/>
  <c r="AQ381" i="2" s="1"/>
  <c r="AP380" i="2"/>
  <c r="AQ380" i="2" s="1"/>
  <c r="AP379" i="2"/>
  <c r="AQ379" i="2" s="1"/>
  <c r="AP378" i="2"/>
  <c r="AQ378" i="2" s="1"/>
  <c r="AP377" i="2"/>
  <c r="AQ377" i="2" s="1"/>
  <c r="AP376" i="2"/>
  <c r="AQ376" i="2" s="1"/>
  <c r="AP375" i="2"/>
  <c r="AQ375" i="2" s="1"/>
  <c r="AP374" i="2"/>
  <c r="AQ374" i="2" s="1"/>
  <c r="AP373" i="2"/>
  <c r="AQ373" i="2" s="1"/>
  <c r="AP372" i="2"/>
  <c r="AQ372" i="2" s="1"/>
  <c r="AP371" i="2"/>
  <c r="AQ371" i="2" s="1"/>
  <c r="AP370" i="2"/>
  <c r="AQ370" i="2" s="1"/>
  <c r="AP369" i="2"/>
  <c r="AQ369" i="2" s="1"/>
  <c r="AP368" i="2"/>
  <c r="AQ368" i="2" s="1"/>
  <c r="AP367" i="2"/>
  <c r="AQ367" i="2" s="1"/>
  <c r="AP366" i="2"/>
  <c r="AQ366" i="2" s="1"/>
  <c r="AP365" i="2"/>
  <c r="AQ365" i="2" s="1"/>
  <c r="AP364" i="2"/>
  <c r="AQ364" i="2" s="1"/>
  <c r="AP363" i="2"/>
  <c r="AQ363" i="2" s="1"/>
  <c r="AP362" i="2"/>
  <c r="AQ362" i="2" s="1"/>
  <c r="AP361" i="2"/>
  <c r="AQ361" i="2" s="1"/>
  <c r="AP360" i="2"/>
  <c r="AQ360" i="2" s="1"/>
  <c r="AP359" i="2"/>
  <c r="AQ359" i="2" s="1"/>
  <c r="AP358" i="2"/>
  <c r="AQ358" i="2" s="1"/>
  <c r="AP357" i="2"/>
  <c r="AQ357" i="2" s="1"/>
  <c r="AP356" i="2"/>
  <c r="AQ356" i="2" s="1"/>
  <c r="AP355" i="2"/>
  <c r="AP354" i="2"/>
  <c r="AQ354" i="2" s="1"/>
  <c r="AP353" i="2"/>
  <c r="AQ353" i="2" s="1"/>
  <c r="AP352" i="2"/>
  <c r="AQ352" i="2" s="1"/>
  <c r="AP351" i="2"/>
  <c r="AQ351" i="2" s="1"/>
  <c r="AP350" i="2"/>
  <c r="AQ350" i="2" s="1"/>
  <c r="AP349" i="2"/>
  <c r="AQ349" i="2" s="1"/>
  <c r="AP348" i="2"/>
  <c r="AQ348" i="2" s="1"/>
  <c r="AP347" i="2"/>
  <c r="AQ347" i="2" s="1"/>
  <c r="AP346" i="2"/>
  <c r="AQ346" i="2" s="1"/>
  <c r="AP345" i="2"/>
  <c r="AQ345" i="2" s="1"/>
  <c r="AP344" i="2"/>
  <c r="AQ344" i="2" s="1"/>
  <c r="AP343" i="2"/>
  <c r="AQ343" i="2" s="1"/>
  <c r="AP342" i="2"/>
  <c r="AQ342" i="2" s="1"/>
  <c r="AP341" i="2"/>
  <c r="AQ341" i="2" s="1"/>
  <c r="AP340" i="2"/>
  <c r="AQ340" i="2" s="1"/>
  <c r="AP339" i="2"/>
  <c r="AQ339" i="2" s="1"/>
  <c r="AP338" i="2"/>
  <c r="AQ338" i="2" s="1"/>
  <c r="AP337" i="2"/>
  <c r="AQ337" i="2" s="1"/>
  <c r="AP336" i="2"/>
  <c r="AQ336" i="2" s="1"/>
  <c r="AP335" i="2"/>
  <c r="AQ335" i="2" s="1"/>
  <c r="AP334" i="2"/>
  <c r="AQ334" i="2" s="1"/>
  <c r="AP333" i="2"/>
  <c r="AQ333" i="2" s="1"/>
  <c r="AP332" i="2"/>
  <c r="AQ332" i="2" s="1"/>
  <c r="AP331" i="2"/>
  <c r="AQ331" i="2" s="1"/>
  <c r="AP330" i="2"/>
  <c r="AQ330" i="2" s="1"/>
  <c r="AP329" i="2"/>
  <c r="AQ329" i="2" s="1"/>
  <c r="AP328" i="2"/>
  <c r="AQ328" i="2" s="1"/>
  <c r="AP327" i="2"/>
  <c r="AQ327" i="2" s="1"/>
  <c r="AP326" i="2"/>
  <c r="AQ326" i="2" s="1"/>
  <c r="AP325" i="2"/>
  <c r="AQ325" i="2" s="1"/>
  <c r="AP324" i="2"/>
  <c r="AQ324" i="2" s="1"/>
  <c r="AP323" i="2"/>
  <c r="AQ323" i="2" s="1"/>
  <c r="AP322" i="2"/>
  <c r="AQ322" i="2" s="1"/>
  <c r="AP321" i="2"/>
  <c r="AQ321" i="2" s="1"/>
  <c r="AP320" i="2"/>
  <c r="AQ320" i="2" s="1"/>
  <c r="AP319" i="2"/>
  <c r="AP318" i="2"/>
  <c r="AQ318" i="2" s="1"/>
  <c r="AP317" i="2"/>
  <c r="AQ317" i="2" s="1"/>
  <c r="AQ528" i="2"/>
  <c r="AQ527" i="2"/>
  <c r="AQ523" i="2"/>
  <c r="AQ519" i="2"/>
  <c r="AQ515" i="2"/>
  <c r="AQ511" i="2"/>
  <c r="AQ507" i="2"/>
  <c r="AQ503" i="2"/>
  <c r="AQ495" i="2"/>
  <c r="AQ491" i="2"/>
  <c r="AQ487" i="2"/>
  <c r="AQ479" i="2"/>
  <c r="AQ475" i="2"/>
  <c r="AQ471" i="2"/>
  <c r="AQ463" i="2"/>
  <c r="AQ459" i="2"/>
  <c r="AQ455" i="2"/>
  <c r="AQ447" i="2"/>
  <c r="AQ443" i="2"/>
  <c r="AQ439" i="2"/>
  <c r="AQ431" i="2"/>
  <c r="AQ427" i="2"/>
  <c r="AQ423" i="2"/>
  <c r="AQ415" i="2"/>
  <c r="AQ411" i="2"/>
  <c r="AQ407" i="2"/>
  <c r="AQ399" i="2"/>
  <c r="AQ387" i="2"/>
  <c r="AQ383" i="2"/>
  <c r="AQ355" i="2"/>
  <c r="AQ319" i="2"/>
  <c r="AP629" i="2"/>
  <c r="AQ629" i="2" s="1"/>
  <c r="AP628" i="2"/>
  <c r="AQ628" i="2" s="1"/>
  <c r="AP627" i="2"/>
  <c r="AQ627" i="2" s="1"/>
  <c r="AP626" i="2"/>
  <c r="AQ626" i="2" s="1"/>
  <c r="AP625" i="2"/>
  <c r="AQ625" i="2" s="1"/>
  <c r="AP624" i="2"/>
  <c r="AQ624" i="2" s="1"/>
  <c r="AP623" i="2"/>
  <c r="AQ623" i="2" s="1"/>
  <c r="AP622" i="2"/>
  <c r="AQ622" i="2" s="1"/>
  <c r="AP621" i="2"/>
  <c r="AQ621" i="2" s="1"/>
  <c r="AP620" i="2"/>
  <c r="AQ620" i="2" s="1"/>
  <c r="AP619" i="2"/>
  <c r="AQ619" i="2" s="1"/>
  <c r="AP618" i="2"/>
  <c r="AQ618" i="2" s="1"/>
  <c r="AP617" i="2"/>
  <c r="AQ617" i="2" s="1"/>
  <c r="AP616" i="2"/>
  <c r="AQ616" i="2" s="1"/>
  <c r="AP615" i="2"/>
  <c r="AQ615" i="2" s="1"/>
  <c r="AP614" i="2"/>
  <c r="AQ614" i="2" s="1"/>
  <c r="AP613" i="2"/>
  <c r="AQ613" i="2" s="1"/>
  <c r="AP612" i="2"/>
  <c r="AQ612" i="2" s="1"/>
  <c r="AP611" i="2"/>
  <c r="AQ611" i="2" s="1"/>
  <c r="AP610" i="2"/>
  <c r="AQ610" i="2" s="1"/>
  <c r="AP609" i="2"/>
  <c r="AQ609" i="2" s="1"/>
  <c r="AP608" i="2"/>
  <c r="AQ608" i="2" s="1"/>
  <c r="AP607" i="2"/>
  <c r="AQ607" i="2" s="1"/>
  <c r="AP606" i="2"/>
  <c r="AQ606" i="2" s="1"/>
  <c r="AP605" i="2"/>
  <c r="AQ605" i="2" s="1"/>
  <c r="AP604" i="2"/>
  <c r="AQ604" i="2" s="1"/>
  <c r="AP603" i="2"/>
  <c r="AQ603" i="2" s="1"/>
  <c r="AP602" i="2"/>
  <c r="AQ602" i="2" s="1"/>
  <c r="AP601" i="2"/>
  <c r="AQ601" i="2" s="1"/>
  <c r="AP600" i="2"/>
  <c r="AQ600" i="2" s="1"/>
  <c r="AP599" i="2"/>
  <c r="AQ599" i="2" s="1"/>
  <c r="AP598" i="2"/>
  <c r="AQ598" i="2" s="1"/>
  <c r="AP597" i="2"/>
  <c r="AQ597" i="2" s="1"/>
  <c r="AP596" i="2"/>
  <c r="AQ596" i="2" s="1"/>
  <c r="AP595" i="2"/>
  <c r="AQ595" i="2" s="1"/>
  <c r="AP594" i="2"/>
  <c r="AQ594" i="2" s="1"/>
  <c r="AP593" i="2"/>
  <c r="AQ593" i="2" s="1"/>
  <c r="AP592" i="2"/>
  <c r="AQ592" i="2" s="1"/>
  <c r="AP591" i="2"/>
  <c r="AQ591" i="2" s="1"/>
  <c r="AP590" i="2"/>
  <c r="AQ590" i="2" s="1"/>
  <c r="AP589" i="2"/>
  <c r="AQ589" i="2" s="1"/>
  <c r="AP588" i="2"/>
  <c r="AQ588" i="2" s="1"/>
  <c r="AP587" i="2"/>
  <c r="AQ587" i="2" s="1"/>
  <c r="AP586" i="2"/>
  <c r="AQ586" i="2" s="1"/>
  <c r="AP585" i="2"/>
  <c r="AQ585" i="2" s="1"/>
  <c r="AP584" i="2"/>
  <c r="AQ584" i="2" s="1"/>
  <c r="AP583" i="2"/>
  <c r="AQ583" i="2" s="1"/>
  <c r="AP582" i="2"/>
  <c r="AQ582" i="2" s="1"/>
  <c r="AP581" i="2"/>
  <c r="AQ581" i="2" s="1"/>
  <c r="AP580" i="2"/>
  <c r="AQ580" i="2" s="1"/>
  <c r="AP579" i="2"/>
  <c r="AQ579" i="2" s="1"/>
  <c r="AP578" i="2"/>
  <c r="AQ578" i="2" s="1"/>
  <c r="AP577" i="2"/>
  <c r="AQ577" i="2" s="1"/>
  <c r="AP576" i="2"/>
  <c r="AQ576" i="2" s="1"/>
  <c r="AP575" i="2"/>
  <c r="AQ575" i="2" s="1"/>
  <c r="AP574" i="2"/>
  <c r="AQ574" i="2" s="1"/>
  <c r="AP573" i="2"/>
  <c r="AQ573" i="2" s="1"/>
  <c r="AP572" i="2"/>
  <c r="AQ572" i="2" s="1"/>
  <c r="AP571" i="2"/>
  <c r="AQ571" i="2" s="1"/>
  <c r="AP570" i="2"/>
  <c r="AQ570" i="2" s="1"/>
  <c r="AP569" i="2"/>
  <c r="AQ569" i="2" s="1"/>
  <c r="AP568" i="2"/>
  <c r="AQ568" i="2" s="1"/>
  <c r="AP567" i="2"/>
  <c r="AQ567" i="2" s="1"/>
  <c r="AP566" i="2"/>
  <c r="AQ566" i="2" s="1"/>
  <c r="AP565" i="2"/>
  <c r="AQ565" i="2" s="1"/>
  <c r="AP564" i="2"/>
  <c r="AQ564" i="2" s="1"/>
  <c r="AP563" i="2"/>
  <c r="AQ563" i="2" s="1"/>
  <c r="AP562" i="2"/>
  <c r="AQ562" i="2" s="1"/>
  <c r="AP561" i="2"/>
  <c r="AQ561" i="2" s="1"/>
  <c r="AP560" i="2"/>
  <c r="AQ560" i="2" s="1"/>
  <c r="AP559" i="2"/>
  <c r="AQ559" i="2" s="1"/>
  <c r="AP558" i="2"/>
  <c r="AQ558" i="2" s="1"/>
  <c r="AP557" i="2"/>
  <c r="AQ557" i="2" s="1"/>
  <c r="AP556" i="2"/>
  <c r="AQ556" i="2" s="1"/>
  <c r="AP555" i="2"/>
  <c r="AQ555" i="2" s="1"/>
  <c r="AP554" i="2"/>
  <c r="AQ554" i="2" s="1"/>
  <c r="AP553" i="2"/>
  <c r="AQ553" i="2" s="1"/>
  <c r="AP552" i="2"/>
  <c r="AQ552" i="2" s="1"/>
  <c r="AP551" i="2"/>
  <c r="AQ551" i="2" s="1"/>
  <c r="AP550" i="2"/>
  <c r="AQ550" i="2" s="1"/>
  <c r="AP549" i="2"/>
  <c r="AQ549" i="2" s="1"/>
  <c r="AP548" i="2"/>
  <c r="AQ548" i="2" s="1"/>
  <c r="AP547" i="2"/>
  <c r="AQ547" i="2" s="1"/>
  <c r="AP546" i="2"/>
  <c r="AQ546" i="2" s="1"/>
  <c r="AP545" i="2"/>
  <c r="AQ545" i="2" s="1"/>
  <c r="AP544" i="2"/>
  <c r="AQ544" i="2" s="1"/>
  <c r="AP543" i="2"/>
  <c r="AQ543" i="2" s="1"/>
  <c r="AP542" i="2"/>
  <c r="AQ542" i="2" s="1"/>
  <c r="AP541" i="2"/>
  <c r="AQ541" i="2" s="1"/>
  <c r="AP540" i="2"/>
  <c r="AQ540" i="2" s="1"/>
  <c r="AP539" i="2"/>
  <c r="AQ539" i="2" s="1"/>
  <c r="AP538" i="2"/>
  <c r="AQ538" i="2" s="1"/>
  <c r="AP537" i="2"/>
  <c r="AQ537" i="2" s="1"/>
  <c r="AP536" i="2"/>
  <c r="AQ536" i="2" s="1"/>
  <c r="AP535" i="2"/>
  <c r="AQ535" i="2" s="1"/>
  <c r="AP534" i="2"/>
  <c r="AQ534" i="2" s="1"/>
  <c r="AP533" i="2"/>
  <c r="AQ533" i="2" s="1"/>
  <c r="AP532" i="2"/>
  <c r="AQ532" i="2" s="1"/>
  <c r="AP531" i="2"/>
  <c r="AQ531" i="2" s="1"/>
  <c r="AP530" i="2"/>
  <c r="AQ530" i="2" s="1"/>
  <c r="AP529" i="2"/>
  <c r="AQ529" i="2" s="1"/>
  <c r="AP630" i="2"/>
  <c r="AQ630" i="2" s="1"/>
  <c r="AN629" i="2"/>
  <c r="AO629" i="2" s="1"/>
  <c r="AN628" i="2"/>
  <c r="AN627" i="2"/>
  <c r="AO627" i="2" s="1"/>
  <c r="AN626" i="2"/>
  <c r="AN625" i="2"/>
  <c r="AO625" i="2" s="1"/>
  <c r="AN624" i="2"/>
  <c r="AO624" i="2" s="1"/>
  <c r="AN623" i="2"/>
  <c r="AO623" i="2" s="1"/>
  <c r="AN622" i="2"/>
  <c r="AO622" i="2" s="1"/>
  <c r="AN621" i="2"/>
  <c r="AO621" i="2" s="1"/>
  <c r="AN620" i="2"/>
  <c r="AO620" i="2" s="1"/>
  <c r="AN619" i="2"/>
  <c r="AO619" i="2" s="1"/>
  <c r="AN618" i="2"/>
  <c r="AO618" i="2" s="1"/>
  <c r="AN617" i="2"/>
  <c r="AO617" i="2" s="1"/>
  <c r="AN616" i="2"/>
  <c r="AO616" i="2" s="1"/>
  <c r="AN615" i="2"/>
  <c r="AO615" i="2" s="1"/>
  <c r="AN614" i="2"/>
  <c r="AO614" i="2" s="1"/>
  <c r="AN613" i="2"/>
  <c r="AO613" i="2" s="1"/>
  <c r="AN612" i="2"/>
  <c r="AO612" i="2" s="1"/>
  <c r="AN611" i="2"/>
  <c r="AO611" i="2" s="1"/>
  <c r="AN610" i="2"/>
  <c r="AO610" i="2" s="1"/>
  <c r="AN609" i="2"/>
  <c r="AO609" i="2" s="1"/>
  <c r="AN608" i="2"/>
  <c r="AO608" i="2" s="1"/>
  <c r="AN607" i="2"/>
  <c r="AO607" i="2" s="1"/>
  <c r="AN606" i="2"/>
  <c r="AN605" i="2"/>
  <c r="AO605" i="2" s="1"/>
  <c r="AN604" i="2"/>
  <c r="AO604" i="2" s="1"/>
  <c r="AN603" i="2"/>
  <c r="AO603" i="2" s="1"/>
  <c r="AN602" i="2"/>
  <c r="AO602" i="2" s="1"/>
  <c r="AN601" i="2"/>
  <c r="AO601" i="2" s="1"/>
  <c r="AN600" i="2"/>
  <c r="AO600" i="2" s="1"/>
  <c r="AN599" i="2"/>
  <c r="AO599" i="2" s="1"/>
  <c r="AN598" i="2"/>
  <c r="AO598" i="2" s="1"/>
  <c r="AN597" i="2"/>
  <c r="AO597" i="2" s="1"/>
  <c r="AN596" i="2"/>
  <c r="AO596" i="2" s="1"/>
  <c r="AN595" i="2"/>
  <c r="AO595" i="2" s="1"/>
  <c r="AN594" i="2"/>
  <c r="AN593" i="2"/>
  <c r="AO593" i="2" s="1"/>
  <c r="AN592" i="2"/>
  <c r="AO592" i="2" s="1"/>
  <c r="AN591" i="2"/>
  <c r="AO591" i="2" s="1"/>
  <c r="AN590" i="2"/>
  <c r="AO590" i="2" s="1"/>
  <c r="AN589" i="2"/>
  <c r="AO589" i="2" s="1"/>
  <c r="AN588" i="2"/>
  <c r="AO588" i="2" s="1"/>
  <c r="AN587" i="2"/>
  <c r="AO587" i="2" s="1"/>
  <c r="AN586" i="2"/>
  <c r="AO586" i="2" s="1"/>
  <c r="AN585" i="2"/>
  <c r="AO585" i="2" s="1"/>
  <c r="AN584" i="2"/>
  <c r="AN583" i="2"/>
  <c r="AO583" i="2" s="1"/>
  <c r="AN582" i="2"/>
  <c r="AO582" i="2" s="1"/>
  <c r="AN581" i="2"/>
  <c r="AO581" i="2" s="1"/>
  <c r="AN580" i="2"/>
  <c r="AO580" i="2" s="1"/>
  <c r="AN579" i="2"/>
  <c r="AO579" i="2" s="1"/>
  <c r="AN578" i="2"/>
  <c r="AO578" i="2" s="1"/>
  <c r="AN577" i="2"/>
  <c r="AO577" i="2" s="1"/>
  <c r="AN576" i="2"/>
  <c r="AO576" i="2" s="1"/>
  <c r="AN575" i="2"/>
  <c r="AO575" i="2" s="1"/>
  <c r="AN574" i="2"/>
  <c r="AN573" i="2"/>
  <c r="AO573" i="2" s="1"/>
  <c r="AN572" i="2"/>
  <c r="AO572" i="2" s="1"/>
  <c r="AN571" i="2"/>
  <c r="AO571" i="2" s="1"/>
  <c r="AN570" i="2"/>
  <c r="AO570" i="2" s="1"/>
  <c r="AN569" i="2"/>
  <c r="AO569" i="2" s="1"/>
  <c r="AN568" i="2"/>
  <c r="AO568" i="2" s="1"/>
  <c r="AN567" i="2"/>
  <c r="AO567" i="2" s="1"/>
  <c r="AN566" i="2"/>
  <c r="AO566" i="2" s="1"/>
  <c r="AN565" i="2"/>
  <c r="AO565" i="2" s="1"/>
  <c r="AN564" i="2"/>
  <c r="AO564" i="2" s="1"/>
  <c r="AN563" i="2"/>
  <c r="AO563" i="2" s="1"/>
  <c r="AN562" i="2"/>
  <c r="AN561" i="2"/>
  <c r="AO561" i="2" s="1"/>
  <c r="AN560" i="2"/>
  <c r="AO560" i="2" s="1"/>
  <c r="AN559" i="2"/>
  <c r="AO559" i="2" s="1"/>
  <c r="AN558" i="2"/>
  <c r="AO558" i="2" s="1"/>
  <c r="AN557" i="2"/>
  <c r="AO557" i="2" s="1"/>
  <c r="AN556" i="2"/>
  <c r="AO556" i="2" s="1"/>
  <c r="AN555" i="2"/>
  <c r="AO555" i="2" s="1"/>
  <c r="AN554" i="2"/>
  <c r="AO554" i="2" s="1"/>
  <c r="AN553" i="2"/>
  <c r="AO553" i="2" s="1"/>
  <c r="AN552" i="2"/>
  <c r="AO552" i="2" s="1"/>
  <c r="AN551" i="2"/>
  <c r="AO551" i="2" s="1"/>
  <c r="AN550" i="2"/>
  <c r="AO550" i="2" s="1"/>
  <c r="AN549" i="2"/>
  <c r="AO549" i="2" s="1"/>
  <c r="AN548" i="2"/>
  <c r="AO548" i="2" s="1"/>
  <c r="AN547" i="2"/>
  <c r="AO547" i="2" s="1"/>
  <c r="AN546" i="2"/>
  <c r="AO546" i="2" s="1"/>
  <c r="AN545" i="2"/>
  <c r="AO545" i="2" s="1"/>
  <c r="AN544" i="2"/>
  <c r="AO544" i="2" s="1"/>
  <c r="AN543" i="2"/>
  <c r="AO543" i="2" s="1"/>
  <c r="AN542" i="2"/>
  <c r="AO542" i="2" s="1"/>
  <c r="AN541" i="2"/>
  <c r="AO541" i="2" s="1"/>
  <c r="AN540" i="2"/>
  <c r="AO540" i="2" s="1"/>
  <c r="AN539" i="2"/>
  <c r="AO539" i="2" s="1"/>
  <c r="AN538" i="2"/>
  <c r="AO538" i="2" s="1"/>
  <c r="AN537" i="2"/>
  <c r="AO537" i="2" s="1"/>
  <c r="AN536" i="2"/>
  <c r="AO536" i="2" s="1"/>
  <c r="AN535" i="2"/>
  <c r="AO535" i="2" s="1"/>
  <c r="AN534" i="2"/>
  <c r="AO534" i="2" s="1"/>
  <c r="AN533" i="2"/>
  <c r="AO533" i="2" s="1"/>
  <c r="AN532" i="2"/>
  <c r="AO532" i="2" s="1"/>
  <c r="AN531" i="2"/>
  <c r="AO531" i="2" s="1"/>
  <c r="AN530" i="2"/>
  <c r="AO530" i="2" s="1"/>
  <c r="AN529" i="2"/>
  <c r="AO529" i="2" s="1"/>
  <c r="AN528" i="2"/>
  <c r="AO528" i="2" s="1"/>
  <c r="AN527" i="2"/>
  <c r="AO527" i="2" s="1"/>
  <c r="AN526" i="2"/>
  <c r="AO526" i="2" s="1"/>
  <c r="AN525" i="2"/>
  <c r="AO525" i="2" s="1"/>
  <c r="AN524" i="2"/>
  <c r="AO524" i="2" s="1"/>
  <c r="AN523" i="2"/>
  <c r="AO523" i="2" s="1"/>
  <c r="AN522" i="2"/>
  <c r="AO522" i="2" s="1"/>
  <c r="AN521" i="2"/>
  <c r="AO521" i="2" s="1"/>
  <c r="AN520" i="2"/>
  <c r="AO520" i="2" s="1"/>
  <c r="AN519" i="2"/>
  <c r="AO519" i="2" s="1"/>
  <c r="AN518" i="2"/>
  <c r="AO518" i="2" s="1"/>
  <c r="AN517" i="2"/>
  <c r="AO517" i="2" s="1"/>
  <c r="AN516" i="2"/>
  <c r="AO516" i="2" s="1"/>
  <c r="AN515" i="2"/>
  <c r="AO515" i="2" s="1"/>
  <c r="AN514" i="2"/>
  <c r="AO514" i="2" s="1"/>
  <c r="AN513" i="2"/>
  <c r="AO513" i="2" s="1"/>
  <c r="AN512" i="2"/>
  <c r="AO512" i="2" s="1"/>
  <c r="AN511" i="2"/>
  <c r="AO511" i="2" s="1"/>
  <c r="AN510" i="2"/>
  <c r="AO510" i="2" s="1"/>
  <c r="AN509" i="2"/>
  <c r="AO509" i="2" s="1"/>
  <c r="AN508" i="2"/>
  <c r="AO508" i="2" s="1"/>
  <c r="AN507" i="2"/>
  <c r="AO507" i="2" s="1"/>
  <c r="AN506" i="2"/>
  <c r="AO506" i="2" s="1"/>
  <c r="AN505" i="2"/>
  <c r="AO505" i="2" s="1"/>
  <c r="AN504" i="2"/>
  <c r="AO504" i="2" s="1"/>
  <c r="AN503" i="2"/>
  <c r="AO503" i="2" s="1"/>
  <c r="AN502" i="2"/>
  <c r="AO502" i="2" s="1"/>
  <c r="AN501" i="2"/>
  <c r="AO501" i="2" s="1"/>
  <c r="AN500" i="2"/>
  <c r="AO500" i="2" s="1"/>
  <c r="AN499" i="2"/>
  <c r="AO499" i="2" s="1"/>
  <c r="AN498" i="2"/>
  <c r="AO498" i="2" s="1"/>
  <c r="AN497" i="2"/>
  <c r="AO497" i="2" s="1"/>
  <c r="AN496" i="2"/>
  <c r="AO496" i="2" s="1"/>
  <c r="AN495" i="2"/>
  <c r="AO495" i="2" s="1"/>
  <c r="AN494" i="2"/>
  <c r="AO494" i="2" s="1"/>
  <c r="AN493" i="2"/>
  <c r="AO493" i="2" s="1"/>
  <c r="AN492" i="2"/>
  <c r="AO492" i="2" s="1"/>
  <c r="AN491" i="2"/>
  <c r="AO491" i="2" s="1"/>
  <c r="AN490" i="2"/>
  <c r="AO490" i="2" s="1"/>
  <c r="AN489" i="2"/>
  <c r="AO489" i="2" s="1"/>
  <c r="AN488" i="2"/>
  <c r="AO488" i="2" s="1"/>
  <c r="AN487" i="2"/>
  <c r="AO487" i="2" s="1"/>
  <c r="AN486" i="2"/>
  <c r="AO486" i="2" s="1"/>
  <c r="AN485" i="2"/>
  <c r="AO485" i="2" s="1"/>
  <c r="AN484" i="2"/>
  <c r="AO484" i="2" s="1"/>
  <c r="AN483" i="2"/>
  <c r="AO483" i="2" s="1"/>
  <c r="AN482" i="2"/>
  <c r="AO482" i="2" s="1"/>
  <c r="AN481" i="2"/>
  <c r="AO481" i="2" s="1"/>
  <c r="AN480" i="2"/>
  <c r="AO480" i="2" s="1"/>
  <c r="AN479" i="2"/>
  <c r="AO479" i="2" s="1"/>
  <c r="AN478" i="2"/>
  <c r="AN477" i="2"/>
  <c r="AO477" i="2" s="1"/>
  <c r="AN476" i="2"/>
  <c r="AO476" i="2" s="1"/>
  <c r="AN475" i="2"/>
  <c r="AO475" i="2" s="1"/>
  <c r="AN474" i="2"/>
  <c r="AO474" i="2" s="1"/>
  <c r="AN473" i="2"/>
  <c r="AO473" i="2" s="1"/>
  <c r="AN472" i="2"/>
  <c r="AO472" i="2" s="1"/>
  <c r="AN471" i="2"/>
  <c r="AO471" i="2" s="1"/>
  <c r="AN470" i="2"/>
  <c r="AO470" i="2" s="1"/>
  <c r="AN469" i="2"/>
  <c r="AO469" i="2" s="1"/>
  <c r="AN468" i="2"/>
  <c r="AO468" i="2" s="1"/>
  <c r="AN467" i="2"/>
  <c r="AO467" i="2" s="1"/>
  <c r="AN466" i="2"/>
  <c r="AN465" i="2"/>
  <c r="AO465" i="2" s="1"/>
  <c r="AN464" i="2"/>
  <c r="AO464" i="2" s="1"/>
  <c r="AN463" i="2"/>
  <c r="AO463" i="2" s="1"/>
  <c r="AN462" i="2"/>
  <c r="AO462" i="2" s="1"/>
  <c r="AN461" i="2"/>
  <c r="AO461" i="2" s="1"/>
  <c r="AN460" i="2"/>
  <c r="AN459" i="2"/>
  <c r="AO459" i="2" s="1"/>
  <c r="AN458" i="2"/>
  <c r="AO458" i="2" s="1"/>
  <c r="AN457" i="2"/>
  <c r="AO457" i="2" s="1"/>
  <c r="AN456" i="2"/>
  <c r="AO456" i="2" s="1"/>
  <c r="AN455" i="2"/>
  <c r="AO455" i="2" s="1"/>
  <c r="AN454" i="2"/>
  <c r="AO454" i="2" s="1"/>
  <c r="AN453" i="2"/>
  <c r="AO453" i="2" s="1"/>
  <c r="AN452" i="2"/>
  <c r="AO452" i="2" s="1"/>
  <c r="AN451" i="2"/>
  <c r="AO451" i="2" s="1"/>
  <c r="AN450" i="2"/>
  <c r="AO450" i="2" s="1"/>
  <c r="AN449" i="2"/>
  <c r="AO449" i="2" s="1"/>
  <c r="AN448" i="2"/>
  <c r="AO448" i="2" s="1"/>
  <c r="AN447" i="2"/>
  <c r="AO447" i="2" s="1"/>
  <c r="AN446" i="2"/>
  <c r="AO446" i="2" s="1"/>
  <c r="AN445" i="2"/>
  <c r="AO445" i="2" s="1"/>
  <c r="AN444" i="2"/>
  <c r="AO444" i="2" s="1"/>
  <c r="AN443" i="2"/>
  <c r="AO443" i="2" s="1"/>
  <c r="AN442" i="2"/>
  <c r="AO442" i="2" s="1"/>
  <c r="AN441" i="2"/>
  <c r="AO441" i="2" s="1"/>
  <c r="AN440" i="2"/>
  <c r="AO440" i="2" s="1"/>
  <c r="AN439" i="2"/>
  <c r="AO439" i="2" s="1"/>
  <c r="AN438" i="2"/>
  <c r="AO438" i="2" s="1"/>
  <c r="AN437" i="2"/>
  <c r="AO437" i="2" s="1"/>
  <c r="AN436" i="2"/>
  <c r="AO436" i="2" s="1"/>
  <c r="AN435" i="2"/>
  <c r="AO435" i="2" s="1"/>
  <c r="AN434" i="2"/>
  <c r="AO434" i="2" s="1"/>
  <c r="AN433" i="2"/>
  <c r="AO433" i="2" s="1"/>
  <c r="AN432" i="2"/>
  <c r="AO432" i="2" s="1"/>
  <c r="AN431" i="2"/>
  <c r="AO431" i="2" s="1"/>
  <c r="AN430" i="2"/>
  <c r="AO430" i="2" s="1"/>
  <c r="AN429" i="2"/>
  <c r="AO429" i="2" s="1"/>
  <c r="AN428" i="2"/>
  <c r="AO428" i="2" s="1"/>
  <c r="AN427" i="2"/>
  <c r="AO427" i="2" s="1"/>
  <c r="AN426" i="2"/>
  <c r="AO426" i="2" s="1"/>
  <c r="AN425" i="2"/>
  <c r="AO425" i="2" s="1"/>
  <c r="AN424" i="2"/>
  <c r="AO424" i="2" s="1"/>
  <c r="AN423" i="2"/>
  <c r="AO423" i="2" s="1"/>
  <c r="AN422" i="2"/>
  <c r="AO422" i="2" s="1"/>
  <c r="AN421" i="2"/>
  <c r="AO421" i="2" s="1"/>
  <c r="AN420" i="2"/>
  <c r="AO420" i="2" s="1"/>
  <c r="AN419" i="2"/>
  <c r="AO419" i="2" s="1"/>
  <c r="AN418" i="2"/>
  <c r="AN417" i="2"/>
  <c r="AO417" i="2" s="1"/>
  <c r="AN416" i="2"/>
  <c r="AO416" i="2" s="1"/>
  <c r="AN415" i="2"/>
  <c r="AO415" i="2" s="1"/>
  <c r="AN414" i="2"/>
  <c r="AO414" i="2" s="1"/>
  <c r="AN413" i="2"/>
  <c r="AO413" i="2" s="1"/>
  <c r="AN412" i="2"/>
  <c r="AO412" i="2" s="1"/>
  <c r="AN411" i="2"/>
  <c r="AO411" i="2" s="1"/>
  <c r="AN410" i="2"/>
  <c r="AO410" i="2" s="1"/>
  <c r="AN409" i="2"/>
  <c r="AO409" i="2" s="1"/>
  <c r="AN408" i="2"/>
  <c r="AO408" i="2" s="1"/>
  <c r="AN407" i="2"/>
  <c r="AO407" i="2" s="1"/>
  <c r="AN406" i="2"/>
  <c r="AO406" i="2" s="1"/>
  <c r="AN405" i="2"/>
  <c r="AO405" i="2" s="1"/>
  <c r="AN404" i="2"/>
  <c r="AO404" i="2" s="1"/>
  <c r="AN403" i="2"/>
  <c r="AO403" i="2" s="1"/>
  <c r="AN402" i="2"/>
  <c r="AN401" i="2"/>
  <c r="AO401" i="2" s="1"/>
  <c r="AN400" i="2"/>
  <c r="AO400" i="2" s="1"/>
  <c r="AN399" i="2"/>
  <c r="AO399" i="2" s="1"/>
  <c r="AN398" i="2"/>
  <c r="AO398" i="2" s="1"/>
  <c r="AN397" i="2"/>
  <c r="AO397" i="2" s="1"/>
  <c r="AN396" i="2"/>
  <c r="AO396" i="2" s="1"/>
  <c r="AN395" i="2"/>
  <c r="AO395" i="2" s="1"/>
  <c r="AN394" i="2"/>
  <c r="AO394" i="2" s="1"/>
  <c r="AN393" i="2"/>
  <c r="AO393" i="2" s="1"/>
  <c r="AN392" i="2"/>
  <c r="AO392" i="2" s="1"/>
  <c r="AN391" i="2"/>
  <c r="AO391" i="2" s="1"/>
  <c r="AN390" i="2"/>
  <c r="AO390" i="2" s="1"/>
  <c r="AN389" i="2"/>
  <c r="AO389" i="2" s="1"/>
  <c r="AN388" i="2"/>
  <c r="AO388" i="2" s="1"/>
  <c r="AN387" i="2"/>
  <c r="AO387" i="2" s="1"/>
  <c r="AN386" i="2"/>
  <c r="AO386" i="2" s="1"/>
  <c r="AN385" i="2"/>
  <c r="AO385" i="2" s="1"/>
  <c r="AN384" i="2"/>
  <c r="AO384" i="2" s="1"/>
  <c r="AN383" i="2"/>
  <c r="AO383" i="2" s="1"/>
  <c r="AN382" i="2"/>
  <c r="AO382" i="2" s="1"/>
  <c r="AN381" i="2"/>
  <c r="AO381" i="2" s="1"/>
  <c r="AN380" i="2"/>
  <c r="AO380" i="2" s="1"/>
  <c r="AN379" i="2"/>
  <c r="AO379" i="2" s="1"/>
  <c r="AN378" i="2"/>
  <c r="AO378" i="2" s="1"/>
  <c r="AN377" i="2"/>
  <c r="AO377" i="2" s="1"/>
  <c r="AN376" i="2"/>
  <c r="AO376" i="2" s="1"/>
  <c r="AN375" i="2"/>
  <c r="AO375" i="2" s="1"/>
  <c r="AN374" i="2"/>
  <c r="AO374" i="2" s="1"/>
  <c r="AN373" i="2"/>
  <c r="AO373" i="2" s="1"/>
  <c r="AN372" i="2"/>
  <c r="AO372" i="2" s="1"/>
  <c r="AN371" i="2"/>
  <c r="AO371" i="2" s="1"/>
  <c r="AN370" i="2"/>
  <c r="AO370" i="2" s="1"/>
  <c r="AN369" i="2"/>
  <c r="AO369" i="2" s="1"/>
  <c r="AN368" i="2"/>
  <c r="AO368" i="2" s="1"/>
  <c r="AN367" i="2"/>
  <c r="AO367" i="2" s="1"/>
  <c r="AN366" i="2"/>
  <c r="AO366" i="2" s="1"/>
  <c r="AN365" i="2"/>
  <c r="AO365" i="2" s="1"/>
  <c r="AN364" i="2"/>
  <c r="AO364" i="2" s="1"/>
  <c r="AN363" i="2"/>
  <c r="AO363" i="2" s="1"/>
  <c r="AN362" i="2"/>
  <c r="AO362" i="2" s="1"/>
  <c r="AN361" i="2"/>
  <c r="AO361" i="2" s="1"/>
  <c r="AN360" i="2"/>
  <c r="AO360" i="2" s="1"/>
  <c r="AN359" i="2"/>
  <c r="AO359" i="2" s="1"/>
  <c r="AN358" i="2"/>
  <c r="AO358" i="2" s="1"/>
  <c r="AN357" i="2"/>
  <c r="AO357" i="2" s="1"/>
  <c r="AN356" i="2"/>
  <c r="AO356" i="2" s="1"/>
  <c r="AN355" i="2"/>
  <c r="AO355" i="2" s="1"/>
  <c r="AN354" i="2"/>
  <c r="AO354" i="2" s="1"/>
  <c r="AN353" i="2"/>
  <c r="AO353" i="2" s="1"/>
  <c r="AN352" i="2"/>
  <c r="AO352" i="2" s="1"/>
  <c r="AN351" i="2"/>
  <c r="AO351" i="2" s="1"/>
  <c r="AN350" i="2"/>
  <c r="AO350" i="2" s="1"/>
  <c r="AN349" i="2"/>
  <c r="AO349" i="2" s="1"/>
  <c r="AN348" i="2"/>
  <c r="AO348" i="2" s="1"/>
  <c r="AN347" i="2"/>
  <c r="AO347" i="2" s="1"/>
  <c r="AN346" i="2"/>
  <c r="AO346" i="2" s="1"/>
  <c r="AN345" i="2"/>
  <c r="AO345" i="2" s="1"/>
  <c r="AN344" i="2"/>
  <c r="AO344" i="2" s="1"/>
  <c r="AN343" i="2"/>
  <c r="AO343" i="2" s="1"/>
  <c r="AN342" i="2"/>
  <c r="AO342" i="2" s="1"/>
  <c r="AN341" i="2"/>
  <c r="AO341" i="2" s="1"/>
  <c r="AN340" i="2"/>
  <c r="AO340" i="2" s="1"/>
  <c r="AN339" i="2"/>
  <c r="AO339" i="2" s="1"/>
  <c r="AN338" i="2"/>
  <c r="AO338" i="2" s="1"/>
  <c r="AN337" i="2"/>
  <c r="AO337" i="2" s="1"/>
  <c r="AN336" i="2"/>
  <c r="AO336" i="2" s="1"/>
  <c r="AN335" i="2"/>
  <c r="AO335" i="2" s="1"/>
  <c r="AN334" i="2"/>
  <c r="AO334" i="2" s="1"/>
  <c r="AN333" i="2"/>
  <c r="AO333" i="2" s="1"/>
  <c r="AN332" i="2"/>
  <c r="AO332" i="2" s="1"/>
  <c r="AN331" i="2"/>
  <c r="AO331" i="2" s="1"/>
  <c r="AN330" i="2"/>
  <c r="AO330" i="2" s="1"/>
  <c r="AN329" i="2"/>
  <c r="AO329" i="2" s="1"/>
  <c r="AN328" i="2"/>
  <c r="AO328" i="2" s="1"/>
  <c r="AN327" i="2"/>
  <c r="AO327" i="2" s="1"/>
  <c r="AN326" i="2"/>
  <c r="AO326" i="2" s="1"/>
  <c r="AN325" i="2"/>
  <c r="AO325" i="2" s="1"/>
  <c r="AN324" i="2"/>
  <c r="AO324" i="2" s="1"/>
  <c r="AN323" i="2"/>
  <c r="AO323" i="2" s="1"/>
  <c r="AN322" i="2"/>
  <c r="AO322" i="2" s="1"/>
  <c r="AN321" i="2"/>
  <c r="AO321" i="2" s="1"/>
  <c r="AN320" i="2"/>
  <c r="AO320" i="2" s="1"/>
  <c r="AN319" i="2"/>
  <c r="AO319" i="2" s="1"/>
  <c r="AN318" i="2"/>
  <c r="AO318" i="2" s="1"/>
  <c r="AN317" i="2"/>
  <c r="AO317" i="2" s="1"/>
  <c r="AN316" i="2"/>
  <c r="AO316" i="2" s="1"/>
  <c r="AN315" i="2"/>
  <c r="AO315" i="2" s="1"/>
  <c r="AN314" i="2"/>
  <c r="AO314" i="2" s="1"/>
  <c r="AN313" i="2"/>
  <c r="AO313" i="2" s="1"/>
  <c r="AN312" i="2"/>
  <c r="AO312" i="2" s="1"/>
  <c r="AN311" i="2"/>
  <c r="AO311" i="2" s="1"/>
  <c r="AN310" i="2"/>
  <c r="AO310" i="2" s="1"/>
  <c r="AN309" i="2"/>
  <c r="AO309" i="2" s="1"/>
  <c r="AN308" i="2"/>
  <c r="AO308" i="2" s="1"/>
  <c r="AN307" i="2"/>
  <c r="AO307" i="2" s="1"/>
  <c r="AN306" i="2"/>
  <c r="AO306" i="2" s="1"/>
  <c r="AN305" i="2"/>
  <c r="AO305" i="2" s="1"/>
  <c r="AN304" i="2"/>
  <c r="AO304" i="2" s="1"/>
  <c r="AN303" i="2"/>
  <c r="AO303" i="2" s="1"/>
  <c r="AN302" i="2"/>
  <c r="AO302" i="2" s="1"/>
  <c r="AN301" i="2"/>
  <c r="AO301" i="2" s="1"/>
  <c r="AN300" i="2"/>
  <c r="AO300" i="2" s="1"/>
  <c r="AN299" i="2"/>
  <c r="AO299" i="2" s="1"/>
  <c r="AN298" i="2"/>
  <c r="AO298" i="2" s="1"/>
  <c r="AN297" i="2"/>
  <c r="AO297" i="2" s="1"/>
  <c r="AN296" i="2"/>
  <c r="AO296" i="2" s="1"/>
  <c r="AN295" i="2"/>
  <c r="AO295" i="2" s="1"/>
  <c r="AN294" i="2"/>
  <c r="AO294" i="2" s="1"/>
  <c r="AN293" i="2"/>
  <c r="AO293" i="2" s="1"/>
  <c r="AN292" i="2"/>
  <c r="AO292" i="2" s="1"/>
  <c r="AN291" i="2"/>
  <c r="AO291" i="2" s="1"/>
  <c r="AN290" i="2"/>
  <c r="AO290" i="2" s="1"/>
  <c r="AN289" i="2"/>
  <c r="AO289" i="2" s="1"/>
  <c r="AN288" i="2"/>
  <c r="AO288" i="2" s="1"/>
  <c r="AN287" i="2"/>
  <c r="AO287" i="2" s="1"/>
  <c r="AN286" i="2"/>
  <c r="AO286" i="2" s="1"/>
  <c r="AN285" i="2"/>
  <c r="AO285" i="2" s="1"/>
  <c r="AN284" i="2"/>
  <c r="AO284" i="2" s="1"/>
  <c r="AN283" i="2"/>
  <c r="AO283" i="2" s="1"/>
  <c r="AN282" i="2"/>
  <c r="AO282" i="2" s="1"/>
  <c r="AN281" i="2"/>
  <c r="AO281" i="2" s="1"/>
  <c r="AN280" i="2"/>
  <c r="AO280" i="2" s="1"/>
  <c r="AN279" i="2"/>
  <c r="AO279" i="2" s="1"/>
  <c r="AN278" i="2"/>
  <c r="AO278" i="2" s="1"/>
  <c r="AN277" i="2"/>
  <c r="AO277" i="2" s="1"/>
  <c r="AN276" i="2"/>
  <c r="AO276" i="2" s="1"/>
  <c r="AN275" i="2"/>
  <c r="AO275" i="2" s="1"/>
  <c r="AN274" i="2"/>
  <c r="AO274" i="2" s="1"/>
  <c r="AN273" i="2"/>
  <c r="AO273" i="2" s="1"/>
  <c r="AN272" i="2"/>
  <c r="AO272" i="2" s="1"/>
  <c r="AN271" i="2"/>
  <c r="AO271" i="2" s="1"/>
  <c r="AN270" i="2"/>
  <c r="AO270" i="2" s="1"/>
  <c r="AN269" i="2"/>
  <c r="AO269" i="2" s="1"/>
  <c r="AN268" i="2"/>
  <c r="AO268" i="2" s="1"/>
  <c r="AN267" i="2"/>
  <c r="AO267" i="2" s="1"/>
  <c r="AN266" i="2"/>
  <c r="AO266" i="2" s="1"/>
  <c r="AN265" i="2"/>
  <c r="AO265" i="2" s="1"/>
  <c r="AN264" i="2"/>
  <c r="AO264" i="2" s="1"/>
  <c r="AN263" i="2"/>
  <c r="AO263" i="2" s="1"/>
  <c r="AN262" i="2"/>
  <c r="AO262" i="2" s="1"/>
  <c r="AN261" i="2"/>
  <c r="AO261" i="2" s="1"/>
  <c r="AN260" i="2"/>
  <c r="AO260" i="2" s="1"/>
  <c r="AN259" i="2"/>
  <c r="AO259" i="2" s="1"/>
  <c r="AN258" i="2"/>
  <c r="AO258" i="2" s="1"/>
  <c r="AN257" i="2"/>
  <c r="AO257" i="2" s="1"/>
  <c r="AN256" i="2"/>
  <c r="AO256" i="2" s="1"/>
  <c r="AN255" i="2"/>
  <c r="AO255" i="2" s="1"/>
  <c r="AN254" i="2"/>
  <c r="AO254" i="2" s="1"/>
  <c r="AN253" i="2"/>
  <c r="AO253" i="2" s="1"/>
  <c r="AN252" i="2"/>
  <c r="AO252" i="2" s="1"/>
  <c r="AN251" i="2"/>
  <c r="AO251" i="2" s="1"/>
  <c r="AN250" i="2"/>
  <c r="AO250" i="2" s="1"/>
  <c r="AN249" i="2"/>
  <c r="AO249" i="2" s="1"/>
  <c r="AN248" i="2"/>
  <c r="AO248" i="2" s="1"/>
  <c r="AN247" i="2"/>
  <c r="AO247" i="2" s="1"/>
  <c r="AN246" i="2"/>
  <c r="AO246" i="2" s="1"/>
  <c r="AN245" i="2"/>
  <c r="AO245" i="2" s="1"/>
  <c r="AN244" i="2"/>
  <c r="AO244" i="2" s="1"/>
  <c r="AN243" i="2"/>
  <c r="AO243" i="2" s="1"/>
  <c r="AN242" i="2"/>
  <c r="AN241" i="2"/>
  <c r="AO241" i="2" s="1"/>
  <c r="AN240" i="2"/>
  <c r="AO240" i="2" s="1"/>
  <c r="AN239" i="2"/>
  <c r="AO239" i="2" s="1"/>
  <c r="AN237" i="2"/>
  <c r="AO237" i="2" s="1"/>
  <c r="AN238" i="2"/>
  <c r="AO238" i="2" s="1"/>
  <c r="AN236" i="2"/>
  <c r="AO236" i="2" s="1"/>
  <c r="AN235" i="2"/>
  <c r="AO235" i="2" s="1"/>
  <c r="AN234" i="2"/>
  <c r="AO234" i="2" s="1"/>
  <c r="AN233" i="2"/>
  <c r="AO233" i="2" s="1"/>
  <c r="AN232" i="2"/>
  <c r="AO232" i="2" s="1"/>
  <c r="AN231" i="2"/>
  <c r="AO231" i="2" s="1"/>
  <c r="AN230" i="2"/>
  <c r="AO230" i="2" s="1"/>
  <c r="AN229" i="2"/>
  <c r="AO229" i="2" s="1"/>
  <c r="AN228" i="2"/>
  <c r="AO228" i="2" s="1"/>
  <c r="AN227" i="2"/>
  <c r="AO227" i="2" s="1"/>
  <c r="AN226" i="2"/>
  <c r="AO226" i="2" s="1"/>
  <c r="AN225" i="2"/>
  <c r="AO225" i="2" s="1"/>
  <c r="AN224" i="2"/>
  <c r="AO224" i="2" s="1"/>
  <c r="AN223" i="2"/>
  <c r="AO223" i="2" s="1"/>
  <c r="AN222" i="2"/>
  <c r="AO222" i="2" s="1"/>
  <c r="AN221" i="2"/>
  <c r="AO221" i="2" s="1"/>
  <c r="AN220" i="2"/>
  <c r="AO220" i="2" s="1"/>
  <c r="AN219" i="2"/>
  <c r="AO219" i="2" s="1"/>
  <c r="AN218" i="2"/>
  <c r="AO218" i="2" s="1"/>
  <c r="AN217" i="2"/>
  <c r="AO217" i="2" s="1"/>
  <c r="AN216" i="2"/>
  <c r="AO216" i="2" s="1"/>
  <c r="AN215" i="2"/>
  <c r="AO215" i="2" s="1"/>
  <c r="AN214" i="2"/>
  <c r="AO214" i="2" s="1"/>
  <c r="AN213" i="2"/>
  <c r="AO213" i="2" s="1"/>
  <c r="AN211" i="2"/>
  <c r="AO211" i="2" s="1"/>
  <c r="AN210" i="2"/>
  <c r="AO210" i="2" s="1"/>
  <c r="AN209" i="2"/>
  <c r="AO209" i="2" s="1"/>
  <c r="AN208" i="2"/>
  <c r="AO208" i="2" s="1"/>
  <c r="AN207" i="2"/>
  <c r="AO207" i="2" s="1"/>
  <c r="AN206" i="2"/>
  <c r="AO206" i="2" s="1"/>
  <c r="AN205" i="2"/>
  <c r="AO205" i="2" s="1"/>
  <c r="AN204" i="2"/>
  <c r="AO204" i="2" s="1"/>
  <c r="AN203" i="2"/>
  <c r="AO203" i="2" s="1"/>
  <c r="AN202" i="2"/>
  <c r="AO202" i="2" s="1"/>
  <c r="AN201" i="2"/>
  <c r="AO201" i="2" s="1"/>
  <c r="AN200" i="2"/>
  <c r="AO200" i="2" s="1"/>
  <c r="AN199" i="2"/>
  <c r="AO199" i="2" s="1"/>
  <c r="AN198" i="2"/>
  <c r="AO198" i="2" s="1"/>
  <c r="AN197" i="2"/>
  <c r="AO197" i="2" s="1"/>
  <c r="AN196" i="2"/>
  <c r="AO196" i="2" s="1"/>
  <c r="AN195" i="2"/>
  <c r="AO195" i="2" s="1"/>
  <c r="AN194" i="2"/>
  <c r="AO194" i="2" s="1"/>
  <c r="AN193" i="2"/>
  <c r="AO193" i="2" s="1"/>
  <c r="AN192" i="2"/>
  <c r="AO192" i="2" s="1"/>
  <c r="AN191" i="2"/>
  <c r="AO191" i="2" s="1"/>
  <c r="AN190" i="2"/>
  <c r="AO190" i="2" s="1"/>
  <c r="AN189" i="2"/>
  <c r="AO189" i="2" s="1"/>
  <c r="AN188" i="2"/>
  <c r="AO188" i="2" s="1"/>
  <c r="AN187" i="2"/>
  <c r="AO187" i="2" s="1"/>
  <c r="AN186" i="2"/>
  <c r="AO186" i="2" s="1"/>
  <c r="AN185" i="2"/>
  <c r="AO185" i="2" s="1"/>
  <c r="AN184" i="2"/>
  <c r="AO184" i="2" s="1"/>
  <c r="AN183" i="2"/>
  <c r="AO183" i="2" s="1"/>
  <c r="AN182" i="2"/>
  <c r="AO182" i="2" s="1"/>
  <c r="AN181" i="2"/>
  <c r="AO181" i="2" s="1"/>
  <c r="AN180" i="2"/>
  <c r="AO180" i="2" s="1"/>
  <c r="AN179" i="2"/>
  <c r="AO179" i="2" s="1"/>
  <c r="AN178" i="2"/>
  <c r="AO178" i="2" s="1"/>
  <c r="AN177" i="2"/>
  <c r="AO177" i="2" s="1"/>
  <c r="AN176" i="2"/>
  <c r="AO176" i="2" s="1"/>
  <c r="AN175" i="2"/>
  <c r="AO175" i="2" s="1"/>
  <c r="AN174" i="2"/>
  <c r="AO174" i="2" s="1"/>
  <c r="AN173" i="2"/>
  <c r="AO173" i="2" s="1"/>
  <c r="AN172" i="2"/>
  <c r="AO172" i="2" s="1"/>
  <c r="AN171" i="2"/>
  <c r="AO171" i="2" s="1"/>
  <c r="AN170" i="2"/>
  <c r="AO170" i="2" s="1"/>
  <c r="AN169" i="2"/>
  <c r="AO169" i="2" s="1"/>
  <c r="AN168" i="2"/>
  <c r="AO168" i="2" s="1"/>
  <c r="AN167" i="2"/>
  <c r="AO167" i="2" s="1"/>
  <c r="AN166" i="2"/>
  <c r="AO166" i="2" s="1"/>
  <c r="AN165" i="2"/>
  <c r="AO165" i="2" s="1"/>
  <c r="AN164" i="2"/>
  <c r="AO164" i="2" s="1"/>
  <c r="AN163" i="2"/>
  <c r="AO163" i="2" s="1"/>
  <c r="AN162" i="2"/>
  <c r="AO162" i="2" s="1"/>
  <c r="AN161" i="2"/>
  <c r="AO161" i="2" s="1"/>
  <c r="AN160" i="2"/>
  <c r="AO160" i="2" s="1"/>
  <c r="AN159" i="2"/>
  <c r="AO159" i="2" s="1"/>
  <c r="AN158" i="2"/>
  <c r="AO158" i="2" s="1"/>
  <c r="AN157" i="2"/>
  <c r="AO157" i="2" s="1"/>
  <c r="AN156" i="2"/>
  <c r="AO156" i="2" s="1"/>
  <c r="AN155" i="2"/>
  <c r="AO155" i="2" s="1"/>
  <c r="AN154" i="2"/>
  <c r="AO154" i="2" s="1"/>
  <c r="AN153" i="2"/>
  <c r="AO153" i="2" s="1"/>
  <c r="AN152" i="2"/>
  <c r="AO152" i="2" s="1"/>
  <c r="AN151" i="2"/>
  <c r="AO151" i="2" s="1"/>
  <c r="AN150" i="2"/>
  <c r="AO150" i="2" s="1"/>
  <c r="AN149" i="2"/>
  <c r="AO149" i="2" s="1"/>
  <c r="AN148" i="2"/>
  <c r="AO148" i="2" s="1"/>
  <c r="AN147" i="2"/>
  <c r="AO147" i="2" s="1"/>
  <c r="AN146" i="2"/>
  <c r="AO146" i="2" s="1"/>
  <c r="AN145" i="2"/>
  <c r="AO145" i="2" s="1"/>
  <c r="AN144" i="2"/>
  <c r="AO144" i="2" s="1"/>
  <c r="AN143" i="2"/>
  <c r="AO143" i="2" s="1"/>
  <c r="AN142" i="2"/>
  <c r="AO142" i="2" s="1"/>
  <c r="AN141" i="2"/>
  <c r="AO141" i="2" s="1"/>
  <c r="AN140" i="2"/>
  <c r="AO140" i="2" s="1"/>
  <c r="AN139" i="2"/>
  <c r="AO139" i="2" s="1"/>
  <c r="AN138" i="2"/>
  <c r="AO138" i="2" s="1"/>
  <c r="AN137" i="2"/>
  <c r="AO137" i="2" s="1"/>
  <c r="AN136" i="2"/>
  <c r="AO136" i="2" s="1"/>
  <c r="AN135" i="2"/>
  <c r="AO135" i="2" s="1"/>
  <c r="AN134" i="2"/>
  <c r="AO134" i="2" s="1"/>
  <c r="AN133" i="2"/>
  <c r="AO133" i="2" s="1"/>
  <c r="AN132" i="2"/>
  <c r="AO132" i="2" s="1"/>
  <c r="AN131" i="2"/>
  <c r="AO131" i="2" s="1"/>
  <c r="AN130" i="2"/>
  <c r="AO130" i="2" s="1"/>
  <c r="AN129" i="2"/>
  <c r="AO129" i="2" s="1"/>
  <c r="AN128" i="2"/>
  <c r="AO128" i="2" s="1"/>
  <c r="AN127" i="2"/>
  <c r="AO127" i="2" s="1"/>
  <c r="AN126" i="2"/>
  <c r="AO126" i="2" s="1"/>
  <c r="AN125" i="2"/>
  <c r="AO125" i="2" s="1"/>
  <c r="AN124" i="2"/>
  <c r="AO124" i="2" s="1"/>
  <c r="AN123" i="2"/>
  <c r="AO123" i="2" s="1"/>
  <c r="AN122" i="2"/>
  <c r="AO122" i="2" s="1"/>
  <c r="AN121" i="2"/>
  <c r="AO121" i="2" s="1"/>
  <c r="AN120" i="2"/>
  <c r="AO120" i="2" s="1"/>
  <c r="AN119" i="2"/>
  <c r="AO119" i="2" s="1"/>
  <c r="AN118" i="2"/>
  <c r="AO118" i="2" s="1"/>
  <c r="AN117" i="2"/>
  <c r="AO117" i="2" s="1"/>
  <c r="AN116" i="2"/>
  <c r="AO116" i="2" s="1"/>
  <c r="AN115" i="2"/>
  <c r="AO115" i="2" s="1"/>
  <c r="AN114" i="2"/>
  <c r="AO114" i="2" s="1"/>
  <c r="AN113" i="2"/>
  <c r="AO113" i="2" s="1"/>
  <c r="AN112" i="2"/>
  <c r="AO112" i="2" s="1"/>
  <c r="AN111" i="2"/>
  <c r="AO111" i="2" s="1"/>
  <c r="AN110" i="2"/>
  <c r="AO110" i="2" s="1"/>
  <c r="AN109" i="2"/>
  <c r="AO109" i="2" s="1"/>
  <c r="AN108" i="2"/>
  <c r="AO108" i="2" s="1"/>
  <c r="AN107" i="2"/>
  <c r="AO107" i="2" s="1"/>
  <c r="AN106" i="2"/>
  <c r="AO106" i="2" s="1"/>
  <c r="AN105" i="2"/>
  <c r="AO105" i="2" s="1"/>
  <c r="AN104" i="2"/>
  <c r="AO104" i="2" s="1"/>
  <c r="AN103" i="2"/>
  <c r="AO103" i="2" s="1"/>
  <c r="AN102" i="2"/>
  <c r="AO102" i="2" s="1"/>
  <c r="AN101" i="2"/>
  <c r="AO101" i="2" s="1"/>
  <c r="AN100" i="2"/>
  <c r="AO100" i="2" s="1"/>
  <c r="AN99" i="2"/>
  <c r="AO99" i="2" s="1"/>
  <c r="AN98" i="2"/>
  <c r="AO98" i="2" s="1"/>
  <c r="AN97" i="2"/>
  <c r="AO97" i="2" s="1"/>
  <c r="AN96" i="2"/>
  <c r="AO96" i="2" s="1"/>
  <c r="AN95" i="2"/>
  <c r="AO95" i="2" s="1"/>
  <c r="AN94" i="2"/>
  <c r="AO94" i="2" s="1"/>
  <c r="AN93" i="2"/>
  <c r="AO93" i="2" s="1"/>
  <c r="AN92" i="2"/>
  <c r="AO92" i="2" s="1"/>
  <c r="AN91" i="2"/>
  <c r="AO91" i="2" s="1"/>
  <c r="AN90" i="2"/>
  <c r="AO90" i="2" s="1"/>
  <c r="AN89" i="2"/>
  <c r="AO89" i="2" s="1"/>
  <c r="AN88" i="2"/>
  <c r="AO88" i="2" s="1"/>
  <c r="AN87" i="2"/>
  <c r="AO87" i="2" s="1"/>
  <c r="AN86" i="2"/>
  <c r="AO86" i="2" s="1"/>
  <c r="AN85" i="2"/>
  <c r="AO85" i="2" s="1"/>
  <c r="AN84" i="2"/>
  <c r="AO84" i="2" s="1"/>
  <c r="AN83" i="2"/>
  <c r="AO83" i="2" s="1"/>
  <c r="AN82" i="2"/>
  <c r="AO82" i="2" s="1"/>
  <c r="AN81" i="2"/>
  <c r="AO81" i="2" s="1"/>
  <c r="AN80" i="2"/>
  <c r="AO80" i="2" s="1"/>
  <c r="AN79" i="2"/>
  <c r="AO79" i="2" s="1"/>
  <c r="AN78" i="2"/>
  <c r="AO78" i="2" s="1"/>
  <c r="AN77" i="2"/>
  <c r="AO77" i="2" s="1"/>
  <c r="AN76" i="2"/>
  <c r="AO76" i="2" s="1"/>
  <c r="AN75" i="2"/>
  <c r="AO75" i="2" s="1"/>
  <c r="AN74" i="2"/>
  <c r="AO74" i="2" s="1"/>
  <c r="AN73" i="2"/>
  <c r="AO73" i="2" s="1"/>
  <c r="AN72" i="2"/>
  <c r="AO72" i="2" s="1"/>
  <c r="AN71" i="2"/>
  <c r="AO71" i="2" s="1"/>
  <c r="AN70" i="2"/>
  <c r="AO70" i="2" s="1"/>
  <c r="AN69" i="2"/>
  <c r="AO69" i="2" s="1"/>
  <c r="AN68" i="2"/>
  <c r="AO68" i="2" s="1"/>
  <c r="AN67" i="2"/>
  <c r="AO67" i="2" s="1"/>
  <c r="AN66" i="2"/>
  <c r="AO66" i="2" s="1"/>
  <c r="AN65" i="2"/>
  <c r="AO65" i="2" s="1"/>
  <c r="AN64" i="2"/>
  <c r="AO64" i="2" s="1"/>
  <c r="AN63" i="2"/>
  <c r="AO63" i="2" s="1"/>
  <c r="AN62" i="2"/>
  <c r="AO62" i="2" s="1"/>
  <c r="AN61" i="2"/>
  <c r="AO61" i="2" s="1"/>
  <c r="AN60" i="2"/>
  <c r="AO60" i="2" s="1"/>
  <c r="AN59" i="2"/>
  <c r="AO59" i="2" s="1"/>
  <c r="AN58" i="2"/>
  <c r="AO58" i="2" s="1"/>
  <c r="AN57" i="2"/>
  <c r="AO57" i="2" s="1"/>
  <c r="AN56" i="2"/>
  <c r="AO56" i="2" s="1"/>
  <c r="AN55" i="2"/>
  <c r="AO55" i="2" s="1"/>
  <c r="AN54" i="2"/>
  <c r="AO54" i="2" s="1"/>
  <c r="AN53" i="2"/>
  <c r="AO53" i="2" s="1"/>
  <c r="AN52" i="2"/>
  <c r="AO52" i="2" s="1"/>
  <c r="AN51" i="2"/>
  <c r="AO51" i="2" s="1"/>
  <c r="AN50" i="2"/>
  <c r="AO50" i="2" s="1"/>
  <c r="AN49" i="2"/>
  <c r="AO49" i="2" s="1"/>
  <c r="AN48" i="2"/>
  <c r="AO48" i="2" s="1"/>
  <c r="AN47" i="2"/>
  <c r="AO47" i="2" s="1"/>
  <c r="AN46" i="2"/>
  <c r="AO46" i="2" s="1"/>
  <c r="AN45" i="2"/>
  <c r="AO45" i="2" s="1"/>
  <c r="AN44" i="2"/>
  <c r="AO44" i="2" s="1"/>
  <c r="AN43" i="2"/>
  <c r="AO43" i="2" s="1"/>
  <c r="AN42" i="2"/>
  <c r="AO42" i="2" s="1"/>
  <c r="AN41" i="2"/>
  <c r="AO41" i="2" s="1"/>
  <c r="AN40" i="2"/>
  <c r="AO40" i="2" s="1"/>
  <c r="AN39" i="2"/>
  <c r="AO39" i="2" s="1"/>
  <c r="AN38" i="2"/>
  <c r="AO38" i="2" s="1"/>
  <c r="AN37" i="2"/>
  <c r="AO37" i="2" s="1"/>
  <c r="AN36" i="2"/>
  <c r="AO36" i="2" s="1"/>
  <c r="AN35" i="2"/>
  <c r="AO35" i="2" s="1"/>
  <c r="AN34" i="2"/>
  <c r="AO34" i="2" s="1"/>
  <c r="AN33" i="2"/>
  <c r="AO33" i="2" s="1"/>
  <c r="AN32" i="2"/>
  <c r="AO32" i="2" s="1"/>
  <c r="AN31" i="2"/>
  <c r="AO31" i="2" s="1"/>
  <c r="AN30" i="2"/>
  <c r="AO30" i="2" s="1"/>
  <c r="AN29" i="2"/>
  <c r="AO29" i="2" s="1"/>
  <c r="AN28" i="2"/>
  <c r="AO28" i="2" s="1"/>
  <c r="AN27" i="2"/>
  <c r="AO27" i="2" s="1"/>
  <c r="AN26" i="2"/>
  <c r="AO26" i="2" s="1"/>
  <c r="AN25" i="2"/>
  <c r="AO25" i="2" s="1"/>
  <c r="AN24" i="2"/>
  <c r="AO24" i="2" s="1"/>
  <c r="AN23" i="2"/>
  <c r="AO23" i="2" s="1"/>
  <c r="AN22" i="2"/>
  <c r="AO22" i="2" s="1"/>
  <c r="AN21" i="2"/>
  <c r="AO21" i="2" s="1"/>
  <c r="AN20" i="2"/>
  <c r="AO20" i="2" s="1"/>
  <c r="AN19" i="2"/>
  <c r="AO19" i="2" s="1"/>
  <c r="AN18" i="2"/>
  <c r="AO18" i="2" s="1"/>
  <c r="AN17" i="2"/>
  <c r="AO17" i="2" s="1"/>
  <c r="AN16" i="2"/>
  <c r="AO16" i="2" s="1"/>
  <c r="AN15" i="2"/>
  <c r="AO15" i="2" s="1"/>
  <c r="AN14" i="2"/>
  <c r="AO14" i="2" s="1"/>
  <c r="AN13" i="2"/>
  <c r="AO13" i="2" s="1"/>
  <c r="AN12" i="2"/>
  <c r="AO12" i="2" s="1"/>
  <c r="AN11" i="2"/>
  <c r="AO11" i="2" s="1"/>
  <c r="AN10" i="2"/>
  <c r="AO10" i="2" s="1"/>
  <c r="AN9" i="2"/>
  <c r="AO9" i="2" s="1"/>
  <c r="AN8" i="2"/>
  <c r="AO8" i="2" s="1"/>
  <c r="AN7" i="2"/>
  <c r="AO7" i="2" s="1"/>
  <c r="AN6" i="2"/>
  <c r="AO6" i="2" s="1"/>
  <c r="AN5" i="2"/>
  <c r="AO5" i="2" s="1"/>
  <c r="AN4" i="2"/>
  <c r="AO4" i="2" s="1"/>
  <c r="AN3" i="2"/>
  <c r="AO3" i="2" s="1"/>
  <c r="AN2" i="2"/>
  <c r="AO2" i="2" s="1"/>
  <c r="AN212" i="2"/>
  <c r="AO212" i="2" s="1"/>
  <c r="AN630" i="2"/>
  <c r="AO630" i="2" s="1"/>
  <c r="AO628" i="2"/>
  <c r="AO626" i="2"/>
  <c r="AO606" i="2"/>
  <c r="AO594" i="2"/>
  <c r="AO584" i="2"/>
  <c r="AO574" i="2"/>
  <c r="AO562" i="2"/>
  <c r="AO478" i="2"/>
  <c r="AO466" i="2"/>
  <c r="AO460" i="2"/>
  <c r="AO418" i="2"/>
  <c r="AO402" i="2"/>
  <c r="AO242" i="2"/>
  <c r="AJ630" i="2"/>
  <c r="AG630" i="2"/>
  <c r="AD630" i="2"/>
  <c r="W630" i="2"/>
  <c r="T630" i="2"/>
  <c r="Q630" i="2"/>
  <c r="AJ629" i="2"/>
  <c r="AG629" i="2"/>
  <c r="AD629" i="2"/>
  <c r="W629" i="2"/>
  <c r="T629" i="2"/>
  <c r="Q629" i="2"/>
  <c r="AJ628" i="2"/>
  <c r="AG628" i="2"/>
  <c r="AD628" i="2"/>
  <c r="W628" i="2"/>
  <c r="T628" i="2"/>
  <c r="Q628" i="2"/>
  <c r="AJ627" i="2"/>
  <c r="AG627" i="2"/>
  <c r="AD627" i="2"/>
  <c r="W627" i="2"/>
  <c r="T627" i="2"/>
  <c r="Q627" i="2"/>
  <c r="AJ626" i="2"/>
  <c r="AG626" i="2"/>
  <c r="AD626" i="2"/>
  <c r="W626" i="2"/>
  <c r="T626" i="2"/>
  <c r="Q626" i="2"/>
  <c r="AJ625" i="2"/>
  <c r="AG625" i="2"/>
  <c r="AD625" i="2"/>
  <c r="W625" i="2"/>
  <c r="T625" i="2"/>
  <c r="Q625" i="2"/>
  <c r="AJ624" i="2"/>
  <c r="AG624" i="2"/>
  <c r="AD624" i="2"/>
  <c r="W624" i="2"/>
  <c r="T624" i="2"/>
  <c r="Q624" i="2"/>
  <c r="AJ623" i="2"/>
  <c r="AG623" i="2"/>
  <c r="AD623" i="2"/>
  <c r="W623" i="2"/>
  <c r="T623" i="2"/>
  <c r="Q623" i="2"/>
  <c r="AJ622" i="2"/>
  <c r="AG622" i="2"/>
  <c r="AD622" i="2"/>
  <c r="W622" i="2"/>
  <c r="T622" i="2"/>
  <c r="Q622" i="2"/>
  <c r="AJ621" i="2"/>
  <c r="AG621" i="2"/>
  <c r="AD621" i="2"/>
  <c r="W621" i="2"/>
  <c r="T621" i="2"/>
  <c r="Q621" i="2"/>
  <c r="AJ620" i="2"/>
  <c r="AG620" i="2"/>
  <c r="AD620" i="2"/>
  <c r="W620" i="2"/>
  <c r="T620" i="2"/>
  <c r="Q620" i="2"/>
  <c r="AJ619" i="2"/>
  <c r="AG619" i="2"/>
  <c r="AD619" i="2"/>
  <c r="W619" i="2"/>
  <c r="T619" i="2"/>
  <c r="Q619" i="2"/>
  <c r="AJ618" i="2"/>
  <c r="AG618" i="2"/>
  <c r="AD618" i="2"/>
  <c r="W618" i="2"/>
  <c r="T618" i="2"/>
  <c r="Q618" i="2"/>
  <c r="AJ617" i="2"/>
  <c r="AG617" i="2"/>
  <c r="AD617" i="2"/>
  <c r="W617" i="2"/>
  <c r="T617" i="2"/>
  <c r="Q617" i="2"/>
  <c r="AJ616" i="2"/>
  <c r="AG616" i="2"/>
  <c r="AD616" i="2"/>
  <c r="W616" i="2"/>
  <c r="T616" i="2"/>
  <c r="Q616" i="2"/>
  <c r="AJ615" i="2"/>
  <c r="AG615" i="2"/>
  <c r="AD615" i="2"/>
  <c r="W615" i="2"/>
  <c r="T615" i="2"/>
  <c r="Q615" i="2"/>
  <c r="AJ614" i="2"/>
  <c r="AG614" i="2"/>
  <c r="AD614" i="2"/>
  <c r="W614" i="2"/>
  <c r="T614" i="2"/>
  <c r="Q614" i="2"/>
  <c r="AJ613" i="2"/>
  <c r="AG613" i="2"/>
  <c r="AD613" i="2"/>
  <c r="W613" i="2"/>
  <c r="T613" i="2"/>
  <c r="Q613" i="2"/>
  <c r="AJ612" i="2"/>
  <c r="AG612" i="2"/>
  <c r="AD612" i="2"/>
  <c r="W612" i="2"/>
  <c r="T612" i="2"/>
  <c r="Q612" i="2"/>
  <c r="AJ611" i="2"/>
  <c r="AG611" i="2"/>
  <c r="AD611" i="2"/>
  <c r="W611" i="2"/>
  <c r="T611" i="2"/>
  <c r="Q611" i="2"/>
  <c r="AJ610" i="2"/>
  <c r="AG610" i="2"/>
  <c r="AD610" i="2"/>
  <c r="W610" i="2"/>
  <c r="T610" i="2"/>
  <c r="Q610" i="2"/>
  <c r="AJ609" i="2"/>
  <c r="AG609" i="2"/>
  <c r="AD609" i="2"/>
  <c r="W609" i="2"/>
  <c r="T609" i="2"/>
  <c r="Q609" i="2"/>
  <c r="AJ608" i="2"/>
  <c r="AG608" i="2"/>
  <c r="AD608" i="2"/>
  <c r="W608" i="2"/>
  <c r="T608" i="2"/>
  <c r="Q608" i="2"/>
  <c r="AJ607" i="2"/>
  <c r="AG607" i="2"/>
  <c r="AD607" i="2"/>
  <c r="W607" i="2"/>
  <c r="T607" i="2"/>
  <c r="Q607" i="2"/>
  <c r="AJ606" i="2"/>
  <c r="AG606" i="2"/>
  <c r="AD606" i="2"/>
  <c r="W606" i="2"/>
  <c r="T606" i="2"/>
  <c r="Q606" i="2"/>
  <c r="AJ605" i="2"/>
  <c r="AG605" i="2"/>
  <c r="AD605" i="2"/>
  <c r="W605" i="2"/>
  <c r="T605" i="2"/>
  <c r="Q605" i="2"/>
  <c r="AJ604" i="2"/>
  <c r="AG604" i="2"/>
  <c r="AD604" i="2"/>
  <c r="W604" i="2"/>
  <c r="T604" i="2"/>
  <c r="Q604" i="2"/>
  <c r="AJ603" i="2"/>
  <c r="AG603" i="2"/>
  <c r="AD603" i="2"/>
  <c r="W603" i="2"/>
  <c r="T603" i="2"/>
  <c r="Q603" i="2"/>
  <c r="AJ602" i="2"/>
  <c r="AG602" i="2"/>
  <c r="AD602" i="2"/>
  <c r="W602" i="2"/>
  <c r="T602" i="2"/>
  <c r="Q602" i="2"/>
  <c r="AJ601" i="2"/>
  <c r="AG601" i="2"/>
  <c r="AD601" i="2"/>
  <c r="W601" i="2"/>
  <c r="T601" i="2"/>
  <c r="Q601" i="2"/>
  <c r="AJ600" i="2"/>
  <c r="AG600" i="2"/>
  <c r="AD600" i="2"/>
  <c r="W600" i="2"/>
  <c r="T600" i="2"/>
  <c r="Q600" i="2"/>
  <c r="AJ599" i="2"/>
  <c r="AG599" i="2"/>
  <c r="AD599" i="2"/>
  <c r="W599" i="2"/>
  <c r="T599" i="2"/>
  <c r="Q599" i="2"/>
  <c r="AJ598" i="2"/>
  <c r="AG598" i="2"/>
  <c r="AD598" i="2"/>
  <c r="W598" i="2"/>
  <c r="T598" i="2"/>
  <c r="Q598" i="2"/>
  <c r="AJ597" i="2"/>
  <c r="AG597" i="2"/>
  <c r="AD597" i="2"/>
  <c r="W597" i="2"/>
  <c r="T597" i="2"/>
  <c r="Q597" i="2"/>
  <c r="AJ596" i="2"/>
  <c r="AG596" i="2"/>
  <c r="AD596" i="2"/>
  <c r="W596" i="2"/>
  <c r="T596" i="2"/>
  <c r="Q596" i="2"/>
  <c r="AJ595" i="2"/>
  <c r="AG595" i="2"/>
  <c r="AD595" i="2"/>
  <c r="W595" i="2"/>
  <c r="T595" i="2"/>
  <c r="Q595" i="2"/>
  <c r="AJ594" i="2"/>
  <c r="AG594" i="2"/>
  <c r="AD594" i="2"/>
  <c r="W594" i="2"/>
  <c r="T594" i="2"/>
  <c r="Q594" i="2"/>
  <c r="AJ593" i="2"/>
  <c r="AG593" i="2"/>
  <c r="AD593" i="2"/>
  <c r="W593" i="2"/>
  <c r="T593" i="2"/>
  <c r="Q593" i="2"/>
  <c r="AJ592" i="2"/>
  <c r="AG592" i="2"/>
  <c r="AD592" i="2"/>
  <c r="W592" i="2"/>
  <c r="T592" i="2"/>
  <c r="Q592" i="2"/>
  <c r="AJ591" i="2"/>
  <c r="AG591" i="2"/>
  <c r="AD591" i="2"/>
  <c r="W591" i="2"/>
  <c r="T591" i="2"/>
  <c r="Q591" i="2"/>
  <c r="AJ590" i="2"/>
  <c r="AG590" i="2"/>
  <c r="AD590" i="2"/>
  <c r="W590" i="2"/>
  <c r="T590" i="2"/>
  <c r="Q590" i="2"/>
  <c r="AJ589" i="2"/>
  <c r="AG589" i="2"/>
  <c r="AD589" i="2"/>
  <c r="W589" i="2"/>
  <c r="T589" i="2"/>
  <c r="Q589" i="2"/>
  <c r="AJ588" i="2"/>
  <c r="AG588" i="2"/>
  <c r="AD588" i="2"/>
  <c r="W588" i="2"/>
  <c r="T588" i="2"/>
  <c r="Q588" i="2"/>
  <c r="AJ587" i="2"/>
  <c r="AG587" i="2"/>
  <c r="AD587" i="2"/>
  <c r="W587" i="2"/>
  <c r="T587" i="2"/>
  <c r="Q587" i="2"/>
  <c r="AJ586" i="2"/>
  <c r="AG586" i="2"/>
  <c r="AD586" i="2"/>
  <c r="W586" i="2"/>
  <c r="T586" i="2"/>
  <c r="Q586" i="2"/>
  <c r="AJ585" i="2"/>
  <c r="AG585" i="2"/>
  <c r="AD585" i="2"/>
  <c r="W585" i="2"/>
  <c r="T585" i="2"/>
  <c r="Q585" i="2"/>
  <c r="AJ584" i="2"/>
  <c r="AG584" i="2"/>
  <c r="AD584" i="2"/>
  <c r="W584" i="2"/>
  <c r="T584" i="2"/>
  <c r="Q584" i="2"/>
  <c r="AJ583" i="2"/>
  <c r="AG583" i="2"/>
  <c r="AD583" i="2"/>
  <c r="W583" i="2"/>
  <c r="T583" i="2"/>
  <c r="Q583" i="2"/>
  <c r="AJ582" i="2"/>
  <c r="AG582" i="2"/>
  <c r="AD582" i="2"/>
  <c r="W582" i="2"/>
  <c r="T582" i="2"/>
  <c r="Q582" i="2"/>
  <c r="AJ581" i="2"/>
  <c r="AG581" i="2"/>
  <c r="AD581" i="2"/>
  <c r="W581" i="2"/>
  <c r="T581" i="2"/>
  <c r="Q581" i="2"/>
  <c r="AJ580" i="2"/>
  <c r="AG580" i="2"/>
  <c r="AD580" i="2"/>
  <c r="W580" i="2"/>
  <c r="T580" i="2"/>
  <c r="Q580" i="2"/>
  <c r="AJ579" i="2"/>
  <c r="AG579" i="2"/>
  <c r="AD579" i="2"/>
  <c r="W579" i="2"/>
  <c r="T579" i="2"/>
  <c r="Q579" i="2"/>
  <c r="AJ578" i="2"/>
  <c r="AG578" i="2"/>
  <c r="AD578" i="2"/>
  <c r="W578" i="2"/>
  <c r="T578" i="2"/>
  <c r="Q578" i="2"/>
  <c r="AJ577" i="2"/>
  <c r="AG577" i="2"/>
  <c r="AD577" i="2"/>
  <c r="W577" i="2"/>
  <c r="T577" i="2"/>
  <c r="Q577" i="2"/>
  <c r="AJ576" i="2"/>
  <c r="AG576" i="2"/>
  <c r="AD576" i="2"/>
  <c r="W576" i="2"/>
  <c r="T576" i="2"/>
  <c r="Q576" i="2"/>
  <c r="AJ575" i="2"/>
  <c r="AG575" i="2"/>
  <c r="AD575" i="2"/>
  <c r="W575" i="2"/>
  <c r="T575" i="2"/>
  <c r="Q575" i="2"/>
  <c r="AJ574" i="2"/>
  <c r="AG574" i="2"/>
  <c r="AD574" i="2"/>
  <c r="W574" i="2"/>
  <c r="T574" i="2"/>
  <c r="Q574" i="2"/>
  <c r="AJ573" i="2"/>
  <c r="AG573" i="2"/>
  <c r="AD573" i="2"/>
  <c r="W573" i="2"/>
  <c r="T573" i="2"/>
  <c r="Q573" i="2"/>
  <c r="AJ572" i="2"/>
  <c r="AG572" i="2"/>
  <c r="AD572" i="2"/>
  <c r="W572" i="2"/>
  <c r="T572" i="2"/>
  <c r="Q572" i="2"/>
  <c r="AJ571" i="2"/>
  <c r="AG571" i="2"/>
  <c r="AD571" i="2"/>
  <c r="W571" i="2"/>
  <c r="T571" i="2"/>
  <c r="Q571" i="2"/>
  <c r="AJ570" i="2"/>
  <c r="AG570" i="2"/>
  <c r="AD570" i="2"/>
  <c r="W570" i="2"/>
  <c r="T570" i="2"/>
  <c r="Q570" i="2"/>
  <c r="AJ569" i="2"/>
  <c r="AG569" i="2"/>
  <c r="AD569" i="2"/>
  <c r="W569" i="2"/>
  <c r="T569" i="2"/>
  <c r="Q569" i="2"/>
  <c r="AJ568" i="2"/>
  <c r="AG568" i="2"/>
  <c r="AD568" i="2"/>
  <c r="W568" i="2"/>
  <c r="T568" i="2"/>
  <c r="Q568" i="2"/>
  <c r="AJ567" i="2"/>
  <c r="AG567" i="2"/>
  <c r="AD567" i="2"/>
  <c r="W567" i="2"/>
  <c r="T567" i="2"/>
  <c r="Q567" i="2"/>
  <c r="AJ566" i="2"/>
  <c r="AG566" i="2"/>
  <c r="AD566" i="2"/>
  <c r="W566" i="2"/>
  <c r="T566" i="2"/>
  <c r="Q566" i="2"/>
  <c r="AJ565" i="2"/>
  <c r="AG565" i="2"/>
  <c r="AD565" i="2"/>
  <c r="W565" i="2"/>
  <c r="T565" i="2"/>
  <c r="Q565" i="2"/>
  <c r="AJ564" i="2"/>
  <c r="AG564" i="2"/>
  <c r="AD564" i="2"/>
  <c r="W564" i="2"/>
  <c r="T564" i="2"/>
  <c r="Q564" i="2"/>
  <c r="AJ563" i="2"/>
  <c r="AG563" i="2"/>
  <c r="AD563" i="2"/>
  <c r="W563" i="2"/>
  <c r="T563" i="2"/>
  <c r="Q563" i="2"/>
  <c r="AJ562" i="2"/>
  <c r="AG562" i="2"/>
  <c r="AD562" i="2"/>
  <c r="W562" i="2"/>
  <c r="T562" i="2"/>
  <c r="Q562" i="2"/>
  <c r="AJ561" i="2"/>
  <c r="AG561" i="2"/>
  <c r="AD561" i="2"/>
  <c r="W561" i="2"/>
  <c r="T561" i="2"/>
  <c r="Q561" i="2"/>
  <c r="AJ560" i="2"/>
  <c r="AG560" i="2"/>
  <c r="AD560" i="2"/>
  <c r="W560" i="2"/>
  <c r="T560" i="2"/>
  <c r="Q560" i="2"/>
  <c r="AJ559" i="2"/>
  <c r="AG559" i="2"/>
  <c r="AD559" i="2"/>
  <c r="W559" i="2"/>
  <c r="T559" i="2"/>
  <c r="Q559" i="2"/>
  <c r="AJ558" i="2"/>
  <c r="AG558" i="2"/>
  <c r="AD558" i="2"/>
  <c r="W558" i="2"/>
  <c r="T558" i="2"/>
  <c r="Q558" i="2"/>
  <c r="AJ557" i="2"/>
  <c r="AG557" i="2"/>
  <c r="AD557" i="2"/>
  <c r="W557" i="2"/>
  <c r="T557" i="2"/>
  <c r="Q557" i="2"/>
  <c r="AJ556" i="2"/>
  <c r="AG556" i="2"/>
  <c r="AD556" i="2"/>
  <c r="W556" i="2"/>
  <c r="T556" i="2"/>
  <c r="Q556" i="2"/>
  <c r="AJ555" i="2"/>
  <c r="AG555" i="2"/>
  <c r="AD555" i="2"/>
  <c r="W555" i="2"/>
  <c r="T555" i="2"/>
  <c r="Q555" i="2"/>
  <c r="AJ554" i="2"/>
  <c r="AG554" i="2"/>
  <c r="AD554" i="2"/>
  <c r="W554" i="2"/>
  <c r="T554" i="2"/>
  <c r="Q554" i="2"/>
  <c r="AJ553" i="2"/>
  <c r="AG553" i="2"/>
  <c r="AD553" i="2"/>
  <c r="W553" i="2"/>
  <c r="T553" i="2"/>
  <c r="Q553" i="2"/>
  <c r="AJ552" i="2"/>
  <c r="AG552" i="2"/>
  <c r="AD552" i="2"/>
  <c r="W552" i="2"/>
  <c r="T552" i="2"/>
  <c r="Q552" i="2"/>
  <c r="AJ551" i="2"/>
  <c r="AG551" i="2"/>
  <c r="AD551" i="2"/>
  <c r="W551" i="2"/>
  <c r="T551" i="2"/>
  <c r="Q551" i="2"/>
  <c r="AJ550" i="2"/>
  <c r="AG550" i="2"/>
  <c r="AD550" i="2"/>
  <c r="W550" i="2"/>
  <c r="T550" i="2"/>
  <c r="Q550" i="2"/>
  <c r="AJ549" i="2"/>
  <c r="AG549" i="2"/>
  <c r="AD549" i="2"/>
  <c r="W549" i="2"/>
  <c r="T549" i="2"/>
  <c r="Q549" i="2"/>
  <c r="AJ548" i="2"/>
  <c r="AG548" i="2"/>
  <c r="AD548" i="2"/>
  <c r="W548" i="2"/>
  <c r="T548" i="2"/>
  <c r="Q548" i="2"/>
  <c r="AJ547" i="2"/>
  <c r="AG547" i="2"/>
  <c r="AD547" i="2"/>
  <c r="W547" i="2"/>
  <c r="T547" i="2"/>
  <c r="Q547" i="2"/>
  <c r="AJ546" i="2"/>
  <c r="AG546" i="2"/>
  <c r="AD546" i="2"/>
  <c r="W546" i="2"/>
  <c r="T546" i="2"/>
  <c r="Q546" i="2"/>
  <c r="AJ545" i="2"/>
  <c r="AG545" i="2"/>
  <c r="AD545" i="2"/>
  <c r="W545" i="2"/>
  <c r="T545" i="2"/>
  <c r="Q545" i="2"/>
  <c r="AJ544" i="2"/>
  <c r="AG544" i="2"/>
  <c r="AD544" i="2"/>
  <c r="W544" i="2"/>
  <c r="T544" i="2"/>
  <c r="Q544" i="2"/>
  <c r="AJ543" i="2"/>
  <c r="AG543" i="2"/>
  <c r="AD543" i="2"/>
  <c r="W543" i="2"/>
  <c r="T543" i="2"/>
  <c r="Q543" i="2"/>
  <c r="AJ542" i="2"/>
  <c r="AG542" i="2"/>
  <c r="AD542" i="2"/>
  <c r="W542" i="2"/>
  <c r="T542" i="2"/>
  <c r="Q542" i="2"/>
  <c r="AJ541" i="2"/>
  <c r="AG541" i="2"/>
  <c r="AD541" i="2"/>
  <c r="W541" i="2"/>
  <c r="T541" i="2"/>
  <c r="Q541" i="2"/>
  <c r="AJ540" i="2"/>
  <c r="AG540" i="2"/>
  <c r="AD540" i="2"/>
  <c r="W540" i="2"/>
  <c r="T540" i="2"/>
  <c r="Q540" i="2"/>
  <c r="AJ539" i="2"/>
  <c r="AG539" i="2"/>
  <c r="AD539" i="2"/>
  <c r="W539" i="2"/>
  <c r="T539" i="2"/>
  <c r="Q539" i="2"/>
  <c r="AJ538" i="2"/>
  <c r="AG538" i="2"/>
  <c r="AD538" i="2"/>
  <c r="W538" i="2"/>
  <c r="T538" i="2"/>
  <c r="Q538" i="2"/>
  <c r="AJ537" i="2"/>
  <c r="AG537" i="2"/>
  <c r="AD537" i="2"/>
  <c r="W537" i="2"/>
  <c r="T537" i="2"/>
  <c r="Q537" i="2"/>
  <c r="AJ536" i="2"/>
  <c r="AG536" i="2"/>
  <c r="AD536" i="2"/>
  <c r="W536" i="2"/>
  <c r="T536" i="2"/>
  <c r="Q536" i="2"/>
  <c r="AJ535" i="2"/>
  <c r="AG535" i="2"/>
  <c r="AD535" i="2"/>
  <c r="W535" i="2"/>
  <c r="T535" i="2"/>
  <c r="Q535" i="2"/>
  <c r="AJ534" i="2"/>
  <c r="AG534" i="2"/>
  <c r="AD534" i="2"/>
  <c r="W534" i="2"/>
  <c r="T534" i="2"/>
  <c r="Q534" i="2"/>
  <c r="AJ533" i="2"/>
  <c r="AG533" i="2"/>
  <c r="AD533" i="2"/>
  <c r="W533" i="2"/>
  <c r="T533" i="2"/>
  <c r="Q533" i="2"/>
  <c r="AJ532" i="2"/>
  <c r="AG532" i="2"/>
  <c r="AD532" i="2"/>
  <c r="W532" i="2"/>
  <c r="T532" i="2"/>
  <c r="Q532" i="2"/>
  <c r="AJ531" i="2"/>
  <c r="AG531" i="2"/>
  <c r="AD531" i="2"/>
  <c r="W531" i="2"/>
  <c r="T531" i="2"/>
  <c r="Q531" i="2"/>
  <c r="AJ530" i="2"/>
  <c r="AG530" i="2"/>
  <c r="AD530" i="2"/>
  <c r="W530" i="2"/>
  <c r="T530" i="2"/>
  <c r="Q530" i="2"/>
  <c r="AJ529" i="2"/>
  <c r="AG529" i="2"/>
  <c r="AD529" i="2"/>
  <c r="W529" i="2"/>
  <c r="T529" i="2"/>
  <c r="Q529" i="2"/>
  <c r="AJ528" i="2"/>
  <c r="AG528" i="2"/>
  <c r="AD528" i="2"/>
  <c r="W528" i="2"/>
  <c r="T528" i="2"/>
  <c r="Q528" i="2"/>
  <c r="AJ527" i="2"/>
  <c r="AG527" i="2"/>
  <c r="AD527" i="2"/>
  <c r="W527" i="2"/>
  <c r="T527" i="2"/>
  <c r="Q527" i="2"/>
  <c r="AJ526" i="2"/>
  <c r="AG526" i="2"/>
  <c r="AD526" i="2"/>
  <c r="W526" i="2"/>
  <c r="T526" i="2"/>
  <c r="Q526" i="2"/>
  <c r="AJ525" i="2"/>
  <c r="AG525" i="2"/>
  <c r="AD525" i="2"/>
  <c r="W525" i="2"/>
  <c r="T525" i="2"/>
  <c r="Q525" i="2"/>
  <c r="AJ524" i="2"/>
  <c r="AG524" i="2"/>
  <c r="AD524" i="2"/>
  <c r="W524" i="2"/>
  <c r="T524" i="2"/>
  <c r="Q524" i="2"/>
  <c r="AJ523" i="2"/>
  <c r="AG523" i="2"/>
  <c r="AD523" i="2"/>
  <c r="W523" i="2"/>
  <c r="T523" i="2"/>
  <c r="Q523" i="2"/>
  <c r="AJ522" i="2"/>
  <c r="AG522" i="2"/>
  <c r="AD522" i="2"/>
  <c r="W522" i="2"/>
  <c r="T522" i="2"/>
  <c r="Q522" i="2"/>
  <c r="AJ521" i="2"/>
  <c r="AG521" i="2"/>
  <c r="AD521" i="2"/>
  <c r="W521" i="2"/>
  <c r="T521" i="2"/>
  <c r="Q521" i="2"/>
  <c r="AJ520" i="2"/>
  <c r="AG520" i="2"/>
  <c r="AD520" i="2"/>
  <c r="W520" i="2"/>
  <c r="T520" i="2"/>
  <c r="Q520" i="2"/>
  <c r="AJ519" i="2"/>
  <c r="AG519" i="2"/>
  <c r="AD519" i="2"/>
  <c r="W519" i="2"/>
  <c r="T519" i="2"/>
  <c r="Q519" i="2"/>
  <c r="AJ518" i="2"/>
  <c r="AG518" i="2"/>
  <c r="AD518" i="2"/>
  <c r="W518" i="2"/>
  <c r="T518" i="2"/>
  <c r="Q518" i="2"/>
  <c r="AJ517" i="2"/>
  <c r="AG517" i="2"/>
  <c r="AD517" i="2"/>
  <c r="W517" i="2"/>
  <c r="T517" i="2"/>
  <c r="Q517" i="2"/>
  <c r="AJ516" i="2"/>
  <c r="AG516" i="2"/>
  <c r="AD516" i="2"/>
  <c r="W516" i="2"/>
  <c r="T516" i="2"/>
  <c r="Q516" i="2"/>
  <c r="AJ515" i="2"/>
  <c r="AG515" i="2"/>
  <c r="AD515" i="2"/>
  <c r="W515" i="2"/>
  <c r="T515" i="2"/>
  <c r="Q515" i="2"/>
  <c r="AJ514" i="2"/>
  <c r="AG514" i="2"/>
  <c r="AD514" i="2"/>
  <c r="W514" i="2"/>
  <c r="T514" i="2"/>
  <c r="Q514" i="2"/>
  <c r="AJ513" i="2"/>
  <c r="AG513" i="2"/>
  <c r="AD513" i="2"/>
  <c r="W513" i="2"/>
  <c r="T513" i="2"/>
  <c r="Q513" i="2"/>
  <c r="AJ512" i="2"/>
  <c r="AG512" i="2"/>
  <c r="AD512" i="2"/>
  <c r="W512" i="2"/>
  <c r="T512" i="2"/>
  <c r="Q512" i="2"/>
  <c r="AJ511" i="2"/>
  <c r="AG511" i="2"/>
  <c r="AD511" i="2"/>
  <c r="W511" i="2"/>
  <c r="T511" i="2"/>
  <c r="Q511" i="2"/>
  <c r="AJ510" i="2"/>
  <c r="AG510" i="2"/>
  <c r="AD510" i="2"/>
  <c r="W510" i="2"/>
  <c r="T510" i="2"/>
  <c r="Q510" i="2"/>
  <c r="AJ509" i="2"/>
  <c r="AG509" i="2"/>
  <c r="AD509" i="2"/>
  <c r="W509" i="2"/>
  <c r="T509" i="2"/>
  <c r="Q509" i="2"/>
  <c r="AJ508" i="2"/>
  <c r="AG508" i="2"/>
  <c r="AD508" i="2"/>
  <c r="W508" i="2"/>
  <c r="T508" i="2"/>
  <c r="Q508" i="2"/>
  <c r="AJ507" i="2"/>
  <c r="AG507" i="2"/>
  <c r="AD507" i="2"/>
  <c r="W507" i="2"/>
  <c r="T507" i="2"/>
  <c r="Q507" i="2"/>
  <c r="AJ506" i="2"/>
  <c r="AG506" i="2"/>
  <c r="AD506" i="2"/>
  <c r="W506" i="2"/>
  <c r="T506" i="2"/>
  <c r="Q506" i="2"/>
  <c r="AJ505" i="2"/>
  <c r="AG505" i="2"/>
  <c r="AD505" i="2"/>
  <c r="W505" i="2"/>
  <c r="T505" i="2"/>
  <c r="Q505" i="2"/>
  <c r="AJ504" i="2"/>
  <c r="AG504" i="2"/>
  <c r="AD504" i="2"/>
  <c r="W504" i="2"/>
  <c r="T504" i="2"/>
  <c r="Q504" i="2"/>
  <c r="AJ503" i="2"/>
  <c r="AG503" i="2"/>
  <c r="AD503" i="2"/>
  <c r="W503" i="2"/>
  <c r="T503" i="2"/>
  <c r="Q503" i="2"/>
  <c r="AJ502" i="2"/>
  <c r="AG502" i="2"/>
  <c r="AD502" i="2"/>
  <c r="W502" i="2"/>
  <c r="T502" i="2"/>
  <c r="Q502" i="2"/>
  <c r="AJ501" i="2"/>
  <c r="AG501" i="2"/>
  <c r="AD501" i="2"/>
  <c r="W501" i="2"/>
  <c r="T501" i="2"/>
  <c r="Q501" i="2"/>
  <c r="AJ500" i="2"/>
  <c r="AG500" i="2"/>
  <c r="AD500" i="2"/>
  <c r="W500" i="2"/>
  <c r="T500" i="2"/>
  <c r="Q500" i="2"/>
  <c r="AJ499" i="2"/>
  <c r="AG499" i="2"/>
  <c r="AD499" i="2"/>
  <c r="W499" i="2"/>
  <c r="T499" i="2"/>
  <c r="Q499" i="2"/>
  <c r="AJ498" i="2"/>
  <c r="AG498" i="2"/>
  <c r="AD498" i="2"/>
  <c r="W498" i="2"/>
  <c r="T498" i="2"/>
  <c r="Q498" i="2"/>
  <c r="AJ497" i="2"/>
  <c r="AG497" i="2"/>
  <c r="AD497" i="2"/>
  <c r="W497" i="2"/>
  <c r="T497" i="2"/>
  <c r="Q497" i="2"/>
  <c r="AJ496" i="2"/>
  <c r="AG496" i="2"/>
  <c r="AD496" i="2"/>
  <c r="W496" i="2"/>
  <c r="T496" i="2"/>
  <c r="Q496" i="2"/>
  <c r="AJ495" i="2"/>
  <c r="AG495" i="2"/>
  <c r="AD495" i="2"/>
  <c r="W495" i="2"/>
  <c r="T495" i="2"/>
  <c r="Q495" i="2"/>
  <c r="AJ494" i="2"/>
  <c r="AG494" i="2"/>
  <c r="AD494" i="2"/>
  <c r="W494" i="2"/>
  <c r="T494" i="2"/>
  <c r="Q494" i="2"/>
  <c r="AJ493" i="2"/>
  <c r="AG493" i="2"/>
  <c r="AD493" i="2"/>
  <c r="W493" i="2"/>
  <c r="T493" i="2"/>
  <c r="Q493" i="2"/>
  <c r="AJ492" i="2" l="1"/>
  <c r="AG492" i="2"/>
  <c r="AD492" i="2"/>
  <c r="W492" i="2"/>
  <c r="T492" i="2"/>
  <c r="Q492" i="2"/>
  <c r="AJ491" i="2"/>
  <c r="AG491" i="2"/>
  <c r="AD491" i="2"/>
  <c r="W491" i="2"/>
  <c r="T491" i="2"/>
  <c r="Q491" i="2"/>
  <c r="AJ490" i="2"/>
  <c r="AG490" i="2"/>
  <c r="AD490" i="2"/>
  <c r="W490" i="2"/>
  <c r="T490" i="2"/>
  <c r="Q490" i="2"/>
  <c r="AJ489" i="2"/>
  <c r="AG489" i="2"/>
  <c r="AD489" i="2"/>
  <c r="W489" i="2"/>
  <c r="T489" i="2"/>
  <c r="Q489" i="2"/>
  <c r="AJ488" i="2"/>
  <c r="AG488" i="2"/>
  <c r="AD488" i="2"/>
  <c r="W488" i="2"/>
  <c r="T488" i="2"/>
  <c r="Q488" i="2"/>
  <c r="AJ487" i="2"/>
  <c r="AG487" i="2"/>
  <c r="AD487" i="2"/>
  <c r="W487" i="2"/>
  <c r="T487" i="2"/>
  <c r="Q487" i="2"/>
  <c r="AJ486" i="2"/>
  <c r="AG486" i="2"/>
  <c r="AD486" i="2"/>
  <c r="W486" i="2"/>
  <c r="T486" i="2"/>
  <c r="Q486" i="2"/>
  <c r="AJ485" i="2"/>
  <c r="AG485" i="2"/>
  <c r="AD485" i="2"/>
  <c r="W485" i="2"/>
  <c r="T485" i="2"/>
  <c r="Q485" i="2"/>
  <c r="AJ484" i="2"/>
  <c r="AG484" i="2"/>
  <c r="AD484" i="2"/>
  <c r="W484" i="2"/>
  <c r="T484" i="2"/>
  <c r="Q484" i="2"/>
  <c r="AJ483" i="2"/>
  <c r="AG483" i="2"/>
  <c r="AD483" i="2"/>
  <c r="W483" i="2"/>
  <c r="T483" i="2"/>
  <c r="Q483" i="2"/>
  <c r="AJ482" i="2"/>
  <c r="AG482" i="2"/>
  <c r="AD482" i="2"/>
  <c r="W482" i="2"/>
  <c r="T482" i="2"/>
  <c r="Q482" i="2"/>
  <c r="AJ481" i="2"/>
  <c r="AG481" i="2"/>
  <c r="AD481" i="2"/>
  <c r="W481" i="2"/>
  <c r="T481" i="2"/>
  <c r="Q481" i="2"/>
  <c r="AJ480" i="2"/>
  <c r="AG480" i="2"/>
  <c r="AD480" i="2"/>
  <c r="W480" i="2"/>
  <c r="T480" i="2"/>
  <c r="Q480" i="2"/>
  <c r="AJ479" i="2"/>
  <c r="AG479" i="2"/>
  <c r="AD479" i="2"/>
  <c r="W479" i="2"/>
  <c r="T479" i="2"/>
  <c r="Q479" i="2"/>
  <c r="AJ478" i="2"/>
  <c r="AG478" i="2"/>
  <c r="AD478" i="2"/>
  <c r="W478" i="2"/>
  <c r="T478" i="2"/>
  <c r="Q478" i="2"/>
  <c r="AJ477" i="2"/>
  <c r="AG477" i="2"/>
  <c r="AD477" i="2"/>
  <c r="W477" i="2"/>
  <c r="T477" i="2"/>
  <c r="Q477" i="2"/>
  <c r="AJ476" i="2"/>
  <c r="AG476" i="2"/>
  <c r="AD476" i="2"/>
  <c r="W476" i="2"/>
  <c r="T476" i="2"/>
  <c r="Q476" i="2"/>
  <c r="AJ475" i="2"/>
  <c r="AG475" i="2"/>
  <c r="AD475" i="2"/>
  <c r="W475" i="2"/>
  <c r="T475" i="2"/>
  <c r="Q475" i="2"/>
  <c r="AJ474" i="2"/>
  <c r="AG474" i="2"/>
  <c r="AD474" i="2"/>
  <c r="W474" i="2"/>
  <c r="T474" i="2"/>
  <c r="Q474" i="2"/>
  <c r="AJ473" i="2"/>
  <c r="AG473" i="2"/>
  <c r="AD473" i="2"/>
  <c r="W473" i="2"/>
  <c r="T473" i="2"/>
  <c r="Q473" i="2"/>
  <c r="AJ472" i="2"/>
  <c r="AG472" i="2"/>
  <c r="AD472" i="2"/>
  <c r="W472" i="2"/>
  <c r="T472" i="2"/>
  <c r="Q472" i="2"/>
  <c r="AJ471" i="2"/>
  <c r="AG471" i="2"/>
  <c r="AD471" i="2"/>
  <c r="W471" i="2"/>
  <c r="T471" i="2"/>
  <c r="Q471" i="2"/>
  <c r="AJ470" i="2"/>
  <c r="AG470" i="2"/>
  <c r="AD470" i="2"/>
  <c r="W470" i="2"/>
  <c r="T470" i="2"/>
  <c r="Q470" i="2"/>
  <c r="AJ469" i="2"/>
  <c r="AG469" i="2"/>
  <c r="AD469" i="2"/>
  <c r="W469" i="2"/>
  <c r="T469" i="2"/>
  <c r="Q469" i="2"/>
  <c r="AJ468" i="2"/>
  <c r="AG468" i="2"/>
  <c r="AD468" i="2"/>
  <c r="W468" i="2"/>
  <c r="T468" i="2"/>
  <c r="Q468" i="2"/>
  <c r="AJ467" i="2"/>
  <c r="AG467" i="2"/>
  <c r="AD467" i="2"/>
  <c r="W467" i="2"/>
  <c r="T467" i="2"/>
  <c r="Q467" i="2"/>
  <c r="AJ466" i="2"/>
  <c r="AG466" i="2"/>
  <c r="AD466" i="2"/>
  <c r="W466" i="2"/>
  <c r="T466" i="2"/>
  <c r="Q466" i="2"/>
  <c r="AJ465" i="2"/>
  <c r="AG465" i="2"/>
  <c r="AD465" i="2"/>
  <c r="W465" i="2"/>
  <c r="T465" i="2"/>
  <c r="Q465" i="2"/>
  <c r="AJ464" i="2"/>
  <c r="AG464" i="2"/>
  <c r="AD464" i="2"/>
  <c r="W464" i="2"/>
  <c r="T464" i="2"/>
  <c r="Q464" i="2"/>
  <c r="AJ463" i="2"/>
  <c r="AG463" i="2"/>
  <c r="AD463" i="2"/>
  <c r="W463" i="2"/>
  <c r="T463" i="2"/>
  <c r="Q463" i="2"/>
  <c r="AJ462" i="2"/>
  <c r="AG462" i="2"/>
  <c r="AD462" i="2"/>
  <c r="W462" i="2"/>
  <c r="T462" i="2"/>
  <c r="Q462" i="2"/>
  <c r="AJ461" i="2"/>
  <c r="AG461" i="2"/>
  <c r="AD461" i="2"/>
  <c r="W461" i="2"/>
  <c r="T461" i="2"/>
  <c r="Q461" i="2"/>
  <c r="AJ460" i="2"/>
  <c r="AG460" i="2"/>
  <c r="AD460" i="2"/>
  <c r="W460" i="2"/>
  <c r="T460" i="2"/>
  <c r="Q460" i="2"/>
  <c r="AJ459" i="2"/>
  <c r="AG459" i="2"/>
  <c r="AD459" i="2"/>
  <c r="W459" i="2"/>
  <c r="T459" i="2"/>
  <c r="Q459" i="2"/>
  <c r="AJ458" i="2"/>
  <c r="AG458" i="2"/>
  <c r="AD458" i="2"/>
  <c r="W458" i="2"/>
  <c r="T458" i="2"/>
  <c r="Q458" i="2"/>
  <c r="AJ457" i="2"/>
  <c r="AG457" i="2"/>
  <c r="AD457" i="2"/>
  <c r="W457" i="2"/>
  <c r="T457" i="2"/>
  <c r="Q457" i="2"/>
  <c r="AJ456" i="2"/>
  <c r="AG456" i="2"/>
  <c r="AD456" i="2"/>
  <c r="W456" i="2"/>
  <c r="T456" i="2"/>
  <c r="Q456" i="2"/>
  <c r="AJ455" i="2"/>
  <c r="AG455" i="2"/>
  <c r="AD455" i="2"/>
  <c r="W455" i="2"/>
  <c r="T455" i="2"/>
  <c r="Q455" i="2"/>
  <c r="AJ454" i="2"/>
  <c r="AG454" i="2"/>
  <c r="AD454" i="2"/>
  <c r="W454" i="2"/>
  <c r="T454" i="2"/>
  <c r="Q454" i="2"/>
  <c r="AJ453" i="2"/>
  <c r="AG453" i="2"/>
  <c r="AD453" i="2"/>
  <c r="W453" i="2"/>
  <c r="T453" i="2"/>
  <c r="Q453" i="2"/>
  <c r="AJ452" i="2"/>
  <c r="AG452" i="2"/>
  <c r="AD452" i="2"/>
  <c r="W452" i="2"/>
  <c r="T452" i="2"/>
  <c r="Q452" i="2"/>
  <c r="AJ451" i="2"/>
  <c r="AG451" i="2"/>
  <c r="AD451" i="2"/>
  <c r="W451" i="2"/>
  <c r="T451" i="2"/>
  <c r="Q451" i="2"/>
  <c r="AJ450" i="2"/>
  <c r="AG450" i="2"/>
  <c r="AD450" i="2"/>
  <c r="W450" i="2"/>
  <c r="T450" i="2"/>
  <c r="Q450" i="2"/>
  <c r="AJ449" i="2"/>
  <c r="AG449" i="2"/>
  <c r="AD449" i="2"/>
  <c r="W449" i="2"/>
  <c r="T449" i="2"/>
  <c r="Q449" i="2"/>
  <c r="AJ448" i="2"/>
  <c r="AG448" i="2"/>
  <c r="AD448" i="2"/>
  <c r="W448" i="2"/>
  <c r="T448" i="2"/>
  <c r="Q448" i="2"/>
  <c r="AJ447" i="2"/>
  <c r="AG447" i="2"/>
  <c r="AD447" i="2"/>
  <c r="W447" i="2"/>
  <c r="T447" i="2"/>
  <c r="Q447" i="2"/>
  <c r="AJ446" i="2"/>
  <c r="AG446" i="2"/>
  <c r="AD446" i="2"/>
  <c r="W446" i="2"/>
  <c r="T446" i="2"/>
  <c r="Q446" i="2"/>
  <c r="AJ445" i="2"/>
  <c r="AG445" i="2"/>
  <c r="AD445" i="2"/>
  <c r="W445" i="2"/>
  <c r="T445" i="2"/>
  <c r="Q445" i="2"/>
  <c r="AJ444" i="2"/>
  <c r="AG444" i="2"/>
  <c r="AD444" i="2"/>
  <c r="W444" i="2"/>
  <c r="T444" i="2"/>
  <c r="Q444" i="2"/>
  <c r="AJ443" i="2"/>
  <c r="AG443" i="2"/>
  <c r="AD443" i="2"/>
  <c r="W443" i="2"/>
  <c r="T443" i="2"/>
  <c r="Q443" i="2"/>
  <c r="AJ442" i="2"/>
  <c r="AG442" i="2"/>
  <c r="AD442" i="2"/>
  <c r="W442" i="2"/>
  <c r="T442" i="2"/>
  <c r="Q442" i="2"/>
  <c r="AJ441" i="2"/>
  <c r="AG441" i="2"/>
  <c r="AD441" i="2"/>
  <c r="W441" i="2"/>
  <c r="T441" i="2"/>
  <c r="Q441" i="2"/>
  <c r="AJ440" i="2"/>
  <c r="AG440" i="2"/>
  <c r="AD440" i="2"/>
  <c r="W440" i="2"/>
  <c r="T440" i="2"/>
  <c r="Q440" i="2"/>
  <c r="AJ439" i="2"/>
  <c r="AG439" i="2"/>
  <c r="AD439" i="2"/>
  <c r="W439" i="2"/>
  <c r="T439" i="2"/>
  <c r="Q439" i="2"/>
  <c r="AJ438" i="2"/>
  <c r="AG438" i="2"/>
  <c r="AD438" i="2"/>
  <c r="W438" i="2"/>
  <c r="T438" i="2"/>
  <c r="Q438" i="2"/>
  <c r="AJ437" i="2"/>
  <c r="AG437" i="2"/>
  <c r="AD437" i="2"/>
  <c r="W437" i="2"/>
  <c r="T437" i="2"/>
  <c r="Q437" i="2"/>
  <c r="AJ436" i="2"/>
  <c r="AG436" i="2"/>
  <c r="AD436" i="2"/>
  <c r="W436" i="2"/>
  <c r="T436" i="2"/>
  <c r="Q436" i="2"/>
  <c r="AJ435" i="2"/>
  <c r="AG435" i="2"/>
  <c r="AD435" i="2"/>
  <c r="W435" i="2"/>
  <c r="T435" i="2"/>
  <c r="Q435" i="2"/>
  <c r="AJ434" i="2"/>
  <c r="AG434" i="2"/>
  <c r="AD434" i="2"/>
  <c r="W434" i="2"/>
  <c r="T434" i="2"/>
  <c r="Q434" i="2"/>
  <c r="AJ433" i="2"/>
  <c r="AG433" i="2"/>
  <c r="AD433" i="2"/>
  <c r="W433" i="2"/>
  <c r="T433" i="2"/>
  <c r="Q433" i="2"/>
  <c r="AJ432" i="2"/>
  <c r="AG432" i="2"/>
  <c r="AD432" i="2"/>
  <c r="W432" i="2"/>
  <c r="T432" i="2"/>
  <c r="Q432" i="2"/>
  <c r="AJ431" i="2"/>
  <c r="AG431" i="2"/>
  <c r="AD431" i="2"/>
  <c r="W431" i="2"/>
  <c r="T431" i="2"/>
  <c r="Q431" i="2"/>
  <c r="AJ430" i="2"/>
  <c r="AG430" i="2"/>
  <c r="AD430" i="2"/>
  <c r="W430" i="2"/>
  <c r="T430" i="2"/>
  <c r="Q430" i="2"/>
  <c r="AJ429" i="2"/>
  <c r="AG429" i="2"/>
  <c r="AD429" i="2"/>
  <c r="W429" i="2"/>
  <c r="T429" i="2"/>
  <c r="Q429" i="2"/>
  <c r="AJ428" i="2"/>
  <c r="AG428" i="2"/>
  <c r="AD428" i="2"/>
  <c r="W428" i="2"/>
  <c r="T428" i="2"/>
  <c r="Q428" i="2"/>
  <c r="AJ427" i="2"/>
  <c r="AG427" i="2"/>
  <c r="AD427" i="2"/>
  <c r="W427" i="2"/>
  <c r="T427" i="2"/>
  <c r="Q427" i="2"/>
  <c r="AJ426" i="2"/>
  <c r="AG426" i="2"/>
  <c r="AD426" i="2"/>
  <c r="W426" i="2"/>
  <c r="T426" i="2"/>
  <c r="Q426" i="2"/>
  <c r="AJ425" i="2"/>
  <c r="AG425" i="2"/>
  <c r="AD425" i="2"/>
  <c r="W425" i="2"/>
  <c r="T425" i="2"/>
  <c r="Q425" i="2"/>
  <c r="AJ424" i="2"/>
  <c r="AG424" i="2"/>
  <c r="AD424" i="2"/>
  <c r="W424" i="2"/>
  <c r="T424" i="2"/>
  <c r="Q424" i="2"/>
  <c r="AJ423" i="2"/>
  <c r="AG423" i="2"/>
  <c r="AD423" i="2"/>
  <c r="W423" i="2"/>
  <c r="T423" i="2"/>
  <c r="Q423" i="2"/>
  <c r="AJ422" i="2"/>
  <c r="AG422" i="2"/>
  <c r="AD422" i="2"/>
  <c r="W422" i="2"/>
  <c r="T422" i="2"/>
  <c r="Q422" i="2"/>
  <c r="AJ421" i="2"/>
  <c r="AG421" i="2"/>
  <c r="AD421" i="2"/>
  <c r="W421" i="2"/>
  <c r="T421" i="2"/>
  <c r="Q421" i="2"/>
  <c r="AJ420" i="2"/>
  <c r="AG420" i="2"/>
  <c r="AD420" i="2"/>
  <c r="W420" i="2"/>
  <c r="T420" i="2"/>
  <c r="Q420" i="2"/>
  <c r="AJ419" i="2"/>
  <c r="AG419" i="2"/>
  <c r="AD419" i="2"/>
  <c r="W419" i="2"/>
  <c r="T419" i="2"/>
  <c r="Q419" i="2"/>
  <c r="AJ418" i="2"/>
  <c r="AG418" i="2"/>
  <c r="AD418" i="2"/>
  <c r="W418" i="2"/>
  <c r="T418" i="2"/>
  <c r="Q418" i="2"/>
  <c r="AJ417" i="2"/>
  <c r="AG417" i="2"/>
  <c r="AD417" i="2"/>
  <c r="W417" i="2"/>
  <c r="T417" i="2"/>
  <c r="Q417" i="2"/>
  <c r="AJ416" i="2"/>
  <c r="AG416" i="2"/>
  <c r="AD416" i="2"/>
  <c r="W416" i="2"/>
  <c r="T416" i="2"/>
  <c r="Q416" i="2"/>
  <c r="AJ415" i="2"/>
  <c r="AG415" i="2"/>
  <c r="AD415" i="2"/>
  <c r="W415" i="2"/>
  <c r="T415" i="2"/>
  <c r="Q415" i="2"/>
  <c r="AJ414" i="2"/>
  <c r="AG414" i="2"/>
  <c r="AD414" i="2"/>
  <c r="W414" i="2"/>
  <c r="T414" i="2"/>
  <c r="Q414" i="2"/>
  <c r="AJ413" i="2"/>
  <c r="AG413" i="2"/>
  <c r="AD413" i="2"/>
  <c r="W413" i="2"/>
  <c r="T413" i="2"/>
  <c r="Q413" i="2"/>
  <c r="AJ412" i="2"/>
  <c r="AG412" i="2"/>
  <c r="AD412" i="2"/>
  <c r="W412" i="2"/>
  <c r="T412" i="2"/>
  <c r="Q412" i="2"/>
  <c r="AJ411" i="2"/>
  <c r="AG411" i="2"/>
  <c r="AD411" i="2"/>
  <c r="W411" i="2"/>
  <c r="T411" i="2"/>
  <c r="Q411" i="2"/>
  <c r="AJ410" i="2"/>
  <c r="AG410" i="2"/>
  <c r="AD410" i="2"/>
  <c r="W410" i="2"/>
  <c r="T410" i="2"/>
  <c r="Q410" i="2"/>
  <c r="AJ409" i="2"/>
  <c r="AG409" i="2"/>
  <c r="AD409" i="2"/>
  <c r="W409" i="2"/>
  <c r="T409" i="2"/>
  <c r="Q409" i="2"/>
  <c r="AJ408" i="2"/>
  <c r="AG408" i="2"/>
  <c r="AD408" i="2"/>
  <c r="W408" i="2"/>
  <c r="T408" i="2"/>
  <c r="Q408" i="2"/>
  <c r="AJ407" i="2"/>
  <c r="AG407" i="2"/>
  <c r="AD407" i="2"/>
  <c r="W407" i="2"/>
  <c r="T407" i="2"/>
  <c r="Q407" i="2"/>
  <c r="AJ406" i="2"/>
  <c r="AG406" i="2"/>
  <c r="AD406" i="2"/>
  <c r="W406" i="2"/>
  <c r="T406" i="2"/>
  <c r="Q406" i="2"/>
  <c r="AJ405" i="2"/>
  <c r="AG405" i="2"/>
  <c r="AD405" i="2"/>
  <c r="W405" i="2"/>
  <c r="T405" i="2"/>
  <c r="Q405" i="2"/>
  <c r="AJ404" i="2"/>
  <c r="AG404" i="2"/>
  <c r="AD404" i="2"/>
  <c r="W404" i="2"/>
  <c r="T404" i="2"/>
  <c r="Q404" i="2"/>
  <c r="AJ403" i="2"/>
  <c r="AG403" i="2"/>
  <c r="AD403" i="2"/>
  <c r="W403" i="2"/>
  <c r="T403" i="2"/>
  <c r="Q403" i="2"/>
  <c r="AJ402" i="2"/>
  <c r="AG402" i="2"/>
  <c r="AD402" i="2"/>
  <c r="W402" i="2"/>
  <c r="T402" i="2"/>
  <c r="Q402" i="2"/>
  <c r="AJ401" i="2"/>
  <c r="AG401" i="2"/>
  <c r="AD401" i="2"/>
  <c r="W401" i="2"/>
  <c r="T401" i="2"/>
  <c r="Q401" i="2"/>
  <c r="AJ400" i="2"/>
  <c r="AG400" i="2"/>
  <c r="AD400" i="2"/>
  <c r="W400" i="2"/>
  <c r="T400" i="2"/>
  <c r="Q400" i="2"/>
  <c r="AJ399" i="2"/>
  <c r="AG399" i="2"/>
  <c r="AD399" i="2"/>
  <c r="W399" i="2"/>
  <c r="T399" i="2"/>
  <c r="Q399" i="2"/>
  <c r="AJ398" i="2"/>
  <c r="AG398" i="2"/>
  <c r="AD398" i="2"/>
  <c r="W398" i="2"/>
  <c r="T398" i="2"/>
  <c r="Q398" i="2"/>
  <c r="AJ397" i="2"/>
  <c r="AG397" i="2"/>
  <c r="AD397" i="2"/>
  <c r="W397" i="2"/>
  <c r="T397" i="2"/>
  <c r="Q397" i="2"/>
  <c r="AJ396" i="2"/>
  <c r="AG396" i="2"/>
  <c r="AD396" i="2"/>
  <c r="W396" i="2"/>
  <c r="T396" i="2"/>
  <c r="Q396" i="2"/>
  <c r="AJ395" i="2"/>
  <c r="AG395" i="2"/>
  <c r="AD395" i="2"/>
  <c r="W395" i="2"/>
  <c r="T395" i="2"/>
  <c r="Q395" i="2"/>
  <c r="AJ394" i="2"/>
  <c r="AG394" i="2"/>
  <c r="AD394" i="2"/>
  <c r="W394" i="2"/>
  <c r="T394" i="2"/>
  <c r="Q394" i="2"/>
  <c r="AJ393" i="2"/>
  <c r="AG393" i="2"/>
  <c r="AD393" i="2"/>
  <c r="W393" i="2"/>
  <c r="T393" i="2"/>
  <c r="Q393" i="2"/>
  <c r="AJ392" i="2"/>
  <c r="AG392" i="2"/>
  <c r="AD392" i="2"/>
  <c r="W392" i="2"/>
  <c r="T392" i="2"/>
  <c r="Q392" i="2"/>
  <c r="AJ391" i="2"/>
  <c r="AG391" i="2"/>
  <c r="AD391" i="2"/>
  <c r="W391" i="2"/>
  <c r="T391" i="2"/>
  <c r="Q391" i="2"/>
  <c r="AJ390" i="2"/>
  <c r="AG390" i="2"/>
  <c r="AD390" i="2"/>
  <c r="W390" i="2"/>
  <c r="T390" i="2"/>
  <c r="Q390" i="2"/>
  <c r="AJ389" i="2"/>
  <c r="AG389" i="2"/>
  <c r="AD389" i="2"/>
  <c r="W389" i="2"/>
  <c r="T389" i="2"/>
  <c r="Q389" i="2"/>
  <c r="AJ388" i="2"/>
  <c r="AG388" i="2"/>
  <c r="AD388" i="2"/>
  <c r="W388" i="2"/>
  <c r="T388" i="2"/>
  <c r="Q388" i="2"/>
  <c r="AJ387" i="2"/>
  <c r="AG387" i="2"/>
  <c r="AD387" i="2"/>
  <c r="W387" i="2"/>
  <c r="T387" i="2"/>
  <c r="Q387" i="2"/>
  <c r="AJ386" i="2"/>
  <c r="AG386" i="2"/>
  <c r="AD386" i="2"/>
  <c r="W386" i="2"/>
  <c r="T386" i="2"/>
  <c r="Q386" i="2"/>
  <c r="AJ385" i="2"/>
  <c r="AG385" i="2"/>
  <c r="AD385" i="2"/>
  <c r="W385" i="2"/>
  <c r="T385" i="2"/>
  <c r="Q385" i="2"/>
  <c r="AJ384" i="2"/>
  <c r="AG384" i="2"/>
  <c r="AD384" i="2"/>
  <c r="W384" i="2"/>
  <c r="T384" i="2"/>
  <c r="Q384" i="2"/>
  <c r="AJ383" i="2"/>
  <c r="AG383" i="2"/>
  <c r="AD383" i="2"/>
  <c r="W383" i="2"/>
  <c r="T383" i="2"/>
  <c r="Q383" i="2"/>
  <c r="AJ382" i="2"/>
  <c r="AG382" i="2"/>
  <c r="AD382" i="2"/>
  <c r="W382" i="2"/>
  <c r="T382" i="2"/>
  <c r="Q382" i="2"/>
  <c r="AJ381" i="2"/>
  <c r="AG381" i="2"/>
  <c r="AD381" i="2"/>
  <c r="W381" i="2"/>
  <c r="T381" i="2"/>
  <c r="Q381" i="2"/>
  <c r="AJ380" i="2"/>
  <c r="AG380" i="2"/>
  <c r="AD380" i="2"/>
  <c r="W380" i="2"/>
  <c r="T380" i="2"/>
  <c r="Q380" i="2"/>
  <c r="AJ379" i="2"/>
  <c r="AG379" i="2"/>
  <c r="AD379" i="2"/>
  <c r="W379" i="2"/>
  <c r="T379" i="2"/>
  <c r="Q379" i="2"/>
  <c r="AJ378" i="2"/>
  <c r="AG378" i="2"/>
  <c r="AD378" i="2"/>
  <c r="W378" i="2"/>
  <c r="T378" i="2"/>
  <c r="Q378" i="2"/>
  <c r="AJ377" i="2"/>
  <c r="AG377" i="2"/>
  <c r="AD377" i="2"/>
  <c r="W377" i="2"/>
  <c r="T377" i="2"/>
  <c r="Q377" i="2"/>
  <c r="AJ376" i="2"/>
  <c r="AG376" i="2"/>
  <c r="AD376" i="2"/>
  <c r="W376" i="2"/>
  <c r="T376" i="2"/>
  <c r="Q376" i="2"/>
  <c r="AJ375" i="2"/>
  <c r="AG375" i="2"/>
  <c r="AD375" i="2"/>
  <c r="W375" i="2"/>
  <c r="T375" i="2"/>
  <c r="Q375" i="2"/>
  <c r="AJ374" i="2"/>
  <c r="AG374" i="2"/>
  <c r="AD374" i="2"/>
  <c r="W374" i="2"/>
  <c r="T374" i="2"/>
  <c r="Q374" i="2"/>
  <c r="AJ373" i="2"/>
  <c r="AG373" i="2"/>
  <c r="AD373" i="2"/>
  <c r="W373" i="2"/>
  <c r="T373" i="2"/>
  <c r="Q373" i="2"/>
  <c r="AJ372" i="2"/>
  <c r="AG372" i="2"/>
  <c r="AD372" i="2"/>
  <c r="W372" i="2"/>
  <c r="T372" i="2"/>
  <c r="Q372" i="2"/>
  <c r="AJ371" i="2"/>
  <c r="AG371" i="2"/>
  <c r="AD371" i="2"/>
  <c r="W371" i="2"/>
  <c r="T371" i="2"/>
  <c r="Q371" i="2"/>
  <c r="AJ370" i="2"/>
  <c r="AG370" i="2"/>
  <c r="AD370" i="2"/>
  <c r="W370" i="2"/>
  <c r="T370" i="2"/>
  <c r="Q370" i="2"/>
  <c r="AJ369" i="2"/>
  <c r="AG369" i="2"/>
  <c r="AD369" i="2"/>
  <c r="W369" i="2"/>
  <c r="T369" i="2"/>
  <c r="Q369" i="2"/>
  <c r="AJ368" i="2"/>
  <c r="AG368" i="2"/>
  <c r="AD368" i="2"/>
  <c r="W368" i="2"/>
  <c r="T368" i="2"/>
  <c r="Q368" i="2"/>
  <c r="AJ367" i="2"/>
  <c r="AG367" i="2"/>
  <c r="AD367" i="2"/>
  <c r="W367" i="2"/>
  <c r="T367" i="2"/>
  <c r="Q367" i="2"/>
  <c r="AJ366" i="2"/>
  <c r="AG366" i="2"/>
  <c r="AD366" i="2"/>
  <c r="W366" i="2"/>
  <c r="T366" i="2"/>
  <c r="Q366" i="2"/>
  <c r="AJ365" i="2"/>
  <c r="AG365" i="2"/>
  <c r="AD365" i="2"/>
  <c r="W365" i="2"/>
  <c r="T365" i="2"/>
  <c r="Q365" i="2"/>
  <c r="AJ364" i="2"/>
  <c r="AG364" i="2"/>
  <c r="AD364" i="2"/>
  <c r="W364" i="2"/>
  <c r="T364" i="2"/>
  <c r="Q364" i="2"/>
  <c r="AJ363" i="2"/>
  <c r="AG363" i="2"/>
  <c r="AD363" i="2"/>
  <c r="W363" i="2"/>
  <c r="T363" i="2"/>
  <c r="Q363" i="2"/>
  <c r="AJ362" i="2"/>
  <c r="AG362" i="2"/>
  <c r="AD362" i="2"/>
  <c r="W362" i="2"/>
  <c r="T362" i="2"/>
  <c r="Q362" i="2"/>
  <c r="AJ361" i="2"/>
  <c r="AG361" i="2"/>
  <c r="AD361" i="2"/>
  <c r="W361" i="2"/>
  <c r="T361" i="2"/>
  <c r="Q361" i="2"/>
  <c r="AJ360" i="2"/>
  <c r="AG360" i="2"/>
  <c r="AD360" i="2"/>
  <c r="W360" i="2"/>
  <c r="T360" i="2"/>
  <c r="Q360" i="2"/>
  <c r="AJ359" i="2"/>
  <c r="AG359" i="2"/>
  <c r="AD359" i="2"/>
  <c r="W359" i="2"/>
  <c r="T359" i="2"/>
  <c r="Q359" i="2"/>
  <c r="AJ358" i="2"/>
  <c r="AG358" i="2"/>
  <c r="AD358" i="2"/>
  <c r="W358" i="2"/>
  <c r="T358" i="2"/>
  <c r="Q358" i="2"/>
  <c r="AJ357" i="2"/>
  <c r="AG357" i="2"/>
  <c r="AD357" i="2"/>
  <c r="W357" i="2"/>
  <c r="T357" i="2"/>
  <c r="Q357" i="2"/>
  <c r="AJ356" i="2"/>
  <c r="AG356" i="2"/>
  <c r="AD356" i="2"/>
  <c r="W356" i="2"/>
  <c r="T356" i="2"/>
  <c r="Q356" i="2"/>
  <c r="AJ355" i="2"/>
  <c r="AG355" i="2"/>
  <c r="AD355" i="2"/>
  <c r="W355" i="2"/>
  <c r="T355" i="2"/>
  <c r="Q355" i="2"/>
  <c r="AJ354" i="2"/>
  <c r="AG354" i="2"/>
  <c r="AD354" i="2"/>
  <c r="W354" i="2"/>
  <c r="T354" i="2"/>
  <c r="Q354" i="2"/>
  <c r="AJ353" i="2"/>
  <c r="AG353" i="2"/>
  <c r="AD353" i="2"/>
  <c r="W353" i="2"/>
  <c r="T353" i="2"/>
  <c r="Q353" i="2"/>
  <c r="AJ352" i="2"/>
  <c r="AG352" i="2"/>
  <c r="AD352" i="2"/>
  <c r="W352" i="2"/>
  <c r="T352" i="2"/>
  <c r="Q352" i="2"/>
  <c r="AJ351" i="2"/>
  <c r="AG351" i="2"/>
  <c r="AD351" i="2"/>
  <c r="W351" i="2"/>
  <c r="T351" i="2"/>
  <c r="Q351" i="2"/>
  <c r="AJ350" i="2"/>
  <c r="AG350" i="2"/>
  <c r="AD350" i="2"/>
  <c r="W350" i="2"/>
  <c r="T350" i="2"/>
  <c r="Q350" i="2"/>
  <c r="AJ349" i="2"/>
  <c r="AG349" i="2"/>
  <c r="AD349" i="2"/>
  <c r="W349" i="2"/>
  <c r="T349" i="2"/>
  <c r="Q349" i="2"/>
  <c r="AJ348" i="2"/>
  <c r="AG348" i="2"/>
  <c r="AD348" i="2"/>
  <c r="W348" i="2"/>
  <c r="T348" i="2"/>
  <c r="Q348" i="2"/>
  <c r="AJ347" i="2"/>
  <c r="AG347" i="2"/>
  <c r="AD347" i="2"/>
  <c r="W347" i="2"/>
  <c r="T347" i="2"/>
  <c r="Q347" i="2"/>
  <c r="AJ346" i="2"/>
  <c r="AG346" i="2"/>
  <c r="AD346" i="2"/>
  <c r="W346" i="2"/>
  <c r="T346" i="2"/>
  <c r="Q346" i="2"/>
  <c r="AJ345" i="2"/>
  <c r="AG345" i="2"/>
  <c r="AD345" i="2"/>
  <c r="W345" i="2"/>
  <c r="T345" i="2"/>
  <c r="Q345" i="2"/>
  <c r="AJ344" i="2"/>
  <c r="AG344" i="2"/>
  <c r="AD344" i="2"/>
  <c r="W344" i="2"/>
  <c r="T344" i="2"/>
  <c r="Q344" i="2"/>
  <c r="AJ343" i="2"/>
  <c r="AG343" i="2"/>
  <c r="AD343" i="2"/>
  <c r="W343" i="2"/>
  <c r="T343" i="2"/>
  <c r="Q343" i="2"/>
  <c r="AJ342" i="2"/>
  <c r="AG342" i="2"/>
  <c r="AD342" i="2"/>
  <c r="W342" i="2"/>
  <c r="T342" i="2"/>
  <c r="Q342" i="2"/>
  <c r="AJ341" i="2"/>
  <c r="AG341" i="2"/>
  <c r="AD341" i="2"/>
  <c r="W341" i="2"/>
  <c r="T341" i="2"/>
  <c r="Q341" i="2"/>
  <c r="AJ340" i="2"/>
  <c r="AG340" i="2"/>
  <c r="AD340" i="2"/>
  <c r="W340" i="2"/>
  <c r="T340" i="2"/>
  <c r="Q340" i="2"/>
  <c r="AJ339" i="2"/>
  <c r="AG339" i="2"/>
  <c r="AD339" i="2"/>
  <c r="W339" i="2"/>
  <c r="T339" i="2"/>
  <c r="Q339" i="2"/>
  <c r="AJ338" i="2"/>
  <c r="AG338" i="2"/>
  <c r="AD338" i="2"/>
  <c r="W338" i="2"/>
  <c r="T338" i="2"/>
  <c r="Q338" i="2"/>
  <c r="AJ337" i="2"/>
  <c r="AG337" i="2"/>
  <c r="AD337" i="2"/>
  <c r="W337" i="2"/>
  <c r="T337" i="2"/>
  <c r="Q337" i="2"/>
  <c r="AJ336" i="2"/>
  <c r="AG336" i="2"/>
  <c r="AD336" i="2"/>
  <c r="W336" i="2"/>
  <c r="T336" i="2"/>
  <c r="Q336" i="2"/>
  <c r="AJ335" i="2"/>
  <c r="AG335" i="2"/>
  <c r="AD335" i="2"/>
  <c r="W335" i="2"/>
  <c r="T335" i="2"/>
  <c r="Q335" i="2"/>
  <c r="AJ334" i="2"/>
  <c r="AG334" i="2"/>
  <c r="AD334" i="2"/>
  <c r="W334" i="2"/>
  <c r="T334" i="2"/>
  <c r="Q334" i="2"/>
  <c r="AJ333" i="2"/>
  <c r="AG333" i="2"/>
  <c r="AD333" i="2"/>
  <c r="W333" i="2"/>
  <c r="T333" i="2"/>
  <c r="Q333" i="2"/>
  <c r="AJ332" i="2"/>
  <c r="AG332" i="2"/>
  <c r="AD332" i="2"/>
  <c r="W332" i="2"/>
  <c r="T332" i="2"/>
  <c r="Q332" i="2"/>
  <c r="AJ331" i="2"/>
  <c r="AG331" i="2"/>
  <c r="AD331" i="2"/>
  <c r="W331" i="2"/>
  <c r="T331" i="2"/>
  <c r="Q331" i="2"/>
  <c r="AJ330" i="2"/>
  <c r="AG330" i="2"/>
  <c r="AD330" i="2"/>
  <c r="W330" i="2"/>
  <c r="T330" i="2"/>
  <c r="Q330" i="2"/>
  <c r="AJ329" i="2"/>
  <c r="AG329" i="2"/>
  <c r="AD329" i="2"/>
  <c r="W329" i="2"/>
  <c r="T329" i="2"/>
  <c r="Q329" i="2"/>
  <c r="AJ328" i="2"/>
  <c r="AG328" i="2"/>
  <c r="AD328" i="2"/>
  <c r="W328" i="2"/>
  <c r="T328" i="2"/>
  <c r="Q328" i="2"/>
  <c r="AJ327" i="2"/>
  <c r="AG327" i="2"/>
  <c r="AD327" i="2"/>
  <c r="W327" i="2"/>
  <c r="T327" i="2"/>
  <c r="Q327" i="2"/>
  <c r="AJ326" i="2"/>
  <c r="AG326" i="2"/>
  <c r="AD326" i="2"/>
  <c r="W326" i="2"/>
  <c r="T326" i="2"/>
  <c r="Q326" i="2"/>
  <c r="AJ325" i="2"/>
  <c r="AG325" i="2"/>
  <c r="AD325" i="2"/>
  <c r="W325" i="2"/>
  <c r="T325" i="2"/>
  <c r="Q325" i="2"/>
  <c r="AJ324" i="2"/>
  <c r="AG324" i="2"/>
  <c r="AD324" i="2"/>
  <c r="W324" i="2"/>
  <c r="T324" i="2"/>
  <c r="Q324" i="2"/>
  <c r="AJ323" i="2"/>
  <c r="AG323" i="2"/>
  <c r="AD323" i="2"/>
  <c r="W323" i="2"/>
  <c r="T323" i="2"/>
  <c r="Q323" i="2"/>
  <c r="AJ322" i="2"/>
  <c r="AG322" i="2"/>
  <c r="AD322" i="2"/>
  <c r="W322" i="2"/>
  <c r="T322" i="2"/>
  <c r="Q322" i="2"/>
  <c r="AJ321" i="2"/>
  <c r="AG321" i="2"/>
  <c r="AD321" i="2"/>
  <c r="W321" i="2"/>
  <c r="T321" i="2"/>
  <c r="Q321" i="2"/>
  <c r="AJ320" i="2"/>
  <c r="AG320" i="2"/>
  <c r="AD320" i="2"/>
  <c r="W320" i="2"/>
  <c r="T320" i="2"/>
  <c r="Q320" i="2"/>
  <c r="AJ319" i="2"/>
  <c r="AG319" i="2"/>
  <c r="AD319" i="2"/>
  <c r="W319" i="2"/>
  <c r="T319" i="2"/>
  <c r="Q319" i="2"/>
  <c r="AJ318" i="2"/>
  <c r="AG318" i="2"/>
  <c r="AD318" i="2"/>
  <c r="W318" i="2"/>
  <c r="T318" i="2"/>
  <c r="Q318" i="2"/>
  <c r="AJ317" i="2"/>
  <c r="AG317" i="2"/>
  <c r="AD317" i="2"/>
  <c r="W317" i="2"/>
  <c r="T317" i="2"/>
  <c r="Q317" i="2"/>
  <c r="AJ316" i="2"/>
  <c r="AG316" i="2"/>
  <c r="AD316" i="2"/>
  <c r="W316" i="2"/>
  <c r="T316" i="2"/>
  <c r="Q316" i="2"/>
  <c r="AJ315" i="2"/>
  <c r="AG315" i="2"/>
  <c r="AD315" i="2"/>
  <c r="W315" i="2"/>
  <c r="T315" i="2"/>
  <c r="Q315" i="2"/>
  <c r="AJ314" i="2"/>
  <c r="AG314" i="2"/>
  <c r="AD314" i="2"/>
  <c r="W314" i="2"/>
  <c r="T314" i="2"/>
  <c r="Q314" i="2"/>
  <c r="AJ313" i="2"/>
  <c r="AG313" i="2"/>
  <c r="AD313" i="2"/>
  <c r="W313" i="2"/>
  <c r="T313" i="2"/>
  <c r="Q313" i="2"/>
  <c r="AJ312" i="2"/>
  <c r="AG312" i="2"/>
  <c r="AD312" i="2"/>
  <c r="W312" i="2"/>
  <c r="T312" i="2"/>
  <c r="Q312" i="2"/>
  <c r="AJ311" i="2"/>
  <c r="AG311" i="2"/>
  <c r="AD311" i="2"/>
  <c r="W311" i="2"/>
  <c r="T311" i="2"/>
  <c r="Q311" i="2"/>
  <c r="AJ310" i="2"/>
  <c r="AG310" i="2"/>
  <c r="AD310" i="2"/>
  <c r="W310" i="2"/>
  <c r="T310" i="2"/>
  <c r="Q310" i="2"/>
  <c r="AJ309" i="2"/>
  <c r="AG309" i="2"/>
  <c r="AD309" i="2"/>
  <c r="W309" i="2"/>
  <c r="T309" i="2"/>
  <c r="Q309" i="2"/>
  <c r="AJ308" i="2"/>
  <c r="AG308" i="2"/>
  <c r="AD308" i="2"/>
  <c r="W308" i="2"/>
  <c r="T308" i="2"/>
  <c r="Q308" i="2"/>
  <c r="AJ307" i="2"/>
  <c r="AG307" i="2"/>
  <c r="AD307" i="2"/>
  <c r="W307" i="2"/>
  <c r="T307" i="2"/>
  <c r="Q307" i="2"/>
  <c r="AJ306" i="2"/>
  <c r="AG306" i="2"/>
  <c r="AD306" i="2"/>
  <c r="W306" i="2"/>
  <c r="T306" i="2"/>
  <c r="Q306" i="2"/>
  <c r="AJ305" i="2"/>
  <c r="AG305" i="2"/>
  <c r="AD305" i="2"/>
  <c r="W305" i="2"/>
  <c r="T305" i="2"/>
  <c r="Q305" i="2"/>
  <c r="AJ304" i="2"/>
  <c r="AG304" i="2"/>
  <c r="AD304" i="2"/>
  <c r="W304" i="2"/>
  <c r="T304" i="2"/>
  <c r="Q304" i="2"/>
  <c r="AJ303" i="2"/>
  <c r="AG303" i="2"/>
  <c r="AD303" i="2"/>
  <c r="W303" i="2"/>
  <c r="T303" i="2"/>
  <c r="Q303" i="2"/>
  <c r="AJ302" i="2"/>
  <c r="AG302" i="2"/>
  <c r="AD302" i="2"/>
  <c r="W302" i="2"/>
  <c r="T302" i="2"/>
  <c r="Q302" i="2"/>
  <c r="AJ301" i="2"/>
  <c r="AG301" i="2"/>
  <c r="AD301" i="2"/>
  <c r="W301" i="2"/>
  <c r="T301" i="2"/>
  <c r="Q301" i="2"/>
  <c r="AJ300" i="2"/>
  <c r="AG300" i="2"/>
  <c r="AD300" i="2"/>
  <c r="W300" i="2"/>
  <c r="T300" i="2"/>
  <c r="Q300" i="2"/>
  <c r="AJ299" i="2"/>
  <c r="AG299" i="2"/>
  <c r="AD299" i="2"/>
  <c r="W299" i="2"/>
  <c r="T299" i="2"/>
  <c r="Q299" i="2"/>
  <c r="AJ298" i="2"/>
  <c r="AG298" i="2"/>
  <c r="AD298" i="2"/>
  <c r="W298" i="2"/>
  <c r="T298" i="2"/>
  <c r="Q298" i="2"/>
  <c r="AJ297" i="2"/>
  <c r="AG297" i="2"/>
  <c r="AD297" i="2"/>
  <c r="W297" i="2"/>
  <c r="T297" i="2"/>
  <c r="Q297" i="2"/>
  <c r="AJ296" i="2"/>
  <c r="AG296" i="2"/>
  <c r="AD296" i="2"/>
  <c r="W296" i="2"/>
  <c r="T296" i="2"/>
  <c r="Q296" i="2"/>
  <c r="AJ295" i="2"/>
  <c r="AG295" i="2"/>
  <c r="AD295" i="2"/>
  <c r="W295" i="2"/>
  <c r="T295" i="2"/>
  <c r="Q295" i="2"/>
  <c r="AJ294" i="2"/>
  <c r="AG294" i="2"/>
  <c r="AD294" i="2"/>
  <c r="W294" i="2"/>
  <c r="T294" i="2"/>
  <c r="Q294" i="2"/>
  <c r="AJ293" i="2"/>
  <c r="AG293" i="2"/>
  <c r="AD293" i="2"/>
  <c r="W293" i="2"/>
  <c r="T293" i="2"/>
  <c r="Q293" i="2"/>
  <c r="AJ292" i="2"/>
  <c r="AG292" i="2"/>
  <c r="AD292" i="2"/>
  <c r="W292" i="2"/>
  <c r="T292" i="2"/>
  <c r="Q292" i="2"/>
  <c r="AJ291" i="2"/>
  <c r="AG291" i="2"/>
  <c r="AD291" i="2"/>
  <c r="W291" i="2"/>
  <c r="T291" i="2"/>
  <c r="Q291" i="2"/>
  <c r="AJ290" i="2"/>
  <c r="AG290" i="2"/>
  <c r="AD290" i="2"/>
  <c r="W290" i="2"/>
  <c r="T290" i="2"/>
  <c r="Q290" i="2"/>
  <c r="AJ289" i="2"/>
  <c r="AG289" i="2"/>
  <c r="AD289" i="2"/>
  <c r="W289" i="2"/>
  <c r="T289" i="2"/>
  <c r="Q289" i="2"/>
  <c r="AJ288" i="2"/>
  <c r="AG288" i="2"/>
  <c r="AD288" i="2"/>
  <c r="W288" i="2"/>
  <c r="T288" i="2"/>
  <c r="Q288" i="2"/>
  <c r="AJ287" i="2"/>
  <c r="AG287" i="2"/>
  <c r="AD287" i="2"/>
  <c r="W287" i="2"/>
  <c r="T287" i="2"/>
  <c r="Q287" i="2"/>
  <c r="AJ286" i="2"/>
  <c r="AG286" i="2"/>
  <c r="AD286" i="2"/>
  <c r="W286" i="2"/>
  <c r="T286" i="2"/>
  <c r="Q286" i="2"/>
  <c r="AJ285" i="2"/>
  <c r="AG285" i="2"/>
  <c r="AD285" i="2"/>
  <c r="W285" i="2"/>
  <c r="T285" i="2"/>
  <c r="Q285" i="2"/>
  <c r="AJ284" i="2"/>
  <c r="AG284" i="2"/>
  <c r="AD284" i="2"/>
  <c r="W284" i="2"/>
  <c r="T284" i="2"/>
  <c r="Q284" i="2"/>
  <c r="AJ283" i="2"/>
  <c r="AG283" i="2"/>
  <c r="AD283" i="2"/>
  <c r="W283" i="2"/>
  <c r="T283" i="2"/>
  <c r="Q283" i="2"/>
  <c r="AJ282" i="2"/>
  <c r="AG282" i="2"/>
  <c r="AD282" i="2"/>
  <c r="W282" i="2"/>
  <c r="T282" i="2"/>
  <c r="Q282" i="2"/>
  <c r="AJ281" i="2"/>
  <c r="AG281" i="2"/>
  <c r="AD281" i="2"/>
  <c r="W281" i="2"/>
  <c r="T281" i="2"/>
  <c r="Q281" i="2"/>
  <c r="AJ280" i="2"/>
  <c r="AG280" i="2"/>
  <c r="AD280" i="2"/>
  <c r="W280" i="2"/>
  <c r="T280" i="2"/>
  <c r="Q280" i="2"/>
  <c r="AJ279" i="2"/>
  <c r="AG279" i="2"/>
  <c r="AD279" i="2"/>
  <c r="W279" i="2"/>
  <c r="T279" i="2"/>
  <c r="Q279" i="2"/>
  <c r="AJ278" i="2"/>
  <c r="AG278" i="2"/>
  <c r="AD278" i="2"/>
  <c r="W278" i="2"/>
  <c r="T278" i="2"/>
  <c r="Q278" i="2"/>
  <c r="AJ277" i="2"/>
  <c r="AG277" i="2"/>
  <c r="AD277" i="2"/>
  <c r="W277" i="2"/>
  <c r="T277" i="2"/>
  <c r="Q277" i="2"/>
  <c r="AJ276" i="2"/>
  <c r="AG276" i="2"/>
  <c r="AD276" i="2"/>
  <c r="W276" i="2"/>
  <c r="T276" i="2"/>
  <c r="Q276" i="2"/>
  <c r="AJ275" i="2"/>
  <c r="AG275" i="2"/>
  <c r="AD275" i="2"/>
  <c r="W275" i="2"/>
  <c r="T275" i="2"/>
  <c r="Q275" i="2"/>
  <c r="AJ274" i="2"/>
  <c r="AG274" i="2"/>
  <c r="AD274" i="2"/>
  <c r="W274" i="2"/>
  <c r="T274" i="2"/>
  <c r="Q274" i="2"/>
  <c r="AJ273" i="2"/>
  <c r="AG273" i="2"/>
  <c r="AD273" i="2"/>
  <c r="W273" i="2"/>
  <c r="T273" i="2"/>
  <c r="Q273" i="2"/>
  <c r="AJ272" i="2"/>
  <c r="AG272" i="2"/>
  <c r="AD272" i="2"/>
  <c r="W272" i="2"/>
  <c r="T272" i="2"/>
  <c r="Q272" i="2"/>
  <c r="AJ271" i="2"/>
  <c r="AG271" i="2"/>
  <c r="AD271" i="2"/>
  <c r="W271" i="2"/>
  <c r="T271" i="2"/>
  <c r="Q271" i="2"/>
  <c r="AJ270" i="2"/>
  <c r="AG270" i="2"/>
  <c r="AD270" i="2"/>
  <c r="W270" i="2"/>
  <c r="T270" i="2"/>
  <c r="Q270" i="2"/>
  <c r="AJ269" i="2"/>
  <c r="AG269" i="2"/>
  <c r="AD269" i="2"/>
  <c r="W269" i="2"/>
  <c r="T269" i="2"/>
  <c r="Q269" i="2"/>
  <c r="AJ268" i="2"/>
  <c r="AG268" i="2"/>
  <c r="AD268" i="2"/>
  <c r="W268" i="2"/>
  <c r="T268" i="2"/>
  <c r="Q268" i="2"/>
  <c r="AJ267" i="2"/>
  <c r="AG267" i="2"/>
  <c r="AD267" i="2"/>
  <c r="W267" i="2"/>
  <c r="T267" i="2"/>
  <c r="Q267" i="2"/>
  <c r="AJ266" i="2"/>
  <c r="AG266" i="2"/>
  <c r="AD266" i="2"/>
  <c r="W266" i="2"/>
  <c r="T266" i="2"/>
  <c r="Q266" i="2"/>
  <c r="AJ265" i="2"/>
  <c r="AG265" i="2"/>
  <c r="AD265" i="2"/>
  <c r="W265" i="2"/>
  <c r="T265" i="2"/>
  <c r="Q265" i="2"/>
  <c r="AJ264" i="2"/>
  <c r="AG264" i="2"/>
  <c r="AD264" i="2"/>
  <c r="W264" i="2"/>
  <c r="T264" i="2"/>
  <c r="Q264" i="2"/>
  <c r="AJ263" i="2"/>
  <c r="AG263" i="2"/>
  <c r="AD263" i="2"/>
  <c r="W263" i="2"/>
  <c r="T263" i="2"/>
  <c r="Q263" i="2"/>
  <c r="AJ262" i="2"/>
  <c r="AG262" i="2"/>
  <c r="AD262" i="2"/>
  <c r="W262" i="2"/>
  <c r="T262" i="2"/>
  <c r="Q262" i="2"/>
  <c r="AJ261" i="2"/>
  <c r="AG261" i="2"/>
  <c r="AD261" i="2"/>
  <c r="W261" i="2"/>
  <c r="T261" i="2"/>
  <c r="Q261" i="2"/>
  <c r="AJ260" i="2"/>
  <c r="AG260" i="2"/>
  <c r="AD260" i="2"/>
  <c r="W260" i="2"/>
  <c r="T260" i="2"/>
  <c r="Q260" i="2"/>
  <c r="AJ259" i="2"/>
  <c r="AG259" i="2"/>
  <c r="AD259" i="2"/>
  <c r="W259" i="2"/>
  <c r="T259" i="2"/>
  <c r="Q259" i="2"/>
  <c r="AJ258" i="2"/>
  <c r="AG258" i="2"/>
  <c r="AD258" i="2"/>
  <c r="W258" i="2"/>
  <c r="T258" i="2"/>
  <c r="Q258" i="2"/>
  <c r="AJ257" i="2"/>
  <c r="AG257" i="2"/>
  <c r="AD257" i="2"/>
  <c r="W257" i="2"/>
  <c r="T257" i="2"/>
  <c r="Q257" i="2"/>
  <c r="AJ256" i="2"/>
  <c r="AG256" i="2"/>
  <c r="AD256" i="2"/>
  <c r="W256" i="2"/>
  <c r="T256" i="2"/>
  <c r="Q256" i="2"/>
  <c r="AJ255" i="2"/>
  <c r="AG255" i="2"/>
  <c r="AD255" i="2"/>
  <c r="W255" i="2"/>
  <c r="T255" i="2"/>
  <c r="Q255" i="2"/>
  <c r="AJ254" i="2"/>
  <c r="AG254" i="2"/>
  <c r="AD254" i="2"/>
  <c r="W254" i="2"/>
  <c r="T254" i="2"/>
  <c r="Q254" i="2"/>
  <c r="AJ253" i="2"/>
  <c r="AG253" i="2"/>
  <c r="AD253" i="2"/>
  <c r="W253" i="2"/>
  <c r="T253" i="2"/>
  <c r="Q253" i="2"/>
  <c r="AJ252" i="2"/>
  <c r="AG252" i="2"/>
  <c r="AD252" i="2"/>
  <c r="W252" i="2"/>
  <c r="T252" i="2"/>
  <c r="Q252" i="2"/>
  <c r="AJ251" i="2"/>
  <c r="AG251" i="2"/>
  <c r="AD251" i="2"/>
  <c r="W251" i="2"/>
  <c r="T251" i="2"/>
  <c r="Q251" i="2"/>
  <c r="AJ250" i="2"/>
  <c r="AG250" i="2"/>
  <c r="AD250" i="2"/>
  <c r="W250" i="2"/>
  <c r="T250" i="2"/>
  <c r="Q250" i="2"/>
  <c r="AJ249" i="2"/>
  <c r="AG249" i="2"/>
  <c r="AD249" i="2"/>
  <c r="W249" i="2"/>
  <c r="T249" i="2"/>
  <c r="Q249" i="2"/>
  <c r="AJ248" i="2"/>
  <c r="AG248" i="2"/>
  <c r="AD248" i="2"/>
  <c r="W248" i="2"/>
  <c r="T248" i="2"/>
  <c r="Q248" i="2"/>
  <c r="AJ247" i="2"/>
  <c r="AG247" i="2"/>
  <c r="AD247" i="2"/>
  <c r="W247" i="2"/>
  <c r="T247" i="2"/>
  <c r="Q247" i="2"/>
  <c r="AJ246" i="2"/>
  <c r="AG246" i="2"/>
  <c r="AD246" i="2"/>
  <c r="W246" i="2"/>
  <c r="T246" i="2"/>
  <c r="Q246" i="2"/>
  <c r="AJ245" i="2"/>
  <c r="AG245" i="2"/>
  <c r="AD245" i="2"/>
  <c r="W245" i="2"/>
  <c r="T245" i="2"/>
  <c r="Q245" i="2"/>
  <c r="AJ244" i="2"/>
  <c r="AG244" i="2"/>
  <c r="AD244" i="2"/>
  <c r="W244" i="2"/>
  <c r="T244" i="2"/>
  <c r="Q244" i="2"/>
  <c r="AJ243" i="2"/>
  <c r="AG243" i="2"/>
  <c r="AD243" i="2"/>
  <c r="W243" i="2"/>
  <c r="T243" i="2"/>
  <c r="Q243" i="2"/>
  <c r="AJ242" i="2"/>
  <c r="AG242" i="2"/>
  <c r="AD242" i="2"/>
  <c r="W242" i="2"/>
  <c r="T242" i="2"/>
  <c r="Q242" i="2"/>
  <c r="AJ241" i="2"/>
  <c r="AG241" i="2"/>
  <c r="AD241" i="2"/>
  <c r="W241" i="2"/>
  <c r="T241" i="2"/>
  <c r="Q241" i="2"/>
  <c r="AJ240" i="2"/>
  <c r="AG240" i="2"/>
  <c r="AD240" i="2"/>
  <c r="W240" i="2"/>
  <c r="T240" i="2"/>
  <c r="Q240" i="2"/>
  <c r="AJ237" i="2"/>
  <c r="AG237" i="2"/>
  <c r="AD237" i="2"/>
  <c r="W237" i="2"/>
  <c r="T237" i="2"/>
  <c r="Q237" i="2"/>
  <c r="AJ238" i="2"/>
  <c r="AG238" i="2"/>
  <c r="AD238" i="2"/>
  <c r="W238" i="2"/>
  <c r="T238" i="2"/>
  <c r="Q238" i="2"/>
  <c r="AJ236" i="2"/>
  <c r="AG236" i="2"/>
  <c r="AD236" i="2"/>
  <c r="W236" i="2"/>
  <c r="T236" i="2"/>
  <c r="Q236" i="2"/>
  <c r="AJ235" i="2"/>
  <c r="AG235" i="2"/>
  <c r="AD235" i="2"/>
  <c r="W235" i="2"/>
  <c r="T235" i="2"/>
  <c r="Q235" i="2"/>
  <c r="AJ234" i="2"/>
  <c r="AG234" i="2"/>
  <c r="AD234" i="2"/>
  <c r="W234" i="2"/>
  <c r="T234" i="2"/>
  <c r="Q234" i="2"/>
  <c r="AJ233" i="2"/>
  <c r="AG233" i="2"/>
  <c r="AD233" i="2"/>
  <c r="W233" i="2"/>
  <c r="T233" i="2"/>
  <c r="Q233" i="2"/>
  <c r="AJ232" i="2"/>
  <c r="AG232" i="2"/>
  <c r="AD232" i="2"/>
  <c r="W232" i="2"/>
  <c r="T232" i="2"/>
  <c r="Q232" i="2"/>
  <c r="AJ231" i="2"/>
  <c r="AG231" i="2"/>
  <c r="AD231" i="2"/>
  <c r="W231" i="2"/>
  <c r="T231" i="2"/>
  <c r="Q231" i="2"/>
  <c r="AJ230" i="2"/>
  <c r="AG230" i="2"/>
  <c r="AD230" i="2"/>
  <c r="W230" i="2"/>
  <c r="T230" i="2"/>
  <c r="Q230" i="2"/>
  <c r="AJ229" i="2"/>
  <c r="AG229" i="2"/>
  <c r="AD229" i="2"/>
  <c r="W229" i="2"/>
  <c r="T229" i="2"/>
  <c r="Q229" i="2"/>
  <c r="AJ228" i="2"/>
  <c r="AG228" i="2"/>
  <c r="AD228" i="2"/>
  <c r="W228" i="2"/>
  <c r="T228" i="2"/>
  <c r="Q228" i="2"/>
  <c r="AJ227" i="2"/>
  <c r="AG227" i="2"/>
  <c r="AD227" i="2"/>
  <c r="W227" i="2"/>
  <c r="T227" i="2"/>
  <c r="Q227" i="2"/>
  <c r="AJ226" i="2"/>
  <c r="AG226" i="2"/>
  <c r="AD226" i="2"/>
  <c r="W226" i="2"/>
  <c r="T226" i="2"/>
  <c r="Q226" i="2"/>
  <c r="AJ225" i="2"/>
  <c r="AG225" i="2"/>
  <c r="AD225" i="2"/>
  <c r="W225" i="2"/>
  <c r="T225" i="2"/>
  <c r="Q225" i="2"/>
  <c r="AJ224" i="2"/>
  <c r="AG224" i="2"/>
  <c r="AD224" i="2"/>
  <c r="W224" i="2"/>
  <c r="T224" i="2"/>
  <c r="Q224" i="2"/>
  <c r="AJ223" i="2"/>
  <c r="AG223" i="2"/>
  <c r="AD223" i="2"/>
  <c r="W223" i="2"/>
  <c r="T223" i="2"/>
  <c r="Q223" i="2"/>
  <c r="AJ222" i="2"/>
  <c r="AG222" i="2"/>
  <c r="AD222" i="2"/>
  <c r="W222" i="2"/>
  <c r="T222" i="2"/>
  <c r="Q222" i="2"/>
  <c r="AJ221" i="2"/>
  <c r="AG221" i="2"/>
  <c r="AD221" i="2"/>
  <c r="W221" i="2"/>
  <c r="T221" i="2"/>
  <c r="Q221" i="2"/>
  <c r="AJ220" i="2"/>
  <c r="AG220" i="2"/>
  <c r="AD220" i="2"/>
  <c r="W220" i="2"/>
  <c r="T220" i="2"/>
  <c r="Q220" i="2"/>
  <c r="AJ219" i="2"/>
  <c r="AG219" i="2"/>
  <c r="AD219" i="2"/>
  <c r="W219" i="2"/>
  <c r="T219" i="2"/>
  <c r="Q219" i="2"/>
  <c r="AJ218" i="2"/>
  <c r="AG218" i="2"/>
  <c r="AD218" i="2"/>
  <c r="W218" i="2"/>
  <c r="T218" i="2"/>
  <c r="Q218" i="2"/>
  <c r="AJ217" i="2"/>
  <c r="AG217" i="2"/>
  <c r="AD217" i="2"/>
  <c r="W217" i="2"/>
  <c r="T217" i="2"/>
  <c r="Q217" i="2"/>
  <c r="AJ216" i="2"/>
  <c r="AG216" i="2"/>
  <c r="AD216" i="2"/>
  <c r="W216" i="2"/>
  <c r="T216" i="2"/>
  <c r="Q216" i="2"/>
  <c r="AJ215" i="2"/>
  <c r="AG215" i="2"/>
  <c r="AD215" i="2"/>
  <c r="W215" i="2"/>
  <c r="T215" i="2"/>
  <c r="Q215" i="2"/>
  <c r="AJ214" i="2"/>
  <c r="AG214" i="2"/>
  <c r="AD214" i="2"/>
  <c r="W214" i="2"/>
  <c r="T214" i="2"/>
  <c r="Q214" i="2"/>
  <c r="AJ213" i="2"/>
  <c r="AG213" i="2"/>
  <c r="AD213" i="2"/>
  <c r="W213" i="2"/>
  <c r="T213" i="2"/>
  <c r="Q213" i="2"/>
  <c r="Q212" i="2"/>
  <c r="T212" i="2"/>
  <c r="W212" i="2"/>
  <c r="AD212" i="2"/>
  <c r="AG212" i="2"/>
  <c r="AJ212" i="2"/>
  <c r="AJ211" i="2" l="1"/>
  <c r="AG211" i="2"/>
  <c r="AD211" i="2"/>
  <c r="W211" i="2"/>
  <c r="T211" i="2"/>
  <c r="Q211" i="2"/>
  <c r="AJ210" i="2"/>
  <c r="AG210" i="2"/>
  <c r="AD210" i="2"/>
  <c r="W210" i="2"/>
  <c r="T210" i="2"/>
  <c r="Q210" i="2"/>
  <c r="AJ209" i="2"/>
  <c r="AG209" i="2"/>
  <c r="AD209" i="2"/>
  <c r="W209" i="2"/>
  <c r="T209" i="2"/>
  <c r="Q209" i="2"/>
  <c r="AJ208" i="2"/>
  <c r="AG208" i="2"/>
  <c r="AD208" i="2"/>
  <c r="W208" i="2"/>
  <c r="T208" i="2"/>
  <c r="Q208" i="2"/>
  <c r="AJ207" i="2"/>
  <c r="AG207" i="2"/>
  <c r="AD207" i="2"/>
  <c r="W207" i="2"/>
  <c r="T207" i="2"/>
  <c r="Q207" i="2"/>
  <c r="AJ206" i="2"/>
  <c r="AG206" i="2"/>
  <c r="AD206" i="2"/>
  <c r="W206" i="2"/>
  <c r="T206" i="2"/>
  <c r="Q206" i="2"/>
  <c r="AJ205" i="2"/>
  <c r="AG205" i="2"/>
  <c r="AD205" i="2"/>
  <c r="W205" i="2"/>
  <c r="T205" i="2"/>
  <c r="Q205" i="2"/>
  <c r="AJ204" i="2"/>
  <c r="AG204" i="2"/>
  <c r="AD204" i="2"/>
  <c r="W204" i="2"/>
  <c r="T204" i="2"/>
  <c r="Q204" i="2"/>
  <c r="AJ203" i="2"/>
  <c r="AG203" i="2"/>
  <c r="AD203" i="2"/>
  <c r="W203" i="2"/>
  <c r="T203" i="2"/>
  <c r="Q203" i="2"/>
  <c r="AJ202" i="2"/>
  <c r="AG202" i="2"/>
  <c r="AD202" i="2"/>
  <c r="W202" i="2"/>
  <c r="T202" i="2"/>
  <c r="Q202" i="2"/>
  <c r="AJ201" i="2"/>
  <c r="AG201" i="2"/>
  <c r="AD201" i="2"/>
  <c r="W201" i="2"/>
  <c r="T201" i="2"/>
  <c r="Q201" i="2"/>
  <c r="AJ200" i="2"/>
  <c r="AG200" i="2"/>
  <c r="AD200" i="2"/>
  <c r="W200" i="2"/>
  <c r="T200" i="2"/>
  <c r="Q200" i="2"/>
  <c r="AJ199" i="2"/>
  <c r="AG199" i="2"/>
  <c r="AD199" i="2"/>
  <c r="W199" i="2"/>
  <c r="T199" i="2"/>
  <c r="Q199" i="2"/>
  <c r="AJ198" i="2"/>
  <c r="AG198" i="2"/>
  <c r="AD198" i="2"/>
  <c r="W198" i="2"/>
  <c r="T198" i="2"/>
  <c r="Q198" i="2"/>
  <c r="AJ197" i="2"/>
  <c r="AG197" i="2"/>
  <c r="AD197" i="2"/>
  <c r="W197" i="2"/>
  <c r="T197" i="2"/>
  <c r="Q197" i="2"/>
  <c r="AJ196" i="2"/>
  <c r="AG196" i="2"/>
  <c r="AD196" i="2"/>
  <c r="W196" i="2"/>
  <c r="T196" i="2"/>
  <c r="Q196" i="2"/>
  <c r="AJ195" i="2"/>
  <c r="AG195" i="2"/>
  <c r="AD195" i="2"/>
  <c r="W195" i="2"/>
  <c r="T195" i="2"/>
  <c r="Q195" i="2"/>
  <c r="AJ194" i="2"/>
  <c r="AG194" i="2"/>
  <c r="AD194" i="2"/>
  <c r="W194" i="2"/>
  <c r="T194" i="2"/>
  <c r="Q194" i="2"/>
  <c r="AJ193" i="2"/>
  <c r="AG193" i="2"/>
  <c r="AD193" i="2"/>
  <c r="W193" i="2"/>
  <c r="T193" i="2"/>
  <c r="Q193" i="2"/>
  <c r="AJ192" i="2"/>
  <c r="AG192" i="2"/>
  <c r="AD192" i="2"/>
  <c r="W192" i="2"/>
  <c r="T192" i="2"/>
  <c r="Q192" i="2"/>
  <c r="AJ191" i="2"/>
  <c r="AG191" i="2"/>
  <c r="AD191" i="2"/>
  <c r="W191" i="2"/>
  <c r="T191" i="2"/>
  <c r="Q191" i="2"/>
  <c r="AJ190" i="2"/>
  <c r="AG190" i="2"/>
  <c r="AD190" i="2"/>
  <c r="W190" i="2"/>
  <c r="T190" i="2"/>
  <c r="Q190" i="2"/>
  <c r="AJ189" i="2"/>
  <c r="AG189" i="2"/>
  <c r="AD189" i="2"/>
  <c r="W189" i="2"/>
  <c r="T189" i="2"/>
  <c r="Q189" i="2"/>
  <c r="AJ188" i="2"/>
  <c r="AG188" i="2"/>
  <c r="AD188" i="2"/>
  <c r="W188" i="2"/>
  <c r="T188" i="2"/>
  <c r="Q188" i="2"/>
  <c r="AJ187" i="2"/>
  <c r="AG187" i="2"/>
  <c r="AD187" i="2"/>
  <c r="W187" i="2"/>
  <c r="T187" i="2"/>
  <c r="Q187" i="2"/>
  <c r="AJ186" i="2"/>
  <c r="AG186" i="2"/>
  <c r="AD186" i="2"/>
  <c r="W186" i="2"/>
  <c r="T186" i="2"/>
  <c r="Q186" i="2"/>
  <c r="AJ185" i="2"/>
  <c r="AG185" i="2"/>
  <c r="AD185" i="2"/>
  <c r="W185" i="2"/>
  <c r="T185" i="2"/>
  <c r="Q185" i="2"/>
  <c r="AJ184" i="2"/>
  <c r="AG184" i="2"/>
  <c r="AD184" i="2"/>
  <c r="W184" i="2"/>
  <c r="T184" i="2"/>
  <c r="Q184" i="2"/>
  <c r="AJ183" i="2"/>
  <c r="AG183" i="2"/>
  <c r="AD183" i="2"/>
  <c r="W183" i="2"/>
  <c r="T183" i="2"/>
  <c r="Q183" i="2"/>
  <c r="AJ182" i="2"/>
  <c r="AG182" i="2"/>
  <c r="AD182" i="2"/>
  <c r="W182" i="2"/>
  <c r="T182" i="2"/>
  <c r="Q182" i="2"/>
  <c r="AJ181" i="2"/>
  <c r="AG181" i="2"/>
  <c r="AD181" i="2"/>
  <c r="W181" i="2"/>
  <c r="T181" i="2"/>
  <c r="Q181" i="2"/>
  <c r="AJ180" i="2"/>
  <c r="AG180" i="2"/>
  <c r="AD180" i="2"/>
  <c r="W180" i="2"/>
  <c r="T180" i="2"/>
  <c r="Q180" i="2"/>
  <c r="AJ179" i="2"/>
  <c r="AG179" i="2"/>
  <c r="AD179" i="2"/>
  <c r="W179" i="2"/>
  <c r="T179" i="2"/>
  <c r="Q179" i="2"/>
  <c r="AJ178" i="2"/>
  <c r="AG178" i="2"/>
  <c r="AD178" i="2"/>
  <c r="W178" i="2"/>
  <c r="T178" i="2"/>
  <c r="Q178" i="2"/>
  <c r="AJ177" i="2"/>
  <c r="AG177" i="2"/>
  <c r="AD177" i="2"/>
  <c r="W177" i="2"/>
  <c r="T177" i="2"/>
  <c r="Q177" i="2"/>
  <c r="AJ176" i="2"/>
  <c r="AG176" i="2"/>
  <c r="AD176" i="2"/>
  <c r="W176" i="2"/>
  <c r="T176" i="2"/>
  <c r="Q176" i="2"/>
  <c r="AJ175" i="2"/>
  <c r="AG175" i="2"/>
  <c r="AD175" i="2"/>
  <c r="W175" i="2"/>
  <c r="T175" i="2"/>
  <c r="Q175" i="2"/>
  <c r="AJ174" i="2"/>
  <c r="AG174" i="2"/>
  <c r="AD174" i="2"/>
  <c r="W174" i="2"/>
  <c r="T174" i="2"/>
  <c r="Q174" i="2"/>
  <c r="AJ173" i="2"/>
  <c r="AG173" i="2"/>
  <c r="AD173" i="2"/>
  <c r="W173" i="2"/>
  <c r="T173" i="2"/>
  <c r="Q173" i="2"/>
  <c r="AJ172" i="2"/>
  <c r="AG172" i="2"/>
  <c r="AD172" i="2"/>
  <c r="W172" i="2"/>
  <c r="T172" i="2"/>
  <c r="Q172" i="2"/>
  <c r="AJ171" i="2"/>
  <c r="AG171" i="2"/>
  <c r="AD171" i="2"/>
  <c r="W171" i="2"/>
  <c r="T171" i="2"/>
  <c r="Q171" i="2"/>
  <c r="AJ170" i="2"/>
  <c r="AG170" i="2"/>
  <c r="AD170" i="2"/>
  <c r="W170" i="2"/>
  <c r="T170" i="2"/>
  <c r="Q170" i="2"/>
  <c r="AJ169" i="2"/>
  <c r="AG169" i="2"/>
  <c r="AD169" i="2"/>
  <c r="W169" i="2"/>
  <c r="T169" i="2"/>
  <c r="Q169" i="2"/>
  <c r="AJ168" i="2"/>
  <c r="AG168" i="2"/>
  <c r="AD168" i="2"/>
  <c r="W168" i="2"/>
  <c r="T168" i="2"/>
  <c r="Q168" i="2"/>
  <c r="AJ167" i="2"/>
  <c r="AG167" i="2"/>
  <c r="AD167" i="2"/>
  <c r="W167" i="2"/>
  <c r="T167" i="2"/>
  <c r="Q167" i="2"/>
  <c r="AJ166" i="2"/>
  <c r="AG166" i="2"/>
  <c r="AD166" i="2"/>
  <c r="W166" i="2"/>
  <c r="T166" i="2"/>
  <c r="Q166" i="2"/>
  <c r="AJ165" i="2"/>
  <c r="AG165" i="2"/>
  <c r="AD165" i="2"/>
  <c r="W165" i="2"/>
  <c r="T165" i="2"/>
  <c r="Q165" i="2"/>
  <c r="AJ164" i="2"/>
  <c r="AG164" i="2"/>
  <c r="AD164" i="2"/>
  <c r="W164" i="2"/>
  <c r="T164" i="2"/>
  <c r="Q164" i="2"/>
  <c r="AJ163" i="2"/>
  <c r="AG163" i="2"/>
  <c r="AD163" i="2"/>
  <c r="W163" i="2"/>
  <c r="T163" i="2"/>
  <c r="Q163" i="2"/>
  <c r="AJ162" i="2"/>
  <c r="AG162" i="2"/>
  <c r="AD162" i="2"/>
  <c r="W162" i="2"/>
  <c r="T162" i="2"/>
  <c r="Q162" i="2"/>
  <c r="AJ161" i="2"/>
  <c r="AG161" i="2"/>
  <c r="AD161" i="2"/>
  <c r="W161" i="2"/>
  <c r="T161" i="2"/>
  <c r="Q161" i="2"/>
  <c r="AJ160" i="2"/>
  <c r="AG160" i="2"/>
  <c r="AD160" i="2"/>
  <c r="W160" i="2"/>
  <c r="T160" i="2"/>
  <c r="Q160" i="2"/>
  <c r="AJ159" i="2"/>
  <c r="AG159" i="2"/>
  <c r="AD159" i="2"/>
  <c r="W159" i="2"/>
  <c r="T159" i="2"/>
  <c r="Q159" i="2"/>
  <c r="AJ158" i="2"/>
  <c r="AG158" i="2"/>
  <c r="AD158" i="2"/>
  <c r="W158" i="2"/>
  <c r="T158" i="2"/>
  <c r="Q158" i="2"/>
  <c r="AJ157" i="2"/>
  <c r="AG157" i="2"/>
  <c r="AD157" i="2"/>
  <c r="W157" i="2"/>
  <c r="T157" i="2"/>
  <c r="Q157" i="2"/>
  <c r="AJ156" i="2"/>
  <c r="AG156" i="2"/>
  <c r="AD156" i="2"/>
  <c r="W156" i="2"/>
  <c r="T156" i="2"/>
  <c r="Q156" i="2"/>
  <c r="AJ155" i="2"/>
  <c r="AG155" i="2"/>
  <c r="AD155" i="2"/>
  <c r="W155" i="2"/>
  <c r="T155" i="2"/>
  <c r="Q155" i="2"/>
  <c r="AJ154" i="2"/>
  <c r="AG154" i="2"/>
  <c r="AD154" i="2"/>
  <c r="W154" i="2"/>
  <c r="T154" i="2"/>
  <c r="Q154" i="2"/>
  <c r="AJ153" i="2"/>
  <c r="AG153" i="2"/>
  <c r="AD153" i="2"/>
  <c r="W153" i="2"/>
  <c r="T153" i="2"/>
  <c r="Q153" i="2"/>
  <c r="AJ152" i="2"/>
  <c r="AG152" i="2"/>
  <c r="AD152" i="2"/>
  <c r="W152" i="2"/>
  <c r="T152" i="2"/>
  <c r="Q152" i="2"/>
  <c r="AJ151" i="2"/>
  <c r="AG151" i="2"/>
  <c r="AD151" i="2"/>
  <c r="W151" i="2"/>
  <c r="T151" i="2"/>
  <c r="Q151" i="2"/>
  <c r="AJ150" i="2"/>
  <c r="AG150" i="2"/>
  <c r="AD150" i="2"/>
  <c r="W150" i="2"/>
  <c r="T150" i="2"/>
  <c r="Q150" i="2"/>
  <c r="AJ149" i="2"/>
  <c r="AG149" i="2"/>
  <c r="AD149" i="2"/>
  <c r="W149" i="2"/>
  <c r="T149" i="2"/>
  <c r="Q149" i="2"/>
  <c r="AJ148" i="2"/>
  <c r="AG148" i="2"/>
  <c r="AD148" i="2"/>
  <c r="W148" i="2"/>
  <c r="T148" i="2"/>
  <c r="Q148" i="2"/>
  <c r="AJ147" i="2"/>
  <c r="AG147" i="2"/>
  <c r="AD147" i="2"/>
  <c r="W147" i="2"/>
  <c r="T147" i="2"/>
  <c r="Q147" i="2"/>
  <c r="AJ146" i="2"/>
  <c r="AG146" i="2"/>
  <c r="AD146" i="2"/>
  <c r="W146" i="2"/>
  <c r="T146" i="2"/>
  <c r="Q146" i="2"/>
  <c r="AJ145" i="2"/>
  <c r="AG145" i="2"/>
  <c r="AD145" i="2"/>
  <c r="W145" i="2"/>
  <c r="T145" i="2"/>
  <c r="Q145" i="2"/>
  <c r="AJ144" i="2"/>
  <c r="AG144" i="2"/>
  <c r="AD144" i="2"/>
  <c r="W144" i="2"/>
  <c r="T144" i="2"/>
  <c r="Q144" i="2"/>
  <c r="AJ143" i="2"/>
  <c r="AG143" i="2"/>
  <c r="AD143" i="2"/>
  <c r="W143" i="2"/>
  <c r="T143" i="2"/>
  <c r="Q143" i="2"/>
  <c r="AJ142" i="2"/>
  <c r="AG142" i="2"/>
  <c r="AD142" i="2"/>
  <c r="W142" i="2"/>
  <c r="T142" i="2"/>
  <c r="Q142" i="2"/>
  <c r="AJ141" i="2"/>
  <c r="AG141" i="2"/>
  <c r="AD141" i="2"/>
  <c r="W141" i="2"/>
  <c r="T141" i="2"/>
  <c r="Q141" i="2"/>
  <c r="AJ140" i="2"/>
  <c r="AG140" i="2"/>
  <c r="AD140" i="2"/>
  <c r="W140" i="2"/>
  <c r="T140" i="2"/>
  <c r="Q140" i="2"/>
  <c r="AJ139" i="2"/>
  <c r="AG139" i="2"/>
  <c r="AD139" i="2"/>
  <c r="W139" i="2"/>
  <c r="T139" i="2"/>
  <c r="Q139" i="2"/>
  <c r="AJ138" i="2"/>
  <c r="AG138" i="2"/>
  <c r="AD138" i="2"/>
  <c r="W138" i="2"/>
  <c r="T138" i="2"/>
  <c r="Q138" i="2"/>
  <c r="AJ137" i="2"/>
  <c r="AG137" i="2"/>
  <c r="AD137" i="2"/>
  <c r="W137" i="2"/>
  <c r="T137" i="2"/>
  <c r="Q137" i="2"/>
  <c r="AJ136" i="2"/>
  <c r="AG136" i="2"/>
  <c r="AD136" i="2"/>
  <c r="W136" i="2"/>
  <c r="T136" i="2"/>
  <c r="Q136" i="2"/>
  <c r="AJ135" i="2"/>
  <c r="AG135" i="2"/>
  <c r="AD135" i="2"/>
  <c r="W135" i="2"/>
  <c r="T135" i="2"/>
  <c r="Q135" i="2"/>
  <c r="AJ134" i="2"/>
  <c r="AG134" i="2"/>
  <c r="AD134" i="2"/>
  <c r="W134" i="2"/>
  <c r="T134" i="2"/>
  <c r="Q134" i="2"/>
  <c r="AJ133" i="2"/>
  <c r="AG133" i="2"/>
  <c r="AD133" i="2"/>
  <c r="W133" i="2"/>
  <c r="T133" i="2"/>
  <c r="Q133" i="2"/>
  <c r="AJ132" i="2"/>
  <c r="AG132" i="2"/>
  <c r="AD132" i="2"/>
  <c r="W132" i="2"/>
  <c r="T132" i="2"/>
  <c r="Q132" i="2"/>
  <c r="AJ131" i="2"/>
  <c r="AG131" i="2"/>
  <c r="AD131" i="2"/>
  <c r="W131" i="2"/>
  <c r="T131" i="2"/>
  <c r="Q131" i="2"/>
  <c r="AJ130" i="2"/>
  <c r="AG130" i="2"/>
  <c r="AD130" i="2"/>
  <c r="W130" i="2"/>
  <c r="T130" i="2"/>
  <c r="Q130" i="2"/>
  <c r="AJ129" i="2"/>
  <c r="AG129" i="2"/>
  <c r="AD129" i="2"/>
  <c r="W129" i="2"/>
  <c r="T129" i="2"/>
  <c r="Q129" i="2"/>
  <c r="AJ128" i="2"/>
  <c r="AG128" i="2"/>
  <c r="AD128" i="2"/>
  <c r="W128" i="2"/>
  <c r="T128" i="2"/>
  <c r="Q128" i="2"/>
  <c r="AJ127" i="2"/>
  <c r="AG127" i="2"/>
  <c r="AD127" i="2"/>
  <c r="W127" i="2"/>
  <c r="T127" i="2"/>
  <c r="Q127" i="2"/>
  <c r="AJ126" i="2"/>
  <c r="AG126" i="2"/>
  <c r="AD126" i="2"/>
  <c r="W126" i="2"/>
  <c r="T126" i="2"/>
  <c r="Q126" i="2"/>
  <c r="AJ125" i="2"/>
  <c r="AG125" i="2"/>
  <c r="AD125" i="2"/>
  <c r="W125" i="2"/>
  <c r="T125" i="2"/>
  <c r="Q125" i="2"/>
  <c r="AJ124" i="2"/>
  <c r="AG124" i="2"/>
  <c r="AD124" i="2"/>
  <c r="W124" i="2"/>
  <c r="T124" i="2"/>
  <c r="Q124" i="2"/>
  <c r="AJ123" i="2"/>
  <c r="AG123" i="2"/>
  <c r="AD123" i="2"/>
  <c r="W123" i="2"/>
  <c r="T123" i="2"/>
  <c r="Q123" i="2"/>
  <c r="AJ122" i="2"/>
  <c r="AG122" i="2"/>
  <c r="AD122" i="2"/>
  <c r="W122" i="2"/>
  <c r="T122" i="2"/>
  <c r="Q122" i="2"/>
  <c r="AJ121" i="2"/>
  <c r="AG121" i="2"/>
  <c r="AD121" i="2"/>
  <c r="W121" i="2"/>
  <c r="T121" i="2"/>
  <c r="Q121" i="2"/>
  <c r="AJ120" i="2"/>
  <c r="AG120" i="2"/>
  <c r="AD120" i="2"/>
  <c r="W120" i="2"/>
  <c r="T120" i="2"/>
  <c r="Q120" i="2"/>
  <c r="AJ119" i="2"/>
  <c r="AG119" i="2"/>
  <c r="AD119" i="2"/>
  <c r="W119" i="2"/>
  <c r="T119" i="2"/>
  <c r="Q119" i="2"/>
  <c r="AJ118" i="2"/>
  <c r="AG118" i="2"/>
  <c r="AD118" i="2"/>
  <c r="W118" i="2"/>
  <c r="T118" i="2"/>
  <c r="Q118" i="2"/>
  <c r="AJ117" i="2"/>
  <c r="AG117" i="2"/>
  <c r="AD117" i="2"/>
  <c r="W117" i="2"/>
  <c r="T117" i="2"/>
  <c r="Q117" i="2"/>
  <c r="AJ116" i="2"/>
  <c r="AG116" i="2"/>
  <c r="AD116" i="2"/>
  <c r="W116" i="2"/>
  <c r="T116" i="2"/>
  <c r="Q116" i="2"/>
  <c r="AJ115" i="2"/>
  <c r="AG115" i="2"/>
  <c r="AD115" i="2"/>
  <c r="W115" i="2"/>
  <c r="T115" i="2"/>
  <c r="Q115" i="2"/>
  <c r="AJ114" i="2"/>
  <c r="AG114" i="2"/>
  <c r="AD114" i="2"/>
  <c r="W114" i="2"/>
  <c r="T114" i="2"/>
  <c r="Q114" i="2"/>
  <c r="AJ113" i="2"/>
  <c r="AG113" i="2"/>
  <c r="AD113" i="2"/>
  <c r="W113" i="2"/>
  <c r="T113" i="2"/>
  <c r="Q113" i="2"/>
  <c r="AJ112" i="2"/>
  <c r="AG112" i="2"/>
  <c r="AD112" i="2"/>
  <c r="W112" i="2"/>
  <c r="T112" i="2"/>
  <c r="Q112" i="2"/>
  <c r="AJ111" i="2"/>
  <c r="AG111" i="2"/>
  <c r="AD111" i="2"/>
  <c r="W111" i="2"/>
  <c r="T111" i="2"/>
  <c r="Q111" i="2"/>
  <c r="AJ110" i="2"/>
  <c r="AG110" i="2"/>
  <c r="AD110" i="2"/>
  <c r="W110" i="2"/>
  <c r="T110" i="2"/>
  <c r="Q110" i="2"/>
  <c r="AJ109" i="2"/>
  <c r="AG109" i="2"/>
  <c r="AD109" i="2"/>
  <c r="W109" i="2"/>
  <c r="T109" i="2"/>
  <c r="Q109" i="2"/>
  <c r="AJ108" i="2"/>
  <c r="AG108" i="2"/>
  <c r="AD108" i="2"/>
  <c r="W108" i="2"/>
  <c r="T108" i="2"/>
  <c r="Q108" i="2"/>
  <c r="AJ107" i="2"/>
  <c r="AG107" i="2"/>
  <c r="AD107" i="2"/>
  <c r="W107" i="2"/>
  <c r="T107" i="2"/>
  <c r="Q107" i="2"/>
  <c r="AJ106" i="2"/>
  <c r="AG106" i="2"/>
  <c r="AD106" i="2"/>
  <c r="W106" i="2"/>
  <c r="T106" i="2"/>
  <c r="Q106" i="2"/>
  <c r="AJ105" i="2"/>
  <c r="AG105" i="2"/>
  <c r="AD105" i="2"/>
  <c r="W105" i="2"/>
  <c r="T105" i="2"/>
  <c r="Q105" i="2"/>
  <c r="AJ104" i="2"/>
  <c r="AG104" i="2"/>
  <c r="AD104" i="2"/>
  <c r="W104" i="2"/>
  <c r="T104" i="2"/>
  <c r="Q104" i="2"/>
  <c r="AJ103" i="2"/>
  <c r="AG103" i="2"/>
  <c r="AD103" i="2"/>
  <c r="W103" i="2"/>
  <c r="T103" i="2"/>
  <c r="Q103" i="2"/>
  <c r="AJ102" i="2"/>
  <c r="AG102" i="2"/>
  <c r="AD102" i="2"/>
  <c r="W102" i="2"/>
  <c r="T102" i="2"/>
  <c r="Q102" i="2"/>
  <c r="AJ101" i="2"/>
  <c r="AG101" i="2"/>
  <c r="AD101" i="2"/>
  <c r="W101" i="2"/>
  <c r="T101" i="2"/>
  <c r="Q101" i="2"/>
  <c r="AJ100" i="2"/>
  <c r="AG100" i="2"/>
  <c r="AD100" i="2"/>
  <c r="W100" i="2"/>
  <c r="T100" i="2"/>
  <c r="Q100" i="2"/>
  <c r="AJ99" i="2"/>
  <c r="AG99" i="2"/>
  <c r="AD99" i="2"/>
  <c r="W99" i="2"/>
  <c r="T99" i="2"/>
  <c r="Q99" i="2"/>
  <c r="AJ98" i="2"/>
  <c r="AG98" i="2"/>
  <c r="AD98" i="2"/>
  <c r="W98" i="2"/>
  <c r="T98" i="2"/>
  <c r="Q98" i="2"/>
  <c r="AJ97" i="2"/>
  <c r="AG97" i="2"/>
  <c r="AD97" i="2"/>
  <c r="W97" i="2"/>
  <c r="T97" i="2"/>
  <c r="Q97" i="2"/>
  <c r="AJ96" i="2"/>
  <c r="AG96" i="2"/>
  <c r="AD96" i="2"/>
  <c r="W96" i="2"/>
  <c r="T96" i="2"/>
  <c r="Q96" i="2"/>
  <c r="AJ95" i="2"/>
  <c r="AG95" i="2"/>
  <c r="AD95" i="2"/>
  <c r="W95" i="2"/>
  <c r="T95" i="2"/>
  <c r="Q95" i="2"/>
  <c r="AJ94" i="2"/>
  <c r="AG94" i="2"/>
  <c r="AD94" i="2"/>
  <c r="W94" i="2"/>
  <c r="T94" i="2"/>
  <c r="Q94" i="2"/>
  <c r="AJ93" i="2"/>
  <c r="AG93" i="2"/>
  <c r="AD93" i="2"/>
  <c r="W93" i="2"/>
  <c r="T93" i="2"/>
  <c r="Q93" i="2"/>
  <c r="AJ92" i="2"/>
  <c r="AG92" i="2"/>
  <c r="AD92" i="2"/>
  <c r="W92" i="2"/>
  <c r="T92" i="2"/>
  <c r="Q92" i="2"/>
  <c r="AJ91" i="2"/>
  <c r="AG91" i="2"/>
  <c r="AD91" i="2"/>
  <c r="W91" i="2"/>
  <c r="T91" i="2"/>
  <c r="Q91" i="2"/>
  <c r="AJ90" i="2"/>
  <c r="AG90" i="2"/>
  <c r="AD90" i="2"/>
  <c r="W90" i="2"/>
  <c r="T90" i="2"/>
  <c r="Q90" i="2"/>
  <c r="AJ89" i="2"/>
  <c r="AG89" i="2"/>
  <c r="AD89" i="2"/>
  <c r="W89" i="2"/>
  <c r="T89" i="2"/>
  <c r="Q89" i="2"/>
  <c r="AJ88" i="2"/>
  <c r="AG88" i="2"/>
  <c r="AD88" i="2"/>
  <c r="W88" i="2"/>
  <c r="T88" i="2"/>
  <c r="Q88" i="2"/>
  <c r="AJ87" i="2"/>
  <c r="AG87" i="2"/>
  <c r="AD87" i="2"/>
  <c r="W87" i="2"/>
  <c r="T87" i="2"/>
  <c r="Q87" i="2"/>
  <c r="AJ86" i="2"/>
  <c r="AG86" i="2"/>
  <c r="AD86" i="2"/>
  <c r="W86" i="2"/>
  <c r="T86" i="2"/>
  <c r="Q86" i="2"/>
  <c r="AJ85" i="2"/>
  <c r="AG85" i="2"/>
  <c r="AD85" i="2"/>
  <c r="W85" i="2"/>
  <c r="T85" i="2"/>
  <c r="Q85" i="2"/>
  <c r="AJ84" i="2"/>
  <c r="AG84" i="2"/>
  <c r="AD84" i="2"/>
  <c r="W84" i="2"/>
  <c r="T84" i="2"/>
  <c r="Q84" i="2"/>
  <c r="AJ83" i="2"/>
  <c r="AG83" i="2"/>
  <c r="AD83" i="2"/>
  <c r="W83" i="2"/>
  <c r="T83" i="2"/>
  <c r="Q83" i="2"/>
  <c r="AJ82" i="2"/>
  <c r="AG82" i="2"/>
  <c r="AD82" i="2"/>
  <c r="W82" i="2"/>
  <c r="T82" i="2"/>
  <c r="Q82" i="2"/>
  <c r="AJ81" i="2"/>
  <c r="AG81" i="2"/>
  <c r="AD81" i="2"/>
  <c r="W81" i="2"/>
  <c r="T81" i="2"/>
  <c r="Q81" i="2"/>
  <c r="AJ80" i="2"/>
  <c r="AG80" i="2"/>
  <c r="AD80" i="2"/>
  <c r="W80" i="2"/>
  <c r="T80" i="2"/>
  <c r="Q80" i="2"/>
  <c r="AJ79" i="2"/>
  <c r="AG79" i="2"/>
  <c r="AD79" i="2"/>
  <c r="W79" i="2"/>
  <c r="T79" i="2"/>
  <c r="Q79" i="2"/>
  <c r="AJ78" i="2"/>
  <c r="AG78" i="2"/>
  <c r="AD78" i="2"/>
  <c r="W78" i="2"/>
  <c r="T78" i="2"/>
  <c r="Q78" i="2"/>
  <c r="AJ77" i="2"/>
  <c r="AG77" i="2"/>
  <c r="AD77" i="2"/>
  <c r="W77" i="2"/>
  <c r="T77" i="2"/>
  <c r="Q77" i="2"/>
  <c r="AJ76" i="2"/>
  <c r="AG76" i="2"/>
  <c r="AD76" i="2"/>
  <c r="W76" i="2"/>
  <c r="T76" i="2"/>
  <c r="Q76" i="2"/>
  <c r="AJ75" i="2"/>
  <c r="AG75" i="2"/>
  <c r="AD75" i="2"/>
  <c r="W75" i="2"/>
  <c r="T75" i="2"/>
  <c r="Q75" i="2"/>
  <c r="AJ74" i="2"/>
  <c r="AG74" i="2"/>
  <c r="AD74" i="2"/>
  <c r="W74" i="2"/>
  <c r="T74" i="2"/>
  <c r="Q74" i="2"/>
  <c r="AJ73" i="2"/>
  <c r="AG73" i="2"/>
  <c r="AD73" i="2"/>
  <c r="W73" i="2"/>
  <c r="T73" i="2"/>
  <c r="Q73" i="2"/>
  <c r="AJ72" i="2"/>
  <c r="AG72" i="2"/>
  <c r="AD72" i="2"/>
  <c r="W72" i="2"/>
  <c r="T72" i="2"/>
  <c r="Q72" i="2"/>
  <c r="AJ71" i="2"/>
  <c r="AG71" i="2"/>
  <c r="AD71" i="2"/>
  <c r="W71" i="2"/>
  <c r="T71" i="2"/>
  <c r="Q71" i="2"/>
  <c r="AJ70" i="2"/>
  <c r="AG70" i="2"/>
  <c r="AD70" i="2"/>
  <c r="W70" i="2"/>
  <c r="T70" i="2"/>
  <c r="Q70" i="2"/>
  <c r="AJ69" i="2"/>
  <c r="AG69" i="2"/>
  <c r="AD69" i="2"/>
  <c r="W69" i="2"/>
  <c r="T69" i="2"/>
  <c r="Q69" i="2"/>
  <c r="AJ68" i="2"/>
  <c r="AG68" i="2"/>
  <c r="AD68" i="2"/>
  <c r="W68" i="2"/>
  <c r="T68" i="2"/>
  <c r="Q68" i="2"/>
  <c r="AJ67" i="2"/>
  <c r="AG67" i="2"/>
  <c r="AD67" i="2"/>
  <c r="W67" i="2"/>
  <c r="T67" i="2"/>
  <c r="Q67" i="2"/>
  <c r="AJ66" i="2"/>
  <c r="AG66" i="2"/>
  <c r="AD66" i="2"/>
  <c r="W66" i="2"/>
  <c r="T66" i="2"/>
  <c r="Q66" i="2"/>
  <c r="AJ65" i="2"/>
  <c r="AG65" i="2"/>
  <c r="AD65" i="2"/>
  <c r="W65" i="2"/>
  <c r="T65" i="2"/>
  <c r="Q65" i="2"/>
  <c r="AJ64" i="2"/>
  <c r="AG64" i="2"/>
  <c r="AD64" i="2"/>
  <c r="W64" i="2"/>
  <c r="T64" i="2"/>
  <c r="Q64" i="2"/>
  <c r="AJ63" i="2"/>
  <c r="AG63" i="2"/>
  <c r="AD63" i="2"/>
  <c r="W63" i="2"/>
  <c r="T63" i="2"/>
  <c r="Q63" i="2"/>
  <c r="AJ62" i="2"/>
  <c r="AG62" i="2"/>
  <c r="AD62" i="2"/>
  <c r="W62" i="2"/>
  <c r="T62" i="2"/>
  <c r="Q62" i="2"/>
  <c r="AJ61" i="2"/>
  <c r="AG61" i="2"/>
  <c r="AD61" i="2"/>
  <c r="W61" i="2"/>
  <c r="T61" i="2"/>
  <c r="Q61" i="2"/>
  <c r="AJ60" i="2"/>
  <c r="AG60" i="2"/>
  <c r="AD60" i="2"/>
  <c r="W60" i="2"/>
  <c r="T60" i="2"/>
  <c r="Q60" i="2"/>
  <c r="AJ59" i="2"/>
  <c r="AG59" i="2"/>
  <c r="AD59" i="2"/>
  <c r="W59" i="2"/>
  <c r="T59" i="2"/>
  <c r="Q59" i="2"/>
  <c r="AJ58" i="2"/>
  <c r="AG58" i="2"/>
  <c r="AD58" i="2"/>
  <c r="W58" i="2"/>
  <c r="T58" i="2"/>
  <c r="Q58" i="2"/>
  <c r="AJ57" i="2"/>
  <c r="AG57" i="2"/>
  <c r="AD57" i="2"/>
  <c r="W57" i="2"/>
  <c r="T57" i="2"/>
  <c r="Q57" i="2"/>
  <c r="AJ56" i="2"/>
  <c r="AG56" i="2"/>
  <c r="AD56" i="2"/>
  <c r="W56" i="2"/>
  <c r="T56" i="2"/>
  <c r="Q56" i="2"/>
  <c r="AJ55" i="2"/>
  <c r="AG55" i="2"/>
  <c r="AD55" i="2"/>
  <c r="W55" i="2"/>
  <c r="T55" i="2"/>
  <c r="Q55" i="2"/>
  <c r="AJ54" i="2"/>
  <c r="AG54" i="2"/>
  <c r="AD54" i="2"/>
  <c r="W54" i="2"/>
  <c r="T54" i="2"/>
  <c r="Q54" i="2"/>
  <c r="AJ53" i="2"/>
  <c r="AG53" i="2"/>
  <c r="AD53" i="2"/>
  <c r="W53" i="2"/>
  <c r="T53" i="2"/>
  <c r="Q53" i="2"/>
  <c r="AJ52" i="2"/>
  <c r="AG52" i="2"/>
  <c r="AD52" i="2"/>
  <c r="W52" i="2"/>
  <c r="T52" i="2"/>
  <c r="Q52" i="2"/>
  <c r="AJ51" i="2"/>
  <c r="AG51" i="2"/>
  <c r="AD51" i="2"/>
  <c r="W51" i="2"/>
  <c r="T51" i="2"/>
  <c r="Q51" i="2"/>
  <c r="AJ50" i="2"/>
  <c r="AG50" i="2"/>
  <c r="AD50" i="2"/>
  <c r="W50" i="2"/>
  <c r="T50" i="2"/>
  <c r="Q50" i="2"/>
  <c r="AJ49" i="2"/>
  <c r="AG49" i="2"/>
  <c r="AD49" i="2"/>
  <c r="W49" i="2"/>
  <c r="T49" i="2"/>
  <c r="Q49" i="2"/>
  <c r="AJ48" i="2"/>
  <c r="AG48" i="2"/>
  <c r="AD48" i="2"/>
  <c r="W48" i="2"/>
  <c r="T48" i="2"/>
  <c r="Q48" i="2"/>
  <c r="AJ47" i="2"/>
  <c r="AG47" i="2"/>
  <c r="AD47" i="2"/>
  <c r="W47" i="2"/>
  <c r="T47" i="2"/>
  <c r="Q47" i="2"/>
  <c r="AJ46" i="2"/>
  <c r="AG46" i="2"/>
  <c r="AD46" i="2"/>
  <c r="W46" i="2"/>
  <c r="T46" i="2"/>
  <c r="Q46" i="2"/>
  <c r="AJ45" i="2"/>
  <c r="AG45" i="2"/>
  <c r="AD45" i="2"/>
  <c r="W45" i="2"/>
  <c r="T45" i="2"/>
  <c r="Q45" i="2"/>
  <c r="AJ44" i="2"/>
  <c r="AG44" i="2"/>
  <c r="AD44" i="2"/>
  <c r="W44" i="2"/>
  <c r="T44" i="2"/>
  <c r="Q44" i="2"/>
  <c r="AJ43" i="2"/>
  <c r="AG43" i="2"/>
  <c r="AD43" i="2"/>
  <c r="W43" i="2"/>
  <c r="T43" i="2"/>
  <c r="Q43" i="2"/>
  <c r="AJ42" i="2"/>
  <c r="AG42" i="2"/>
  <c r="AD42" i="2"/>
  <c r="W42" i="2"/>
  <c r="T42" i="2"/>
  <c r="Q42" i="2"/>
  <c r="AJ41" i="2"/>
  <c r="AG41" i="2"/>
  <c r="AD41" i="2"/>
  <c r="W41" i="2"/>
  <c r="T41" i="2"/>
  <c r="Q41" i="2"/>
  <c r="AJ40" i="2"/>
  <c r="AG40" i="2"/>
  <c r="AD40" i="2"/>
  <c r="W40" i="2"/>
  <c r="T40" i="2"/>
  <c r="Q40" i="2"/>
  <c r="AJ39" i="2"/>
  <c r="AG39" i="2"/>
  <c r="AD39" i="2"/>
  <c r="W39" i="2"/>
  <c r="T39" i="2"/>
  <c r="Q39" i="2"/>
  <c r="AJ38" i="2"/>
  <c r="AG38" i="2"/>
  <c r="AD38" i="2"/>
  <c r="W38" i="2"/>
  <c r="T38" i="2"/>
  <c r="Q38" i="2"/>
  <c r="AJ37" i="2"/>
  <c r="AG37" i="2"/>
  <c r="AD37" i="2"/>
  <c r="W37" i="2"/>
  <c r="T37" i="2"/>
  <c r="Q37" i="2"/>
  <c r="AJ36" i="2"/>
  <c r="AG36" i="2"/>
  <c r="AD36" i="2"/>
  <c r="W36" i="2"/>
  <c r="T36" i="2"/>
  <c r="Q36" i="2"/>
  <c r="AJ35" i="2"/>
  <c r="AG35" i="2"/>
  <c r="AD35" i="2"/>
  <c r="W35" i="2"/>
  <c r="T35" i="2"/>
  <c r="Q35" i="2"/>
  <c r="AJ34" i="2"/>
  <c r="AG34" i="2"/>
  <c r="AD34" i="2"/>
  <c r="W34" i="2"/>
  <c r="T34" i="2"/>
  <c r="Q34" i="2"/>
  <c r="AJ33" i="2"/>
  <c r="AG33" i="2"/>
  <c r="AD33" i="2"/>
  <c r="W33" i="2"/>
  <c r="T33" i="2"/>
  <c r="Q33" i="2"/>
  <c r="AJ32" i="2"/>
  <c r="AG32" i="2"/>
  <c r="AD32" i="2"/>
  <c r="W32" i="2"/>
  <c r="T32" i="2"/>
  <c r="Q32" i="2"/>
  <c r="AJ31" i="2"/>
  <c r="AG31" i="2"/>
  <c r="AD31" i="2"/>
  <c r="W31" i="2"/>
  <c r="T31" i="2"/>
  <c r="Q31" i="2"/>
  <c r="AJ30" i="2"/>
  <c r="AG30" i="2"/>
  <c r="AD30" i="2"/>
  <c r="W30" i="2"/>
  <c r="T30" i="2"/>
  <c r="Q30" i="2"/>
  <c r="AJ29" i="2"/>
  <c r="AG29" i="2"/>
  <c r="AD29" i="2"/>
  <c r="W29" i="2"/>
  <c r="T29" i="2"/>
  <c r="Q29" i="2"/>
  <c r="AJ28" i="2"/>
  <c r="AG28" i="2"/>
  <c r="AD28" i="2"/>
  <c r="W28" i="2"/>
  <c r="T28" i="2"/>
  <c r="Q28" i="2"/>
  <c r="AJ27" i="2"/>
  <c r="AG27" i="2"/>
  <c r="AD27" i="2"/>
  <c r="W27" i="2"/>
  <c r="T27" i="2"/>
  <c r="Q27" i="2"/>
  <c r="AJ26" i="2"/>
  <c r="AG26" i="2"/>
  <c r="AD26" i="2"/>
  <c r="W26" i="2"/>
  <c r="T26" i="2"/>
  <c r="Q26" i="2"/>
  <c r="AJ25" i="2"/>
  <c r="AG25" i="2"/>
  <c r="AD25" i="2"/>
  <c r="W25" i="2"/>
  <c r="T25" i="2"/>
  <c r="Q25" i="2"/>
  <c r="AJ24" i="2"/>
  <c r="AG24" i="2"/>
  <c r="AD24" i="2"/>
  <c r="W24" i="2"/>
  <c r="T24" i="2"/>
  <c r="Q24" i="2"/>
  <c r="AJ23" i="2"/>
  <c r="AG23" i="2"/>
  <c r="AD23" i="2"/>
  <c r="W23" i="2"/>
  <c r="T23" i="2"/>
  <c r="Q23" i="2"/>
  <c r="AJ22" i="2"/>
  <c r="AG22" i="2"/>
  <c r="AD22" i="2"/>
  <c r="W22" i="2"/>
  <c r="T22" i="2"/>
  <c r="Q22" i="2"/>
  <c r="AJ21" i="2"/>
  <c r="AG21" i="2"/>
  <c r="AD21" i="2"/>
  <c r="W21" i="2"/>
  <c r="T21" i="2"/>
  <c r="Q21" i="2"/>
  <c r="AJ20" i="2"/>
  <c r="AG20" i="2"/>
  <c r="AD20" i="2"/>
  <c r="W20" i="2"/>
  <c r="T20" i="2"/>
  <c r="Q20" i="2"/>
  <c r="AJ19" i="2"/>
  <c r="AG19" i="2"/>
  <c r="AD19" i="2"/>
  <c r="W19" i="2"/>
  <c r="T19" i="2"/>
  <c r="Q19" i="2"/>
  <c r="AJ18" i="2"/>
  <c r="AG18" i="2"/>
  <c r="AD18" i="2"/>
  <c r="W18" i="2"/>
  <c r="T18" i="2"/>
  <c r="Q18" i="2"/>
  <c r="AJ17" i="2"/>
  <c r="AG17" i="2"/>
  <c r="AD17" i="2"/>
  <c r="W17" i="2"/>
  <c r="T17" i="2"/>
  <c r="Q17" i="2"/>
  <c r="AJ16" i="2"/>
  <c r="AG16" i="2"/>
  <c r="AD16" i="2"/>
  <c r="W16" i="2"/>
  <c r="T16" i="2"/>
  <c r="Q16" i="2"/>
  <c r="AJ15" i="2"/>
  <c r="AG15" i="2"/>
  <c r="AD15" i="2"/>
  <c r="W15" i="2"/>
  <c r="T15" i="2"/>
  <c r="Q15" i="2"/>
  <c r="AJ14" i="2"/>
  <c r="AG14" i="2"/>
  <c r="AD14" i="2"/>
  <c r="W14" i="2"/>
  <c r="T14" i="2"/>
  <c r="Q14" i="2"/>
  <c r="AJ13" i="2"/>
  <c r="AG13" i="2"/>
  <c r="AD13" i="2"/>
  <c r="W13" i="2"/>
  <c r="T13" i="2"/>
  <c r="Q13" i="2"/>
  <c r="AJ12" i="2"/>
  <c r="AG12" i="2"/>
  <c r="AD12" i="2"/>
  <c r="W12" i="2"/>
  <c r="T12" i="2"/>
  <c r="Q12" i="2"/>
  <c r="AJ11" i="2"/>
  <c r="AG11" i="2"/>
  <c r="AD11" i="2"/>
  <c r="W11" i="2"/>
  <c r="T11" i="2"/>
  <c r="Q11" i="2"/>
  <c r="AJ10" i="2"/>
  <c r="AG10" i="2"/>
  <c r="AD10" i="2"/>
  <c r="W10" i="2"/>
  <c r="T10" i="2"/>
  <c r="Q10" i="2"/>
  <c r="AJ9" i="2"/>
  <c r="AG9" i="2"/>
  <c r="AD9" i="2"/>
  <c r="W9" i="2"/>
  <c r="T9" i="2"/>
  <c r="Q9" i="2"/>
  <c r="AJ8" i="2"/>
  <c r="AG8" i="2"/>
  <c r="AD8" i="2"/>
  <c r="W8" i="2"/>
  <c r="T8" i="2"/>
  <c r="Q8" i="2"/>
  <c r="AJ7" i="2"/>
  <c r="AG7" i="2"/>
  <c r="AD7" i="2"/>
  <c r="W7" i="2"/>
  <c r="T7" i="2"/>
  <c r="Q7" i="2"/>
  <c r="AJ6" i="2"/>
  <c r="AG6" i="2"/>
  <c r="AD6" i="2"/>
  <c r="W6" i="2"/>
  <c r="T6" i="2"/>
  <c r="Q6" i="2"/>
  <c r="AJ5" i="2"/>
  <c r="AG5" i="2"/>
  <c r="AD5" i="2"/>
  <c r="W5" i="2"/>
  <c r="T5" i="2"/>
  <c r="Q5" i="2"/>
  <c r="AJ4" i="2"/>
  <c r="AG4" i="2"/>
  <c r="AD4" i="2"/>
  <c r="W4" i="2"/>
  <c r="T4" i="2"/>
  <c r="Q4" i="2"/>
  <c r="AJ3" i="2"/>
  <c r="AG3" i="2"/>
  <c r="AD3" i="2"/>
  <c r="W3" i="2"/>
  <c r="T3" i="2"/>
  <c r="Q3" i="2"/>
  <c r="AJ2" i="2"/>
  <c r="AG2" i="2"/>
  <c r="AD2" i="2"/>
  <c r="W2" i="2"/>
  <c r="T2" i="2"/>
  <c r="Q2" i="2"/>
</calcChain>
</file>

<file path=xl/sharedStrings.xml><?xml version="1.0" encoding="utf-8"?>
<sst xmlns="http://schemas.openxmlformats.org/spreadsheetml/2006/main" count="22743" uniqueCount="1518">
  <si>
    <t>MATRÍCULA</t>
  </si>
  <si>
    <t>NOME</t>
  </si>
  <si>
    <t>Uniorg</t>
  </si>
  <si>
    <t>Posição "De"</t>
  </si>
  <si>
    <t>Posição "PARA"</t>
  </si>
  <si>
    <t>Cargo "PARA"</t>
  </si>
  <si>
    <t>Colaborador–M.O.Fixa</t>
  </si>
  <si>
    <t>Grupo "DE"</t>
  </si>
  <si>
    <t>Subgrupo "DE"</t>
  </si>
  <si>
    <t>Grupo "PARA"</t>
  </si>
  <si>
    <t>Subgrupo "PARA"</t>
  </si>
  <si>
    <t>Centro de Custo "DE"</t>
  </si>
  <si>
    <t>Centro de Custo "PARA"</t>
  </si>
  <si>
    <t>Cargo "DE"</t>
  </si>
  <si>
    <t>JG "PARA"</t>
  </si>
  <si>
    <t>Mensalista</t>
  </si>
  <si>
    <t>Colaborador–M.O.Var</t>
  </si>
  <si>
    <t>Horista</t>
  </si>
  <si>
    <t>AUX ALMOXARIFADO</t>
  </si>
  <si>
    <t>OPER EMPILHADEIRA</t>
  </si>
  <si>
    <t>MONITOR PRODUCAO</t>
  </si>
  <si>
    <t>INSPETOR CLASSIFICACAO</t>
  </si>
  <si>
    <t>JG "DE"</t>
  </si>
  <si>
    <t>Área de RH</t>
  </si>
  <si>
    <t>VALIDAÇÃO</t>
  </si>
  <si>
    <t>PROCESSADO</t>
  </si>
  <si>
    <t>AFONSO SOALHEIRO DE FREITAS</t>
  </si>
  <si>
    <t>NATALINO LOPES FERREIRA</t>
  </si>
  <si>
    <t>RAIMUNDO ALVES DE SOUSA</t>
  </si>
  <si>
    <t>EDSON FLAVIO PIPERMO</t>
  </si>
  <si>
    <t>VANDERLEI FERREIRA MARTONETO</t>
  </si>
  <si>
    <t>EDSON DE ALMEIDA</t>
  </si>
  <si>
    <t>JAMIL DA SILVA</t>
  </si>
  <si>
    <t>NIVALDO DUARTE MESQUITA</t>
  </si>
  <si>
    <t>FRANCISCO FERREIRA DA SILVA</t>
  </si>
  <si>
    <t>AMADEU PEREIRA MIRANDA</t>
  </si>
  <si>
    <t>JOSE BIARA LEITE</t>
  </si>
  <si>
    <t>CLAUDEMIR APARECIDO AMERICO</t>
  </si>
  <si>
    <t>ADEMAR PEREIRA DO NASCIMENTO</t>
  </si>
  <si>
    <t>JOSE CARDOSO DE ARAUJO</t>
  </si>
  <si>
    <t>MARCOS DE PAULA BUENO</t>
  </si>
  <si>
    <t>EVALDO BENEDITO DE ALMEIDA</t>
  </si>
  <si>
    <t>JOSE CARLOS DE ALMEIDA</t>
  </si>
  <si>
    <t>VALDECIR APARECIDO ALVES</t>
  </si>
  <si>
    <t>MARCELO CORAINI</t>
  </si>
  <si>
    <t>JOAO AVELAR DOS SANTOS</t>
  </si>
  <si>
    <t>SEBASTIAO PEREIRA CHAVES</t>
  </si>
  <si>
    <t>VALTER GODOY DE ALMEIDA</t>
  </si>
  <si>
    <t>JOAO FRUTUOZO DA SILVA</t>
  </si>
  <si>
    <t>APARECIDO DONIZETE TOMAZELLI</t>
  </si>
  <si>
    <t>VALDECIR PERPETUO BATISTA</t>
  </si>
  <si>
    <t>IVAN PEREIRA DA SILVA</t>
  </si>
  <si>
    <t>VALDECI FERREIRA COELHO</t>
  </si>
  <si>
    <t>SEBASTIAO GUEDES DAS CHAGAS</t>
  </si>
  <si>
    <t>JOAO PEREIRA DOS SANTOS</t>
  </si>
  <si>
    <t>LUIZ ANTONIO FERNANDES</t>
  </si>
  <si>
    <t>MILTON RICIERI POLTRONIERI</t>
  </si>
  <si>
    <t>MESSIAS TEIXEIRA DE ANDRADE</t>
  </si>
  <si>
    <t>ANESIO DIAS JULIAO</t>
  </si>
  <si>
    <t>AGUINALDO DA SILVA</t>
  </si>
  <si>
    <t>LUIZ CARLOS DA SILVA</t>
  </si>
  <si>
    <t>ADEMIR HERNANDES</t>
  </si>
  <si>
    <t>MARCOS GOMES DE SOUZA</t>
  </si>
  <si>
    <t>WALDAIR JOSE DE SOUZA</t>
  </si>
  <si>
    <t>ERASMO CARLOS ALMEIDA LIMA</t>
  </si>
  <si>
    <t>EDINELSON MIRANDA AGUILAR</t>
  </si>
  <si>
    <t>MANOEL PEREIRA DA CRUZ</t>
  </si>
  <si>
    <t>ROGERIO FRANCISCO LIMA</t>
  </si>
  <si>
    <t>EVERALDO CRUZ</t>
  </si>
  <si>
    <t>ROBERTO DE SOUSA SANTANA</t>
  </si>
  <si>
    <t>EDNALDO DOS SANTOS LOPES</t>
  </si>
  <si>
    <t>LEANDRO SILVA DE CARVALHO</t>
  </si>
  <si>
    <t>CARLOS ALBERTO DE JESUS LARA</t>
  </si>
  <si>
    <t>EVALDIR MARCELO DE SENA</t>
  </si>
  <si>
    <t>JOSE GALVAO</t>
  </si>
  <si>
    <t>NESTOR BALDIBIA</t>
  </si>
  <si>
    <t>AGNALDO SANTANA LOMES</t>
  </si>
  <si>
    <t>IVANILSON VIEIRA DE JESUS</t>
  </si>
  <si>
    <t>TIMOTEO SILVA DE CARVALHO</t>
  </si>
  <si>
    <t>HERMINIO DUARTE MESQUITA</t>
  </si>
  <si>
    <t>OSMAIR DOS SANTOS KROL</t>
  </si>
  <si>
    <t>DENILSON LEME</t>
  </si>
  <si>
    <t>NILSON ALVES DA SILVA</t>
  </si>
  <si>
    <t>UBIRATAN JOSE DE OLIVEIRA</t>
  </si>
  <si>
    <t>CELSO VIEIRA DOS SANTOS</t>
  </si>
  <si>
    <t>CLAUDIO LUIZ PEREIRA LOPES</t>
  </si>
  <si>
    <t>MARCO APARECIDO MALAVAZI</t>
  </si>
  <si>
    <t>WILSON FRANCISCO PEREIRA</t>
  </si>
  <si>
    <t>FLAVIO GERALDO OLIVEIRA</t>
  </si>
  <si>
    <t>JULIO CESAR DA CRUZ</t>
  </si>
  <si>
    <t>ROGERIO DOS SANTOS RIBEIRO</t>
  </si>
  <si>
    <t>NOEL GONZAGA</t>
  </si>
  <si>
    <t>SERGIO ALESSANDRO THANS</t>
  </si>
  <si>
    <t>ALEX SANDRO DA SILVA TEIXEIRA</t>
  </si>
  <si>
    <t>RODRIGO VIEIRA DOS SANTOS</t>
  </si>
  <si>
    <t>ANTONIO GILDIVAN DE SOUSA</t>
  </si>
  <si>
    <t>DEVANIL DE SOUZA AZEVEDO</t>
  </si>
  <si>
    <t>JOSE DA SILVA DE CARVALHO</t>
  </si>
  <si>
    <t>JOSE ADEIDE MONTEIRO DE SOUZA</t>
  </si>
  <si>
    <t>CHRISTIAN HENRIQUE DE BRITO PEREIRA</t>
  </si>
  <si>
    <t>ROBERTO SILVERIO</t>
  </si>
  <si>
    <t>CLAUDEMIR DE OLIVEIRA MARQUES</t>
  </si>
  <si>
    <t>CLAUDINEI MENDES PAZ</t>
  </si>
  <si>
    <t>GENIVAL VIEIRA DE BARROS</t>
  </si>
  <si>
    <t>JORGE VITALINO SANTANA</t>
  </si>
  <si>
    <t>ADILSON EDSON MALAQUIAS</t>
  </si>
  <si>
    <t>EDSON DA CRUZ PORTELA</t>
  </si>
  <si>
    <t>ANTONIO SILVA DE CARVALHO FILHO</t>
  </si>
  <si>
    <t>ADENILSON DE OLIVEIRA CUSIM</t>
  </si>
  <si>
    <t>HENRIQUE MAZERO MARTINS</t>
  </si>
  <si>
    <t>RENATO EVANGELISTA DOS SANTOS</t>
  </si>
  <si>
    <t>VALMIR HENRIQUE DA SILVA</t>
  </si>
  <si>
    <t>AGUINALDO DOS SANTOS LOPES</t>
  </si>
  <si>
    <t>DEUSDETE PEDRO DE SOUZA</t>
  </si>
  <si>
    <t>MARCOS JOSE BASTO</t>
  </si>
  <si>
    <t>CELSO DA SILVA CLARO</t>
  </si>
  <si>
    <t>ROBERTO DOMINGOS DA SILVA</t>
  </si>
  <si>
    <t>VANDERLEI RODRIGUES</t>
  </si>
  <si>
    <t>JOSE CARLOS RODRIGUES DE SOUSA</t>
  </si>
  <si>
    <t>MARCOS RODRIGO SANTANA</t>
  </si>
  <si>
    <t>JOSE LAFAIETE DE OLIVEIRA</t>
  </si>
  <si>
    <t>MARCO ANTONIO DA SILVA</t>
  </si>
  <si>
    <t>VANDERLEY MACHADO DOS SANTOS</t>
  </si>
  <si>
    <t>JULIANO ANTONIO KERBER</t>
  </si>
  <si>
    <t>GIVANILDO DE SOUSA</t>
  </si>
  <si>
    <t>JOSE MENDES DOS SANTOS</t>
  </si>
  <si>
    <t>JOSE GIOMAR OLIVEIRA SILVA</t>
  </si>
  <si>
    <t>DAVID ELIAS DE ASSIS</t>
  </si>
  <si>
    <t>ORMINDO BATISTA DE OLIVEIRA</t>
  </si>
  <si>
    <t>ERASMO BERNARDO DA SILVA</t>
  </si>
  <si>
    <t>ALEXANDRO DA SILVA ALVES</t>
  </si>
  <si>
    <t>EDMILSON AUGUSTO DO NASCIMENTO</t>
  </si>
  <si>
    <t>DENILSON FERREIRA ABREU</t>
  </si>
  <si>
    <t>PATRICIO JOSE DE OLIVEIRA NETO</t>
  </si>
  <si>
    <t>EVERTON DOUGLAS GOMES DE OLIVEIRA</t>
  </si>
  <si>
    <t>FABIANO DIONISIO DE SOUZA</t>
  </si>
  <si>
    <t>MARCOS ALEXANDRE FERNANDES</t>
  </si>
  <si>
    <t>ANDRE LUIZ DA SILVA</t>
  </si>
  <si>
    <t>IRINEU ALVES DE SOUSA</t>
  </si>
  <si>
    <t>JOSE ALEXANDRE DA SILVA</t>
  </si>
  <si>
    <t>VICENTE FRANCISCO FERREIRA</t>
  </si>
  <si>
    <t>CLEDSON FARIA DIAS</t>
  </si>
  <si>
    <t>MARCELO ARAUJO GOMES</t>
  </si>
  <si>
    <t>MARCIO JOSE DOS SANTOS</t>
  </si>
  <si>
    <t>SANDRO DEODATO DA PAZ</t>
  </si>
  <si>
    <t>ADEMIR ESPOSO DOS SANTOS</t>
  </si>
  <si>
    <t>EVERALDO ANTONIO DE LIMA</t>
  </si>
  <si>
    <t>JOCELIO COSTA AFREU DA SILVA</t>
  </si>
  <si>
    <t>JOSE CARLOS MARQUES</t>
  </si>
  <si>
    <t>CRISTIANO DA ROSA</t>
  </si>
  <si>
    <t>MARCOS MARTINS DOS SANTOS</t>
  </si>
  <si>
    <t>RAFAEL MOREIRA DE SOUZA</t>
  </si>
  <si>
    <t>SERGIO DO AMARAL SORIANO PINTO</t>
  </si>
  <si>
    <t>GETULIO VIEIRA DOS SANTOS</t>
  </si>
  <si>
    <t>MANOEL BRAZ DE MEDEIROS</t>
  </si>
  <si>
    <t>VICENTE ALVES CORDEIRO</t>
  </si>
  <si>
    <t>WELIGTON GOMES</t>
  </si>
  <si>
    <t>ERALDO AVELINO DA SILVA</t>
  </si>
  <si>
    <t>GENESSI VITOR DA SILVA</t>
  </si>
  <si>
    <t>REGINALDO CRUZ</t>
  </si>
  <si>
    <t>JOAO BATISTA RAMALHO</t>
  </si>
  <si>
    <t>EVERTON ROBERTO FARASCO</t>
  </si>
  <si>
    <t>JOSE NILDO BELO DA SILVA</t>
  </si>
  <si>
    <t>JADIR FERNANDES SANTOS</t>
  </si>
  <si>
    <t>EVANDRO VIEIRA</t>
  </si>
  <si>
    <t>CARLOS CESAR ALVES DE SOUZA</t>
  </si>
  <si>
    <t>HAMILTON BARBARA</t>
  </si>
  <si>
    <t>ADRIANO PEREIRA DOS SANTOS</t>
  </si>
  <si>
    <t>VALDEIR GUILHERME SCHIMIT</t>
  </si>
  <si>
    <t>KLEBER JOSE DA SILVA</t>
  </si>
  <si>
    <t>MANOEL JOSE LUIZ PEREIRA</t>
  </si>
  <si>
    <t>SEBASTIAO RODRIGUES DA SILVA</t>
  </si>
  <si>
    <t>FLAVIANO RODRIGUES MENDES</t>
  </si>
  <si>
    <t>VALDIR RAMOS NOGUEIRA</t>
  </si>
  <si>
    <t>LUCIANO PEREIRA DA CRUZ</t>
  </si>
  <si>
    <t>JUCIMAR CESARIO DOS SANTOS</t>
  </si>
  <si>
    <t>ALESSANDRO DE OLIVEIRA SILVA</t>
  </si>
  <si>
    <t>MARCOS ROBERTO MENDES</t>
  </si>
  <si>
    <t>WAGNER FERREIRA PARANHOS</t>
  </si>
  <si>
    <t>WILSON FERREIRA DA COSTA</t>
  </si>
  <si>
    <t>IDALECIO SOUZA ROCHA</t>
  </si>
  <si>
    <t>JOSE DE JESUS FAZAN</t>
  </si>
  <si>
    <t>JOSE MORAIS DE OLIVEIRA</t>
  </si>
  <si>
    <t>ALEX SANDRO MANOEL</t>
  </si>
  <si>
    <t>GERALDO PINHEIRO SOARES</t>
  </si>
  <si>
    <t>JEREMIAS NUNES DE ARAUJO</t>
  </si>
  <si>
    <t>RODRIGO PEREIRA GOMES</t>
  </si>
  <si>
    <t>EDICASSIO DA SILVA CAMANDAROBA</t>
  </si>
  <si>
    <t>ANTONIO LOPES PEREIRA</t>
  </si>
  <si>
    <t>CLAUDIO VANIO ALVES NERE</t>
  </si>
  <si>
    <t>OTAVIO VIEIRA DOS SANTOS</t>
  </si>
  <si>
    <t>VITAL NASCIMENTO DOS SANTOS</t>
  </si>
  <si>
    <t>MARICELIO DA SILVA SOUZA</t>
  </si>
  <si>
    <t>ALEXANDRE CLEMENTE</t>
  </si>
  <si>
    <t>WILLIAN DA SILVA</t>
  </si>
  <si>
    <t>FABIO PEREIRA DA SILVA</t>
  </si>
  <si>
    <t>IVALDO SILVA GOMES</t>
  </si>
  <si>
    <t>DANIEL LAURINDO DA SILVA</t>
  </si>
  <si>
    <t>TIAGO PEDRO DE ABREU</t>
  </si>
  <si>
    <t>ADEMIR LAFAIETE NUNES MARTINS</t>
  </si>
  <si>
    <t>ELIEZER ALVES DOS SANTOS</t>
  </si>
  <si>
    <t>DARCY APARECIDO DE FREITAS</t>
  </si>
  <si>
    <t>ROBERTO DOS SANTOS</t>
  </si>
  <si>
    <t>AGUINALDO PEREIRA DO NASCIMENTO</t>
  </si>
  <si>
    <t>THOMAS IGOR BARBIERI</t>
  </si>
  <si>
    <t>EDYCARLOS ANTUNES DE SOUSA</t>
  </si>
  <si>
    <t>LUCAS CARLOS CHILANI</t>
  </si>
  <si>
    <t>JOSE PEDRO DOS SANTOS</t>
  </si>
  <si>
    <t>WELLITON DE COELHO ALVES</t>
  </si>
  <si>
    <t>EZAU DE LIMA</t>
  </si>
  <si>
    <t>HELIO MARTINS DO ROSARIO</t>
  </si>
  <si>
    <t>VALDEMIRO FERREIRA DE SOUZA</t>
  </si>
  <si>
    <t>RAIMUNDO PEREIRA DE ARAUJO</t>
  </si>
  <si>
    <t>KLEBER SIMILI GUERRA</t>
  </si>
  <si>
    <t>ANTONIO ALVES DOS SANTOS</t>
  </si>
  <si>
    <t>MAURO GARCIA DA SILVA</t>
  </si>
  <si>
    <t>JOSE CASSIMIRO SCHIMITH NETO</t>
  </si>
  <si>
    <t>JOSE PEREIRA DA SILVA FILHO</t>
  </si>
  <si>
    <t>FERNANDO DOS SANTOS MOREIRA</t>
  </si>
  <si>
    <t>MARCELO GONCALVES DA SILVA</t>
  </si>
  <si>
    <t>PAULO HENRIQUE BRIGOLA CHAVES</t>
  </si>
  <si>
    <t>JOSE HENRIQUE FRANCISCO DE OLIVEIRA</t>
  </si>
  <si>
    <t>GUILHERME RESENDE DO CARMO</t>
  </si>
  <si>
    <t>JOSIVALDO FERREIRA DOS SANTOS</t>
  </si>
  <si>
    <t>LUIZ GOMES DA SILVA</t>
  </si>
  <si>
    <t>FABIO APARECIDO XAVIER</t>
  </si>
  <si>
    <t>CLAUDINEY FERREIRA</t>
  </si>
  <si>
    <t>JANESON NASCIMENTO TORRES</t>
  </si>
  <si>
    <t>ATANAEL ALVES DOS SANTOS</t>
  </si>
  <si>
    <t>VALTER ROSA</t>
  </si>
  <si>
    <t>UALAS CUNHA DOURADO</t>
  </si>
  <si>
    <t>ALMIR JOSE DA SILVA</t>
  </si>
  <si>
    <t>ANGELO APARECIDO DA SILVA</t>
  </si>
  <si>
    <t>MACIANO LAURENCIO BARROS</t>
  </si>
  <si>
    <t>AGNALDO APARECIDO SANTOS</t>
  </si>
  <si>
    <t>EDNILSON ALVES LOPES</t>
  </si>
  <si>
    <t>EDEILTON MARQUES DOS SANTOS</t>
  </si>
  <si>
    <t>ALEXANDRE JUSTINO</t>
  </si>
  <si>
    <t>APARECIDO FRANCISCO DA SILVA</t>
  </si>
  <si>
    <t>ELISON SANTOS DA COSTA</t>
  </si>
  <si>
    <t>IVANILDO RAMOS LIMA</t>
  </si>
  <si>
    <t>MANOEL MESSIAS DA SILVA</t>
  </si>
  <si>
    <t>SIDEVALDO JOSE DA SILVA</t>
  </si>
  <si>
    <t>MARCOS BRAGA BATISTA</t>
  </si>
  <si>
    <t>FRANCISCO PAULO DA SILVA ROCHA</t>
  </si>
  <si>
    <t>MARCIO VIEIRA PACHECO DE MELO</t>
  </si>
  <si>
    <t>LOURIVALDO NUNES DE ARAUJO</t>
  </si>
  <si>
    <t>ISAIAS REIS COELHO</t>
  </si>
  <si>
    <t>ADRIANO DE LIMA ALVES</t>
  </si>
  <si>
    <t>JOAO DE DEUS DIVINO DOS SANTOS</t>
  </si>
  <si>
    <t>ROBISSON MENDES DE OLIVEIRA</t>
  </si>
  <si>
    <t>EDEVAL AVILA DE MATOS</t>
  </si>
  <si>
    <t>LEANDRO CORDEIRO DOS SANTOS</t>
  </si>
  <si>
    <t>LUIS FERNANDO LEITE DOS SANTOS</t>
  </si>
  <si>
    <t>JOSE ROBERTO FELIZARDO DOS SANTOS</t>
  </si>
  <si>
    <t>SERGIO GOMES DOS SANTOS</t>
  </si>
  <si>
    <t>JOSE MARIO FARIAS DA SILVA</t>
  </si>
  <si>
    <t>SAMUEL JANIO SILVA</t>
  </si>
  <si>
    <t>ESMAEL AMERICO</t>
  </si>
  <si>
    <t>JOSE AILTON PARANHOS</t>
  </si>
  <si>
    <t>DIRCEU APARECIDO VISCAINO</t>
  </si>
  <si>
    <t>JOSE AMARO DOS SANTOS FILHO</t>
  </si>
  <si>
    <t>CARLINHOS ANTUNES DE SOUSA</t>
  </si>
  <si>
    <t>JOSE EDNALDO DE SALES LOURENCO</t>
  </si>
  <si>
    <t>TAIRONE GONCALVES RIBEIRO</t>
  </si>
  <si>
    <t>JOSE CASTORINO MARTINS</t>
  </si>
  <si>
    <t>VALDECI SOUSA PASSOS</t>
  </si>
  <si>
    <t>JONSIVALDO PEREIRA DE OLIVEIRA</t>
  </si>
  <si>
    <t>ALEXANDRE GODOY DE ALMEIDA</t>
  </si>
  <si>
    <t>RICARDO GUIMARAES CARVALHO</t>
  </si>
  <si>
    <t>LUIS FRANCISCO DA SILVA</t>
  </si>
  <si>
    <t>AMOS PACHECO DE LIMA</t>
  </si>
  <si>
    <t>EMILIO ROQUE DA SILVA</t>
  </si>
  <si>
    <t>ELTON EVANGELISTA DE LIMA</t>
  </si>
  <si>
    <t>JOSE ANTONIO DE FARIAS</t>
  </si>
  <si>
    <t>ADEMIR TEIXEIRA</t>
  </si>
  <si>
    <t>CLEITON CAMILO DA SILVA</t>
  </si>
  <si>
    <t>REINALDO DE CASTRO OLIVEIRA</t>
  </si>
  <si>
    <t>SINVAL DA SILVA ALMEIDA</t>
  </si>
  <si>
    <t>THIAGO AUGUSTO DOS SANTOS</t>
  </si>
  <si>
    <t>JEFFERSON FRANCISCO DOS SANTOS</t>
  </si>
  <si>
    <t>CLAUDINEI ALVES</t>
  </si>
  <si>
    <t>CICERO MAURICIO DOS SANTOS</t>
  </si>
  <si>
    <t>KEDISON JOSE DA SILVA</t>
  </si>
  <si>
    <t>VALDIR CORDEIRO DOS SANTOS</t>
  </si>
  <si>
    <t>DIEGO DA SILVA JUSTINO</t>
  </si>
  <si>
    <t>LUCIANO NEVES DA SILVA</t>
  </si>
  <si>
    <t>VALDINER DOS SANTOS SANTANA</t>
  </si>
  <si>
    <t>ANDRE LIMA DA SILVA</t>
  </si>
  <si>
    <t>GILVANDO CAIRES DE ALMEIDA</t>
  </si>
  <si>
    <t>MATEUS DE MELLO ARAUJO</t>
  </si>
  <si>
    <t>CEDENIR GASPAR ALVES</t>
  </si>
  <si>
    <t>SEVERINO JOSE FERREIRA</t>
  </si>
  <si>
    <t>HENRIQUE MANOEL DA CRUZ</t>
  </si>
  <si>
    <t>DOMINGO SALVIO ADRIANO</t>
  </si>
  <si>
    <t>BENEDITO NATALINO PEREIRA</t>
  </si>
  <si>
    <t>LUCIANO CRUZ DE CASTRO</t>
  </si>
  <si>
    <t>ALEX LUIS GONCALVES SILVA</t>
  </si>
  <si>
    <t>FLAVIO CIRIACO DA SILVA</t>
  </si>
  <si>
    <t>EDUARDO DE SOUZA DOS SANTOS</t>
  </si>
  <si>
    <t>JOSE EDSON DA SILVA FEITOSA</t>
  </si>
  <si>
    <t>NEIDE SCHIMITH</t>
  </si>
  <si>
    <t>ISMAEL SANTOS E SANTOS</t>
  </si>
  <si>
    <t>FERNANDO VELOSO DO NASCIMENTO</t>
  </si>
  <si>
    <t>JOSE DE DEUS SOARES</t>
  </si>
  <si>
    <t>JADIELSON VICTOR DA SILVA</t>
  </si>
  <si>
    <t>FABIANO PEREIRA DA SILVA</t>
  </si>
  <si>
    <t>EDSON FLAVIO BUENO</t>
  </si>
  <si>
    <t>MANOEL FERREIRA ALVES</t>
  </si>
  <si>
    <t>ADILSON JOSE DOS SANTOS</t>
  </si>
  <si>
    <t>VALDICK INACIO DA SILVA</t>
  </si>
  <si>
    <t>RENATO ANTONIO DA SILVA</t>
  </si>
  <si>
    <t>MARCOS FRANCISCO SILVA SANTOS</t>
  </si>
  <si>
    <t>MUNIZ WERIQUE DE BARROS</t>
  </si>
  <si>
    <t>FRANCISCO ROCHA DA SILVA</t>
  </si>
  <si>
    <t>LOURIVAL ANTONIO INACIO</t>
  </si>
  <si>
    <t>ADAILTON ARAUJO GABRIEL</t>
  </si>
  <si>
    <t>RICARDO BEYELER MADUREIRA</t>
  </si>
  <si>
    <t>FABIO MOURA MARINHO</t>
  </si>
  <si>
    <t>LEANDRO DA SILVA SANTOS</t>
  </si>
  <si>
    <t>JOSE COSTA DA SILVA</t>
  </si>
  <si>
    <t>MARCOS FERNANDES DA SILVA LIMA</t>
  </si>
  <si>
    <t>JOSE FERNANDES PEREIRA</t>
  </si>
  <si>
    <t>RICARDO DOS SANTOS VIEIRA</t>
  </si>
  <si>
    <t>CLEBSON MANOEL DA SILVA MUNIZ</t>
  </si>
  <si>
    <t>FRANCISCO NUNES OLIVEIRA</t>
  </si>
  <si>
    <t>ADRIANO SANTANA MENDES</t>
  </si>
  <si>
    <t>ISMAEL FERREIRA DOS ANJOS</t>
  </si>
  <si>
    <t>JARBAS XAVIER SANTIAGO</t>
  </si>
  <si>
    <t>DANIEL PAULO MOREIRA</t>
  </si>
  <si>
    <t>IVAN APARECIDO LOPES</t>
  </si>
  <si>
    <t>JADIR TEIXEIRA DA SILVA</t>
  </si>
  <si>
    <t>EVANDRO SILVA DE ARAGAO</t>
  </si>
  <si>
    <t>VILCELINO IMBELINO FERREIRA</t>
  </si>
  <si>
    <t>CLAUDIANO FARIAS DA SILVA</t>
  </si>
  <si>
    <t>EVAIR SILVA DE BESSA</t>
  </si>
  <si>
    <t>ALEX SANDRO BARBOSA</t>
  </si>
  <si>
    <t>MARCO ANTONIO DO NASCIMENTO TIMOTEO</t>
  </si>
  <si>
    <t>SILVAN LEITE FERREIRA</t>
  </si>
  <si>
    <t>VALDIR FRANCISCO DOS SANTOS</t>
  </si>
  <si>
    <t>ANTONIO CLAUDINO DA SILVA SANTOS</t>
  </si>
  <si>
    <t>CLECIO CIPRIANO DOS SANTOS</t>
  </si>
  <si>
    <t>WILLIANO BARBOSA DA SILVA</t>
  </si>
  <si>
    <t>EDVALDO GOMES ROCHA</t>
  </si>
  <si>
    <t>MARIO BRITO OLIVEIRA</t>
  </si>
  <si>
    <t>LUCAS FERNANDO URBANO</t>
  </si>
  <si>
    <t>JOSIELIO RODRIGUES DE OLIVEIRA</t>
  </si>
  <si>
    <t>ALUISIO CELSO ANDRADE</t>
  </si>
  <si>
    <t>ANTONIO DOMINGOS TOMAZ</t>
  </si>
  <si>
    <t>RENAN SOBRAL NOGUEIRA</t>
  </si>
  <si>
    <t>EDIMAR ANDRADE DE SOUZA</t>
  </si>
  <si>
    <t>MANOEL BENEDITO DOS SANTOS</t>
  </si>
  <si>
    <t>ANGELO APARECIDO FERREIRA</t>
  </si>
  <si>
    <t>CLAUDIOMAR ANTONIO DOS SANTOS</t>
  </si>
  <si>
    <t>MARIO CELIO APARECIDO GERALDO</t>
  </si>
  <si>
    <t>ELIANA HONORATO</t>
  </si>
  <si>
    <t>EDIVAN DE JESUS GOIS</t>
  </si>
  <si>
    <t>ERISMAR FERREIRA CALDEIRA</t>
  </si>
  <si>
    <t>CRISTIANO GOMES DOS SANTOS</t>
  </si>
  <si>
    <t>NIVALDO ALVES DOS SANTOS</t>
  </si>
  <si>
    <t>JAILSON AMORIM BARBOSA</t>
  </si>
  <si>
    <t>JULIO CESAR MONTEIRO DOS SANTOS</t>
  </si>
  <si>
    <t>OSMIRO TELES PEREIRA</t>
  </si>
  <si>
    <t>ADELSON NOGUEIRA OLIVEIRA</t>
  </si>
  <si>
    <t>ISRAEL MOREIRA DE SOUSA</t>
  </si>
  <si>
    <t>REGINALDO OCTAVIO DA SILVA</t>
  </si>
  <si>
    <t>ROQUE DE ALMEIDA</t>
  </si>
  <si>
    <t>WESLEY RENAN ANTUNES</t>
  </si>
  <si>
    <t>ALESSANDRO BARBOSA DA SILVA</t>
  </si>
  <si>
    <t>LEONARDO PEREIRA DE CARVALHO</t>
  </si>
  <si>
    <t>JULIO SERGIO FEITOSA PEREIRA</t>
  </si>
  <si>
    <t>WALDIR RIBEIRO SOARES</t>
  </si>
  <si>
    <t>ANDRE LEITE DOS SANTOS</t>
  </si>
  <si>
    <t>EDUARDO BERNARDO DA SILVA</t>
  </si>
  <si>
    <t>ROMARIO BARBOSA DE CARVALHO</t>
  </si>
  <si>
    <t>MARCIO DOS REIS DA SILVA</t>
  </si>
  <si>
    <t>RICARDO FILOMENO</t>
  </si>
  <si>
    <t>JOAO ATAIDE DA SILVA</t>
  </si>
  <si>
    <t>VALDINEI ARNALDO RAMOS</t>
  </si>
  <si>
    <t>NILTON JOSE DOS SANTOS ARAUJO</t>
  </si>
  <si>
    <t>ANTONIEL MAYKON SILVA</t>
  </si>
  <si>
    <t>ANTONIO ORLEANS PEREIRA DA SILVA</t>
  </si>
  <si>
    <t>SILVANO AMARAL SANTOS</t>
  </si>
  <si>
    <t>EVANDRO SERAFIM ALVES</t>
  </si>
  <si>
    <t>JOSE GERALDO DE OLIVEIRA</t>
  </si>
  <si>
    <t>LUIZ FERNANDO BORGES OLIVEIRA</t>
  </si>
  <si>
    <t>ERASMO SOUSA DOS SANTOS</t>
  </si>
  <si>
    <t>GETULIO PEREIRA CALADO</t>
  </si>
  <si>
    <t>SANDRO VIEIRA DOS SANTOS</t>
  </si>
  <si>
    <t>EDSON DE OLIVEIRA COSTA</t>
  </si>
  <si>
    <t>DIOGO DOS SANTOS ARAUJO CAMARGO</t>
  </si>
  <si>
    <t>JORGE FERREIRA DOS SANTOS</t>
  </si>
  <si>
    <t>EVANDRO DA SILVA ROCHA</t>
  </si>
  <si>
    <t>MARLAN DE FRANCA DA SILVA</t>
  </si>
  <si>
    <t>ANTONIO JOSE DOS SANTOS</t>
  </si>
  <si>
    <t>VICTOR LAURINDO SILVA</t>
  </si>
  <si>
    <t>RAIMUNDO NONATO PEREIRA FERREIRA</t>
  </si>
  <si>
    <t>JOSE SANTOS DA ROCHA</t>
  </si>
  <si>
    <t>ZIZUE ALVES FERREIRA CHAVES</t>
  </si>
  <si>
    <t>LAERCIO VIEIRA DA SILVA</t>
  </si>
  <si>
    <t>MARCIO SIQUEIRA SILVA</t>
  </si>
  <si>
    <t>JOSE DA SILVA SOUZA</t>
  </si>
  <si>
    <t>LOURIVAL DE SOUSA CARVALHO</t>
  </si>
  <si>
    <t>ROBERTO FERMINO DIAS</t>
  </si>
  <si>
    <t>MARCOS PAULO PEREIRA MATOS</t>
  </si>
  <si>
    <t>MANASSES FRANCISCO DA SILVA</t>
  </si>
  <si>
    <t>GENIVALDO DA SILVA REIS</t>
  </si>
  <si>
    <t>JOSE ERNANDE RODRIGUES DA SILVA</t>
  </si>
  <si>
    <t>JAILTON SARMENTO DA SILVA</t>
  </si>
  <si>
    <t>LUIS BASCOPE DIEGUEZ</t>
  </si>
  <si>
    <t>RONIEL SANTOS DE JESUS</t>
  </si>
  <si>
    <t>JEANLUS AUGUSTIN</t>
  </si>
  <si>
    <t>ADALBERTO FREITAS REIS</t>
  </si>
  <si>
    <t>MAILTON DA SILVA SOUZA</t>
  </si>
  <si>
    <t>ANDRE DA SILVA SOUZA</t>
  </si>
  <si>
    <t>EVERTON LUIS RODRIGUES</t>
  </si>
  <si>
    <t>EDUARDO XAVIER DOS SANTOS</t>
  </si>
  <si>
    <t>FERNANDO BRAGA BATISTA</t>
  </si>
  <si>
    <t>EVANDRO DE ALMEIDA</t>
  </si>
  <si>
    <t>ADRIANO MANOEL DA SILVA</t>
  </si>
  <si>
    <t>DOUGLAS CARLOS DOS SANTOS</t>
  </si>
  <si>
    <t>DEUSDETE DE JESUS SOUZA</t>
  </si>
  <si>
    <t>VALDIR ALVES DA SILVA</t>
  </si>
  <si>
    <t>WALDENIR DA SILVA SOUSA</t>
  </si>
  <si>
    <t>ELIAS NICOLAU DE SANTANA</t>
  </si>
  <si>
    <t>JOSE ISAILAN NUNES MATOS</t>
  </si>
  <si>
    <t>GILBERTO CAIRES DE ALMEIDA</t>
  </si>
  <si>
    <t>JOSUE TRINDADE DE SOUSA</t>
  </si>
  <si>
    <t>NILSON DOS SANTOS NEVES</t>
  </si>
  <si>
    <t>UEDSON DA MATA BRITO</t>
  </si>
  <si>
    <t>SILVIO DOS SANTOS SILVA</t>
  </si>
  <si>
    <t>RONALDO RIBEIRO SOARES</t>
  </si>
  <si>
    <t>JAILSON ANTONIO DA SILVA</t>
  </si>
  <si>
    <t>ELDO DE CARVALHO SILVA</t>
  </si>
  <si>
    <t>JOSE FABIO FERREIRA DA SILVA</t>
  </si>
  <si>
    <t>LEANDRO MAURO DOS SANTOS</t>
  </si>
  <si>
    <t>ARLINDO MOREIRA DE SOUSA</t>
  </si>
  <si>
    <t>CALEBE TIMOTEO DA SILVA</t>
  </si>
  <si>
    <t>ROLAND TOUSSAINT</t>
  </si>
  <si>
    <t>CLAUDIO ANISIO GASPAR</t>
  </si>
  <si>
    <t>GILDO FERREIRA SANTOS</t>
  </si>
  <si>
    <t>ERISLAN PINTO DA SILVA</t>
  </si>
  <si>
    <t>ADEMIR RODRIGUES DA SILVA</t>
  </si>
  <si>
    <t>JOELSON ROCHA DA SILVA</t>
  </si>
  <si>
    <t>REINALDO FERREIRA DA SILVA</t>
  </si>
  <si>
    <t>EZEQUIEL RODRIGUES</t>
  </si>
  <si>
    <t>GILMAR GOES DE SANTANA</t>
  </si>
  <si>
    <t>JACKSON CICERO DA SILVA</t>
  </si>
  <si>
    <t>MICHAEL DOUGLAS APARECIDO DOS SANTOS</t>
  </si>
  <si>
    <t>MARCOS ANTONIO CORREIA DOS SANTOS</t>
  </si>
  <si>
    <t>GILVANDO BERNARDINO DOS SANTOS</t>
  </si>
  <si>
    <t>ANDRE APARECIDO RODRIGUES</t>
  </si>
  <si>
    <t>MARCOS ANTONIO IANNARIELLO JUNIOR</t>
  </si>
  <si>
    <t>THALES LIMA DE SOUZA</t>
  </si>
  <si>
    <t>LUIZ MARCIO FRANCO DOS SANTOS JUNIOR</t>
  </si>
  <si>
    <t>FELIPE FERREIRA BERTUNES</t>
  </si>
  <si>
    <t>FELIPE AUGUSTO BIZETTO</t>
  </si>
  <si>
    <t>VANDERLEI DA SILVA SOUZA</t>
  </si>
  <si>
    <t>MARCOS JOSE DOS SANTOS</t>
  </si>
  <si>
    <t>DANILO DOS SANTOS</t>
  </si>
  <si>
    <t>JAELSON DE OLIVEIRA SOUZA</t>
  </si>
  <si>
    <t>SILVANO JOSE CARDOSO</t>
  </si>
  <si>
    <t>PAULO HENRIQUE BALBINO DA ROSA</t>
  </si>
  <si>
    <t>REINALDO EVANGELISTA DOS SANTOS</t>
  </si>
  <si>
    <t>ADENILSON FERREIRA DA SILVA</t>
  </si>
  <si>
    <t>ANDERSON RAMOS DE BARROS</t>
  </si>
  <si>
    <t>ANDERSON HENRIQUE GONCALVES SILVA</t>
  </si>
  <si>
    <t>MAIK HENRIQUE DE SOUZA</t>
  </si>
  <si>
    <t>ALAN ROSA DE SOUZA</t>
  </si>
  <si>
    <t>JOSE CARLOS DE OLIVEIRA</t>
  </si>
  <si>
    <t>EDUARDO DO PRADO</t>
  </si>
  <si>
    <t>JOSIMAR ROCHA DA SILVA</t>
  </si>
  <si>
    <t>LUCIVALDO SANTOS DE OLIVEIRA FERNANDES ALVES</t>
  </si>
  <si>
    <t>BRUNO DE OLIVEIRA SOUZA</t>
  </si>
  <si>
    <t>ADELMO SALU GONZAGA</t>
  </si>
  <si>
    <t>RAFAEL PEREIRA GOMES</t>
  </si>
  <si>
    <t>WILLAMS DOS ANJOS ROCHA</t>
  </si>
  <si>
    <t>LORENALDO APARECIDO NOGUEIRA</t>
  </si>
  <si>
    <t>VAGNER FERREIRA DOS SANTOS</t>
  </si>
  <si>
    <t>JONAS FELIPE DA SILVA</t>
  </si>
  <si>
    <t>VAGNER GOMES ROCHA</t>
  </si>
  <si>
    <t>ANDRE LUIZ MARCHESINI</t>
  </si>
  <si>
    <t>JEFFERSON SANTOS AMANCIO</t>
  </si>
  <si>
    <t>RAFAEL FELIPE EMBOAVA CAMILIO</t>
  </si>
  <si>
    <t>MAURICIO VICTOR ROCHA</t>
  </si>
  <si>
    <t>VINICIUS PEREIRA DE SOUZA</t>
  </si>
  <si>
    <t>MARNEY PINTO</t>
  </si>
  <si>
    <t>ADRIANO GLORIA DOS SANTOS</t>
  </si>
  <si>
    <t>KAIQUE DOS SANTOS CAMPOS</t>
  </si>
  <si>
    <t>VAILSON DOS ANJOS SILVA DE OLIVEIRA</t>
  </si>
  <si>
    <t>JOSE LUIS ALVES DOS SANTOS</t>
  </si>
  <si>
    <t>LEANDRO FERREIRA DE SOUZA</t>
  </si>
  <si>
    <t>ROBERTO CALDEIRA DA SILVA</t>
  </si>
  <si>
    <t>BENEDITO VICENTE DA SILVA</t>
  </si>
  <si>
    <t>RODRIGO HONORIO MARCOLAN</t>
  </si>
  <si>
    <t>CICERO FERNANDES DE LIMA MASSENO</t>
  </si>
  <si>
    <t>THIAGO ANDRE COUTO COSTA</t>
  </si>
  <si>
    <t>LUIS CARLOS ROSENA ALEXANDRE</t>
  </si>
  <si>
    <t>GENIVALDO JOSE DE OLIVEIRA</t>
  </si>
  <si>
    <t>MARCOS SOARES DA SILVA</t>
  </si>
  <si>
    <t>JAIRO MATIAS DE SOUSA GUEDES PARANHOS</t>
  </si>
  <si>
    <t>ALAN VINICIUS DA SILVA</t>
  </si>
  <si>
    <t>MARCIO JOSE DE CARVALHO</t>
  </si>
  <si>
    <t>EDERVAL RODRIGUES BISPO</t>
  </si>
  <si>
    <t>ARIEL MICHEL MARTINS</t>
  </si>
  <si>
    <t>ANDERSON RODRIGUES DOS SANTOS</t>
  </si>
  <si>
    <t>JEFFERSON MARTINS LOPES</t>
  </si>
  <si>
    <t>ROBSON DA SILVA</t>
  </si>
  <si>
    <t>DIEGO LUIS CARDOSO SIQUEIRA</t>
  </si>
  <si>
    <t>MATHEUS DE OLIVEIRA FERREIRA</t>
  </si>
  <si>
    <t>LUCAS GONCALVES PAROCHI</t>
  </si>
  <si>
    <t>CLAYTON FERREIRA ALVES</t>
  </si>
  <si>
    <t>RICARDO DE VASCONCELOS CAMPOS</t>
  </si>
  <si>
    <t>DANIEL TEIXEIRA DOS SANTOS</t>
  </si>
  <si>
    <t>FABIO HENRIQUE INACIO DA SILVA REIS</t>
  </si>
  <si>
    <t>JONATHAN CASSIANO DE SOUZA</t>
  </si>
  <si>
    <t>AILTON LACERDA SOUZA</t>
  </si>
  <si>
    <t>ELIAS RIBEIRO SOARES</t>
  </si>
  <si>
    <t>LUCAS BATISTA DA CUNHA</t>
  </si>
  <si>
    <t>DIEGO GERALDO DOS SANTOS</t>
  </si>
  <si>
    <t>BRUNO COUTINHO BARBOSA</t>
  </si>
  <si>
    <t>MARIA DE FATIMA SILVA DOS SANTOS</t>
  </si>
  <si>
    <t>WILLIAM PEREIRA SENA</t>
  </si>
  <si>
    <t>JOSE MAURICIO DE SOUZA</t>
  </si>
  <si>
    <t>WEVERTON VIEIRA DA CRUZ</t>
  </si>
  <si>
    <t>LUIS FELIPE PERICO</t>
  </si>
  <si>
    <t>JOSE UANDERSON DOS SANTOS</t>
  </si>
  <si>
    <t>CLAUDEMIR CALDEIRA DO NASCIMENTO</t>
  </si>
  <si>
    <t>ERALDO JOSE DOS SANTOS</t>
  </si>
  <si>
    <t>LUCAS SUHETT ARAUJO</t>
  </si>
  <si>
    <t>MARCOS HENRIQUE MATOS DA CONCEICAO</t>
  </si>
  <si>
    <t>ACLECIO FEITOZA</t>
  </si>
  <si>
    <t>HEBERT VASCONCELOS COELHO</t>
  </si>
  <si>
    <t>RODRIGO SANTANA DE SOUSA</t>
  </si>
  <si>
    <t>ANTONIO HENRIQUE DA SILVA SALES</t>
  </si>
  <si>
    <t>JULIO CESAR AQUINO DE SOUZA</t>
  </si>
  <si>
    <t>MICHEL DE ALENCAR SILVA</t>
  </si>
  <si>
    <t>ANDERSON ALEX EVARISTO FERREIRA</t>
  </si>
  <si>
    <t>ALEX LUCENA DE MEDEIROS</t>
  </si>
  <si>
    <t>JOABE LUIZ DE SOUZA</t>
  </si>
  <si>
    <t>DANIEL SOUSA MACIEL</t>
  </si>
  <si>
    <t>IVAN DE JESUS VIEIRA</t>
  </si>
  <si>
    <t>MATEUS SOUSA MATOS</t>
  </si>
  <si>
    <t>GILSON ALBERTO DE OLIVEIRA</t>
  </si>
  <si>
    <t>PEDRO FERREIRA SANTOS NETO</t>
  </si>
  <si>
    <t>CRISTIANO CONCEICAO DOS SANTOS</t>
  </si>
  <si>
    <t>ALEX SANDRO RODRIGUES DE SOUZA</t>
  </si>
  <si>
    <t>PEDRO PAULO SANTOS JUNIOR</t>
  </si>
  <si>
    <t>KLEMERSON COELHO GOMES</t>
  </si>
  <si>
    <t>JOAQUIM ANTUNES DE SOUSA</t>
  </si>
  <si>
    <t>JOSE MARCOS SANTOS SILVA</t>
  </si>
  <si>
    <t>WANDESON RODRIGUES DA SILVA</t>
  </si>
  <si>
    <t>JOAS DA SILVA FELIX</t>
  </si>
  <si>
    <t>TIAGO DE SOUSA ROCHA</t>
  </si>
  <si>
    <t>ALLAN SIMAO RODRIGUES</t>
  </si>
  <si>
    <t>DAVI FERNANDES DOS SANTOS</t>
  </si>
  <si>
    <t>ERISVALDO FAUSTINO DE SOUZA</t>
  </si>
  <si>
    <t>ALMIR JOSE MARTINS</t>
  </si>
  <si>
    <t>BRUNO BRITO DOS SANTOS</t>
  </si>
  <si>
    <t>CLERISTON DE MIRANDA FERREIRA</t>
  </si>
  <si>
    <t>MAYNARA LUPINO BARROS</t>
  </si>
  <si>
    <t>FELIPE QUINTILIANO DOS SANTOS</t>
  </si>
  <si>
    <t>CLAYTON VIEIRA DE FARIAS</t>
  </si>
  <si>
    <t>GUSTAVO OLIVEIRA VASCONCELOS</t>
  </si>
  <si>
    <t>ISRAEL BARBOSA DOS SANTOS</t>
  </si>
  <si>
    <t>IVACI ALVES DE SOUSA</t>
  </si>
  <si>
    <t>JOAO EUDES JOSE DE OLIVEIRA</t>
  </si>
  <si>
    <t>JOSE APARECIDO SANTOS DE ARAUJO</t>
  </si>
  <si>
    <t>WILLIAN CRISTIAN PURGATO</t>
  </si>
  <si>
    <t>JOALDENIS DUARTE DOS SANTOS</t>
  </si>
  <si>
    <t>PAULO RICARDO PEREIRA MARQUES</t>
  </si>
  <si>
    <t>ALEX AMANCIO DOS SANTOS</t>
  </si>
  <si>
    <t>ERIKE JHONATAN DOS SANTOS</t>
  </si>
  <si>
    <t>MARLON LUIZ DOS SANTOS</t>
  </si>
  <si>
    <t>MARIO GABRIEL DE OLIVEIRA</t>
  </si>
  <si>
    <t>ADELSON FERREIRA DOS SANTOS</t>
  </si>
  <si>
    <t>JOSE MESSIAS FERREIRA SANTOS</t>
  </si>
  <si>
    <t>LINDOMAR LAURENCIO BARROS</t>
  </si>
  <si>
    <t>JANAILDO JOSE DA SILVA</t>
  </si>
  <si>
    <t>IAGO CIRIACO DA SILVA</t>
  </si>
  <si>
    <t>MARLON MATHEUS DA SILVA MARQUES</t>
  </si>
  <si>
    <t>DIEGO FERNANDO CONDINI</t>
  </si>
  <si>
    <t>NAIARA OLIVEIRA DE JESUS</t>
  </si>
  <si>
    <t>DIONES SILVA DE JESUS</t>
  </si>
  <si>
    <t>MAXSUEL SILVA SANTOS</t>
  </si>
  <si>
    <t>ALEX DE ARAUJO RAMOS</t>
  </si>
  <si>
    <t>IGOR PEREIRA DA SILVA</t>
  </si>
  <si>
    <t>LUCAS DE BASTOS MOTA</t>
  </si>
  <si>
    <t>IVALDO PEREIRA BEZERRA</t>
  </si>
  <si>
    <t>EDVANDO DA SILVA CUNHA</t>
  </si>
  <si>
    <t>HUGO PEREIRA DA CUNHA OLIVEIRA</t>
  </si>
  <si>
    <t>VALDENILSON ALVES DE OLIVEIRA</t>
  </si>
  <si>
    <t>RAFAEL LEANDRO TASSIOTTO GOMES</t>
  </si>
  <si>
    <t>RODNEY DOS SANTOS</t>
  </si>
  <si>
    <t>MATHEUS VINICIUS LINS BERTOGNA</t>
  </si>
  <si>
    <t>MOISES CARVALHO DA SILVA</t>
  </si>
  <si>
    <t>JOSE EDILSON DA SILVA</t>
  </si>
  <si>
    <t>GABRIEL MENDES</t>
  </si>
  <si>
    <t>ANDERSON GONCALVES GONDIM</t>
  </si>
  <si>
    <t>ROBSON APARECIDO DIAS</t>
  </si>
  <si>
    <t>ALLEF FELIPE ANNINO</t>
  </si>
  <si>
    <t>ARCENIO DE SOUZA BRITO</t>
  </si>
  <si>
    <t>MARCOS RODRIGUES DE OLIVEIRA</t>
  </si>
  <si>
    <t>EMERSON TIAGO ARAUJO</t>
  </si>
  <si>
    <t>JHONATA WESLEY NASCIMENTO SANTOS</t>
  </si>
  <si>
    <t>LUCAS GUSTAVO GONCALVES SOUZA</t>
  </si>
  <si>
    <t>GABRIEL DIAS MEDEIROS</t>
  </si>
  <si>
    <t>MAYCON JHONY TABORDA</t>
  </si>
  <si>
    <t>JOSE EDSON MARINHO DOS SANTOS</t>
  </si>
  <si>
    <t>JEAN WILKENS LOUIS</t>
  </si>
  <si>
    <t>DANILO LIMA VILELA</t>
  </si>
  <si>
    <t>ALDENIR JOSE CORREIA DA SILVA</t>
  </si>
  <si>
    <t>LEANDRO VICENTE DA SILVA</t>
  </si>
  <si>
    <t>LUIS FERNANDO DE JESUS MARQUES</t>
  </si>
  <si>
    <t>ALTAIR PORFIRIO DE SOUSA</t>
  </si>
  <si>
    <t>ADILSON DA CONSOLACAO SANTOS</t>
  </si>
  <si>
    <t>ERICK GOMES DE SOUZA</t>
  </si>
  <si>
    <t>BRUNO DE FREITAS BESERRA</t>
  </si>
  <si>
    <t>JEOVA FEITOSA PEREIRA</t>
  </si>
  <si>
    <t>JOEL SAINT HILAIRE</t>
  </si>
  <si>
    <t>JOEL CARMO DA SILVA</t>
  </si>
  <si>
    <t>CARLOS VAGNE FERREIRA BARBOSA</t>
  </si>
  <si>
    <t>PETHUEL JOSEPH</t>
  </si>
  <si>
    <t>VITOR HENRIQUE FURTUOSO DA COSTA</t>
  </si>
  <si>
    <t>ELENILTON DOS SANTOS</t>
  </si>
  <si>
    <t>RODRIGUES MOURA MORAES</t>
  </si>
  <si>
    <t>MATEUS JOSE CARDOSO</t>
  </si>
  <si>
    <t>WESLEY DE SOUSA TEIXEIRA</t>
  </si>
  <si>
    <t>CAROLINA RODRIGUES OLIVEIRA PIPOLI</t>
  </si>
  <si>
    <t>CARLOS SAMUEL COIMBRA ROCHA</t>
  </si>
  <si>
    <t>ANDERSON CORREA PAULO JUNIOR</t>
  </si>
  <si>
    <t>LUIS CARLOS SANTOS DE OLIVEIRA</t>
  </si>
  <si>
    <t>FABIANO FERREIRA ANDRADE</t>
  </si>
  <si>
    <t>LUCAS MATEUS SILVA FERREIRA</t>
  </si>
  <si>
    <t>ABNER MONTEIRO CARDOSO</t>
  </si>
  <si>
    <t>JEFERSON LEANDRO TEIXEIRA DOS SANTOS</t>
  </si>
  <si>
    <t>ROBERVAL DOS SANTOS</t>
  </si>
  <si>
    <t>JOSE MARCIO DA SILVA</t>
  </si>
  <si>
    <t>RAILSON SOARES DE SOUZA</t>
  </si>
  <si>
    <t>CHARLES GOMES RIBEIRO</t>
  </si>
  <si>
    <t>PAULO ROBERTO SANTOS CRUZ</t>
  </si>
  <si>
    <t>OSMAR MARTINS DE LISBOA</t>
  </si>
  <si>
    <t>RICARDO POLIZER</t>
  </si>
  <si>
    <t>FABIANO ALVES DE SOUZA</t>
  </si>
  <si>
    <t>JHONATA LUIZ RODRIGUES TAZAVA</t>
  </si>
  <si>
    <t>FABIO DE SOUSA CARVALHO</t>
  </si>
  <si>
    <t>MARCIO SILVA NASCIMENTO DE SOUZA</t>
  </si>
  <si>
    <t>WAGNER FERREIRA DA SILVA</t>
  </si>
  <si>
    <t>JEAN MAX CORREA DE FREITAS</t>
  </si>
  <si>
    <t>DOUGLAS GAVILHA DE OLIVEIRA</t>
  </si>
  <si>
    <t>ROBERTO SAMPAIO</t>
  </si>
  <si>
    <t>JEAN VILUS DEUS</t>
  </si>
  <si>
    <t>JOSE CLECIO DO NASCIMENTO</t>
  </si>
  <si>
    <t>DXCONVEN23</t>
  </si>
  <si>
    <t>DXESMALT23</t>
  </si>
  <si>
    <t>DXMECLAV23</t>
  </si>
  <si>
    <t>DXFERMAT23</t>
  </si>
  <si>
    <t>DXFIRECL23</t>
  </si>
  <si>
    <t>DXINATIN23</t>
  </si>
  <si>
    <t>DXEXPEDI23</t>
  </si>
  <si>
    <t>DXCLEMBL23</t>
  </si>
  <si>
    <t>DXARMEMB23</t>
  </si>
  <si>
    <t>DXMOLGES23</t>
  </si>
  <si>
    <t>DXINSPEC23</t>
  </si>
  <si>
    <t>DXALTPRE23</t>
  </si>
  <si>
    <t>DXREMATR23</t>
  </si>
  <si>
    <t>DXFORNOS23</t>
  </si>
  <si>
    <t>DXMOLRES23</t>
  </si>
  <si>
    <t>DXFMECAN23</t>
  </si>
  <si>
    <t>DXPRMASS23</t>
  </si>
  <si>
    <t>DXFAESMA23</t>
  </si>
  <si>
    <t>DXMODELA23</t>
  </si>
  <si>
    <t>DXACABAL23</t>
  </si>
  <si>
    <t>DXACESAP23</t>
  </si>
  <si>
    <t>DXREQUEI23</t>
  </si>
  <si>
    <t>DXESMAUT23</t>
  </si>
  <si>
    <t>DXMECANI23</t>
  </si>
  <si>
    <t>DXMONTAG23</t>
  </si>
  <si>
    <t>DXALMOXA23</t>
  </si>
  <si>
    <t>10001548</t>
  </si>
  <si>
    <t>10001576</t>
  </si>
  <si>
    <t>10001550</t>
  </si>
  <si>
    <t>10007324</t>
  </si>
  <si>
    <t>10007490</t>
  </si>
  <si>
    <t>10001527</t>
  </si>
  <si>
    <t>10001541</t>
  </si>
  <si>
    <t>10004852</t>
  </si>
  <si>
    <t>10001593</t>
  </si>
  <si>
    <t>10004851</t>
  </si>
  <si>
    <t>10001553</t>
  </si>
  <si>
    <t>10001584</t>
  </si>
  <si>
    <t>10001569</t>
  </si>
  <si>
    <t>10001559</t>
  </si>
  <si>
    <t>10006632</t>
  </si>
  <si>
    <t>10001555</t>
  </si>
  <si>
    <t>10001589</t>
  </si>
  <si>
    <t>10001511</t>
  </si>
  <si>
    <t>10007317</t>
  </si>
  <si>
    <t>10001571</t>
  </si>
  <si>
    <t>10007230</t>
  </si>
  <si>
    <t>10001583</t>
  </si>
  <si>
    <t>10002635</t>
  </si>
  <si>
    <t>10007400</t>
  </si>
  <si>
    <t>10002641</t>
  </si>
  <si>
    <t>10004432</t>
  </si>
  <si>
    <t>10001552</t>
  </si>
  <si>
    <t>10001591</t>
  </si>
  <si>
    <t>10001954</t>
  </si>
  <si>
    <t>10001560</t>
  </si>
  <si>
    <t>10001564</t>
  </si>
  <si>
    <t>10007940</t>
  </si>
  <si>
    <t>10001572</t>
  </si>
  <si>
    <t>10001501</t>
  </si>
  <si>
    <t>10001502</t>
  </si>
  <si>
    <t>10007766</t>
  </si>
  <si>
    <t>10001034</t>
  </si>
  <si>
    <t>10002727</t>
  </si>
  <si>
    <t>FÁB LOUÇAS JUNDIAÍ I</t>
  </si>
  <si>
    <t>22002719</t>
  </si>
  <si>
    <t>22002724</t>
  </si>
  <si>
    <t>22000336</t>
  </si>
  <si>
    <t>22003231</t>
  </si>
  <si>
    <t>22002674</t>
  </si>
  <si>
    <t>22000394</t>
  </si>
  <si>
    <t>22002671</t>
  </si>
  <si>
    <t>22002673</t>
  </si>
  <si>
    <t>22002672</t>
  </si>
  <si>
    <t>22000411</t>
  </si>
  <si>
    <t>22000271</t>
  </si>
  <si>
    <t>22000321</t>
  </si>
  <si>
    <t>22002670</t>
  </si>
  <si>
    <t>22000361</t>
  </si>
  <si>
    <t>22002858</t>
  </si>
  <si>
    <t>22002543</t>
  </si>
  <si>
    <t>22002859</t>
  </si>
  <si>
    <t>22000396</t>
  </si>
  <si>
    <t>22002457</t>
  </si>
  <si>
    <t>22002829</t>
  </si>
  <si>
    <t>22002828</t>
  </si>
  <si>
    <t>22000234</t>
  </si>
  <si>
    <t>22000298</t>
  </si>
  <si>
    <t>22002579</t>
  </si>
  <si>
    <t>22000527</t>
  </si>
  <si>
    <t>22000528</t>
  </si>
  <si>
    <t>22002630</t>
  </si>
  <si>
    <t>22002604</t>
  </si>
  <si>
    <t>22000017</t>
  </si>
  <si>
    <t>22000211</t>
  </si>
  <si>
    <t>22002636</t>
  </si>
  <si>
    <t>22000223</t>
  </si>
  <si>
    <t>MONITOR FUNDICAO</t>
  </si>
  <si>
    <t>FUNDIDOR</t>
  </si>
  <si>
    <t>MONITOR MATRIZARIA</t>
  </si>
  <si>
    <t>MATRIZEIRO B</t>
  </si>
  <si>
    <t>MATRIZEIRO A</t>
  </si>
  <si>
    <t>INSPETOR PECAS CRUAS</t>
  </si>
  <si>
    <t>OPER ALTA PRESSAO</t>
  </si>
  <si>
    <t>AUX PRODUCAO</t>
  </si>
  <si>
    <t>ESMALTADOR</t>
  </si>
  <si>
    <t>FUNDIDOR MOLDES</t>
  </si>
  <si>
    <t>MECANICO</t>
  </si>
  <si>
    <t>PREPARADOR PRODUCAO A</t>
  </si>
  <si>
    <t>OPER EQUIP MOVIMENTACAO</t>
  </si>
  <si>
    <t>OPER ETE / ETA</t>
  </si>
  <si>
    <t>MODELADOR A</t>
  </si>
  <si>
    <t>PREPARADOR PRODUCAO B</t>
  </si>
  <si>
    <t>AUX EXPEDICAO</t>
  </si>
  <si>
    <t>CARPINTEIRO</t>
  </si>
  <si>
    <t>ASSIST PRODUCAO</t>
  </si>
  <si>
    <t>ACABADOR</t>
  </si>
  <si>
    <t>SERRALHEIRO</t>
  </si>
  <si>
    <t>MONTADOR MOLDES</t>
  </si>
  <si>
    <t>FUNDIDOR ACESSORIOS</t>
  </si>
  <si>
    <t>ALMOXARIFE</t>
  </si>
  <si>
    <t>PREPARADOR FERRAMENTAS</t>
  </si>
  <si>
    <t>30100166</t>
  </si>
  <si>
    <t>30100953</t>
  </si>
  <si>
    <t>30105018</t>
  </si>
  <si>
    <t>30101772</t>
  </si>
  <si>
    <t>30106015</t>
  </si>
  <si>
    <t>30101756</t>
  </si>
  <si>
    <t>30102772</t>
  </si>
  <si>
    <t>30104689</t>
  </si>
  <si>
    <t>30033357</t>
  </si>
  <si>
    <t>30102489</t>
  </si>
  <si>
    <t>30121169</t>
  </si>
  <si>
    <t>30101156</t>
  </si>
  <si>
    <t>30037749</t>
  </si>
  <si>
    <t>30103175</t>
  </si>
  <si>
    <t>30104301</t>
  </si>
  <si>
    <t>30102039</t>
  </si>
  <si>
    <t>30104784</t>
  </si>
  <si>
    <t>30105880</t>
  </si>
  <si>
    <t>30104077</t>
  </si>
  <si>
    <t>30030700</t>
  </si>
  <si>
    <t>30105589</t>
  </si>
  <si>
    <t>30106001</t>
  </si>
  <si>
    <t>30102923</t>
  </si>
  <si>
    <t>30118240</t>
  </si>
  <si>
    <t>30105882</t>
  </si>
  <si>
    <t>30102710</t>
  </si>
  <si>
    <t>30124692</t>
  </si>
  <si>
    <t>30105580</t>
  </si>
  <si>
    <t>30102972</t>
  </si>
  <si>
    <t>30006771</t>
  </si>
  <si>
    <t>30104568</t>
  </si>
  <si>
    <t>30104533</t>
  </si>
  <si>
    <t>30100587</t>
  </si>
  <si>
    <t>30100191</t>
  </si>
  <si>
    <t>30109506</t>
  </si>
  <si>
    <t>30100076</t>
  </si>
  <si>
    <t>30116369</t>
  </si>
  <si>
    <t>30106127</t>
  </si>
  <si>
    <t>30101987</t>
  </si>
  <si>
    <t>30101679</t>
  </si>
  <si>
    <t>30104048</t>
  </si>
  <si>
    <t>30105406</t>
  </si>
  <si>
    <t>30100429</t>
  </si>
  <si>
    <t>30034125</t>
  </si>
  <si>
    <t>30100251</t>
  </si>
  <si>
    <t>30103699</t>
  </si>
  <si>
    <t>30100917</t>
  </si>
  <si>
    <t>30105545</t>
  </si>
  <si>
    <t>30035245</t>
  </si>
  <si>
    <t>30104652</t>
  </si>
  <si>
    <t>30024108</t>
  </si>
  <si>
    <t>30102736</t>
  </si>
  <si>
    <t>30105833</t>
  </si>
  <si>
    <t>30102643</t>
  </si>
  <si>
    <t>30103029</t>
  </si>
  <si>
    <t>30104786</t>
  </si>
  <si>
    <t>30016695</t>
  </si>
  <si>
    <t>30105221</t>
  </si>
  <si>
    <t>30101102</t>
  </si>
  <si>
    <t>30101232</t>
  </si>
  <si>
    <t>30104249</t>
  </si>
  <si>
    <t>30106208</t>
  </si>
  <si>
    <t>30017829</t>
  </si>
  <si>
    <t>30011063</t>
  </si>
  <si>
    <t>30105403</t>
  </si>
  <si>
    <t>30104700</t>
  </si>
  <si>
    <t>30105597</t>
  </si>
  <si>
    <t>30100300</t>
  </si>
  <si>
    <t>30100532</t>
  </si>
  <si>
    <t>30106042</t>
  </si>
  <si>
    <t>30101510</t>
  </si>
  <si>
    <t>30103240</t>
  </si>
  <si>
    <t>30035399</t>
  </si>
  <si>
    <t>30021506</t>
  </si>
  <si>
    <t>30037854</t>
  </si>
  <si>
    <t>30105255</t>
  </si>
  <si>
    <t>30101196</t>
  </si>
  <si>
    <t>30118742</t>
  </si>
  <si>
    <t>30031476</t>
  </si>
  <si>
    <t>30123526</t>
  </si>
  <si>
    <t>30101755</t>
  </si>
  <si>
    <t>30100762</t>
  </si>
  <si>
    <t>30100087</t>
  </si>
  <si>
    <t>30034126</t>
  </si>
  <si>
    <t>30105128</t>
  </si>
  <si>
    <t>30030447</t>
  </si>
  <si>
    <t>30100193</t>
  </si>
  <si>
    <t>30117896</t>
  </si>
  <si>
    <t>30121656</t>
  </si>
  <si>
    <t>30101079</t>
  </si>
  <si>
    <t>30119079</t>
  </si>
  <si>
    <t>30106027</t>
  </si>
  <si>
    <t>30103222</t>
  </si>
  <si>
    <t>30013004</t>
  </si>
  <si>
    <t>30125461</t>
  </si>
  <si>
    <t>30104225</t>
  </si>
  <si>
    <t>30037115</t>
  </si>
  <si>
    <t>30104783</t>
  </si>
  <si>
    <t>30021834</t>
  </si>
  <si>
    <t>30005925</t>
  </si>
  <si>
    <t>30103197</t>
  </si>
  <si>
    <t>30101446</t>
  </si>
  <si>
    <t>30104760</t>
  </si>
  <si>
    <t>30101986</t>
  </si>
  <si>
    <t>30103658</t>
  </si>
  <si>
    <t>30116194</t>
  </si>
  <si>
    <t>30105224</t>
  </si>
  <si>
    <t>30104807</t>
  </si>
  <si>
    <t>30016628</t>
  </si>
  <si>
    <t>30016629</t>
  </si>
  <si>
    <t>30104262</t>
  </si>
  <si>
    <t>30108183</t>
  </si>
  <si>
    <t>30121781</t>
  </si>
  <si>
    <t>30011065</t>
  </si>
  <si>
    <t>30101067</t>
  </si>
  <si>
    <t>30007995</t>
  </si>
  <si>
    <t>30101707</t>
  </si>
  <si>
    <t>30100477</t>
  </si>
  <si>
    <t>30105542</t>
  </si>
  <si>
    <t>30100072</t>
  </si>
  <si>
    <t>30102062</t>
  </si>
  <si>
    <t>30103013</t>
  </si>
  <si>
    <t>30103211</t>
  </si>
  <si>
    <t>30011294</t>
  </si>
  <si>
    <t>30104329</t>
  </si>
  <si>
    <t>30104788</t>
  </si>
  <si>
    <t>30102621</t>
  </si>
  <si>
    <t>30109330</t>
  </si>
  <si>
    <t>30104028</t>
  </si>
  <si>
    <t>30106049</t>
  </si>
  <si>
    <t>30106154</t>
  </si>
  <si>
    <t>30102727</t>
  </si>
  <si>
    <t>30116975</t>
  </si>
  <si>
    <t>30118049</t>
  </si>
  <si>
    <t>30100733</t>
  </si>
  <si>
    <t>30109113</t>
  </si>
  <si>
    <t>30100973</t>
  </si>
  <si>
    <t>30118385</t>
  </si>
  <si>
    <t>30103232</t>
  </si>
  <si>
    <t>30035246</t>
  </si>
  <si>
    <t>30008261</t>
  </si>
  <si>
    <t>30107445</t>
  </si>
  <si>
    <t>30118646</t>
  </si>
  <si>
    <t>30107420</t>
  </si>
  <si>
    <t>30102854</t>
  </si>
  <si>
    <t>30105575</t>
  </si>
  <si>
    <t>30100961</t>
  </si>
  <si>
    <t>30107494</t>
  </si>
  <si>
    <t>30122529</t>
  </si>
  <si>
    <t>30103225</t>
  </si>
  <si>
    <t>30101590</t>
  </si>
  <si>
    <t>30107770</t>
  </si>
  <si>
    <t>30117740</t>
  </si>
  <si>
    <t>30119726</t>
  </si>
  <si>
    <t>30108182</t>
  </si>
  <si>
    <t>30108186</t>
  </si>
  <si>
    <t>30104900</t>
  </si>
  <si>
    <t>30121030</t>
  </si>
  <si>
    <t>30121771</t>
  </si>
  <si>
    <t>30101705</t>
  </si>
  <si>
    <t>30039912</t>
  </si>
  <si>
    <t>30107809</t>
  </si>
  <si>
    <t>30108786</t>
  </si>
  <si>
    <t>30103920</t>
  </si>
  <si>
    <t>30104168</t>
  </si>
  <si>
    <t>30108991</t>
  </si>
  <si>
    <t>30100578</t>
  </si>
  <si>
    <t>30122660</t>
  </si>
  <si>
    <t>30023820</t>
  </si>
  <si>
    <t>30116696</t>
  </si>
  <si>
    <t>30101106</t>
  </si>
  <si>
    <t>30122535</t>
  </si>
  <si>
    <t>30016669</t>
  </si>
  <si>
    <t>30119732</t>
  </si>
  <si>
    <t>30103904</t>
  </si>
  <si>
    <t>30104774</t>
  </si>
  <si>
    <t>30119630</t>
  </si>
  <si>
    <t>30122352</t>
  </si>
  <si>
    <t>30103713</t>
  </si>
  <si>
    <t>30016678</t>
  </si>
  <si>
    <t>30102515</t>
  </si>
  <si>
    <t>30118254</t>
  </si>
  <si>
    <t>30103537</t>
  </si>
  <si>
    <t>30109934</t>
  </si>
  <si>
    <t>30116709</t>
  </si>
  <si>
    <t>30007994</t>
  </si>
  <si>
    <t>30103281</t>
  </si>
  <si>
    <t>30121286</t>
  </si>
  <si>
    <t>30102728</t>
  </si>
  <si>
    <t>30122349</t>
  </si>
  <si>
    <t>30006773</t>
  </si>
  <si>
    <t>30006774</t>
  </si>
  <si>
    <t>30006900</t>
  </si>
  <si>
    <t>30011067</t>
  </si>
  <si>
    <t>30118752</t>
  </si>
  <si>
    <t>30101508</t>
  </si>
  <si>
    <t>30006902</t>
  </si>
  <si>
    <t>30007219</t>
  </si>
  <si>
    <t>30116924</t>
  </si>
  <si>
    <t>30102387</t>
  </si>
  <si>
    <t>30109744</t>
  </si>
  <si>
    <t>30100624</t>
  </si>
  <si>
    <t>30119498</t>
  </si>
  <si>
    <t>30011068</t>
  </si>
  <si>
    <t>30121974</t>
  </si>
  <si>
    <t>30100952</t>
  </si>
  <si>
    <t>30112668</t>
  </si>
  <si>
    <t>30122663</t>
  </si>
  <si>
    <t>30106992</t>
  </si>
  <si>
    <t>30006909</t>
  </si>
  <si>
    <t>30122658</t>
  </si>
  <si>
    <t>30102273</t>
  </si>
  <si>
    <t>30005928</t>
  </si>
  <si>
    <t>30006904</t>
  </si>
  <si>
    <t>30019192</t>
  </si>
  <si>
    <t>30113043</t>
  </si>
  <si>
    <t>30007993</t>
  </si>
  <si>
    <t>30100955</t>
  </si>
  <si>
    <t>30100553</t>
  </si>
  <si>
    <t>30121028</t>
  </si>
  <si>
    <t>30100617</t>
  </si>
  <si>
    <t>30104057</t>
  </si>
  <si>
    <t>30100448</t>
  </si>
  <si>
    <t>30032330</t>
  </si>
  <si>
    <t>30011069</t>
  </si>
  <si>
    <t>30101187</t>
  </si>
  <si>
    <t>30020580</t>
  </si>
  <si>
    <t>30116976</t>
  </si>
  <si>
    <t>30112137</t>
  </si>
  <si>
    <t>30011070</t>
  </si>
  <si>
    <t>30016680</t>
  </si>
  <si>
    <t>30100668</t>
  </si>
  <si>
    <t>30103031</t>
  </si>
  <si>
    <t>30006914</t>
  </si>
  <si>
    <t>30013572</t>
  </si>
  <si>
    <t>30102548</t>
  </si>
  <si>
    <t>30113489</t>
  </si>
  <si>
    <t>30022363</t>
  </si>
  <si>
    <t>30118400</t>
  </si>
  <si>
    <t>30102755</t>
  </si>
  <si>
    <t>30109720</t>
  </si>
  <si>
    <t>30109161</t>
  </si>
  <si>
    <t>30103215</t>
  </si>
  <si>
    <t>30100788</t>
  </si>
  <si>
    <t>30100746</t>
  </si>
  <si>
    <t>30113042</t>
  </si>
  <si>
    <t>30100951</t>
  </si>
  <si>
    <t>30101936</t>
  </si>
  <si>
    <t>30118070</t>
  </si>
  <si>
    <t>30102444</t>
  </si>
  <si>
    <t>30101666</t>
  </si>
  <si>
    <t>30118067</t>
  </si>
  <si>
    <t>30006906</t>
  </si>
  <si>
    <t>30112788</t>
  </si>
  <si>
    <t>30016626</t>
  </si>
  <si>
    <t>30105838</t>
  </si>
  <si>
    <t>30039919</t>
  </si>
  <si>
    <t>30100037</t>
  </si>
  <si>
    <t>30101481</t>
  </si>
  <si>
    <t>30120030</t>
  </si>
  <si>
    <t>30029560</t>
  </si>
  <si>
    <t>30118492</t>
  </si>
  <si>
    <t>30104790</t>
  </si>
  <si>
    <t>30029561</t>
  </si>
  <si>
    <t>30037853</t>
  </si>
  <si>
    <t>30104472</t>
  </si>
  <si>
    <t>30029462</t>
  </si>
  <si>
    <t>30107492</t>
  </si>
  <si>
    <t>30116673</t>
  </si>
  <si>
    <t>30039427</t>
  </si>
  <si>
    <t>30118647</t>
  </si>
  <si>
    <t>30103601</t>
  </si>
  <si>
    <t>30112500</t>
  </si>
  <si>
    <t>30016812</t>
  </si>
  <si>
    <t>30011125</t>
  </si>
  <si>
    <t>30104801</t>
  </si>
  <si>
    <t>30103905</t>
  </si>
  <si>
    <t>30108598</t>
  </si>
  <si>
    <t>30122530</t>
  </si>
  <si>
    <t>30108967</t>
  </si>
  <si>
    <t>30101003</t>
  </si>
  <si>
    <t>30030702</t>
  </si>
  <si>
    <t>30101484</t>
  </si>
  <si>
    <t>30101476</t>
  </si>
  <si>
    <t>30033414</t>
  </si>
  <si>
    <t>30122827</t>
  </si>
  <si>
    <t>30029457</t>
  </si>
  <si>
    <t>30102718</t>
  </si>
  <si>
    <t>30011126</t>
  </si>
  <si>
    <t>30007079</t>
  </si>
  <si>
    <t>30016672</t>
  </si>
  <si>
    <t>30007485</t>
  </si>
  <si>
    <t>30039913</t>
  </si>
  <si>
    <t>30113576</t>
  </si>
  <si>
    <t>30104084</t>
  </si>
  <si>
    <t>30101701</t>
  </si>
  <si>
    <t>30039428</t>
  </si>
  <si>
    <t>30125668</t>
  </si>
  <si>
    <t>30106683</t>
  </si>
  <si>
    <t>30107441</t>
  </si>
  <si>
    <t>30039920</t>
  </si>
  <si>
    <t>30123018</t>
  </si>
  <si>
    <t>30007477</t>
  </si>
  <si>
    <t>30039914</t>
  </si>
  <si>
    <t>30124059</t>
  </si>
  <si>
    <t>30007082</t>
  </si>
  <si>
    <t>30105525</t>
  </si>
  <si>
    <t>30105526</t>
  </si>
  <si>
    <t>30104188</t>
  </si>
  <si>
    <t>30008262</t>
  </si>
  <si>
    <t>30122822</t>
  </si>
  <si>
    <t>30106500</t>
  </si>
  <si>
    <t>30102809</t>
  </si>
  <si>
    <t>30116973</t>
  </si>
  <si>
    <t>30121329</t>
  </si>
  <si>
    <t>30106694</t>
  </si>
  <si>
    <t>30104797</t>
  </si>
  <si>
    <t>30102025</t>
  </si>
  <si>
    <t>30102657</t>
  </si>
  <si>
    <t>30118255</t>
  </si>
  <si>
    <t>30036842</t>
  </si>
  <si>
    <t>30100437</t>
  </si>
  <si>
    <t>30011130</t>
  </si>
  <si>
    <t>30117748</t>
  </si>
  <si>
    <t>30104796</t>
  </si>
  <si>
    <t>30104799</t>
  </si>
  <si>
    <t>30034521</t>
  </si>
  <si>
    <t>30011131</t>
  </si>
  <si>
    <t>30110203</t>
  </si>
  <si>
    <t>30025660</t>
  </si>
  <si>
    <t>30034522</t>
  </si>
  <si>
    <t>30029932</t>
  </si>
  <si>
    <t>30122821</t>
  </si>
  <si>
    <t>30035206</t>
  </si>
  <si>
    <t>30110558</t>
  </si>
  <si>
    <t>30018128</t>
  </si>
  <si>
    <t>30104341</t>
  </si>
  <si>
    <t>30121652</t>
  </si>
  <si>
    <t>30122215</t>
  </si>
  <si>
    <t>30122817</t>
  </si>
  <si>
    <t>30125273</t>
  </si>
  <si>
    <t>30104962</t>
  </si>
  <si>
    <t>30011132</t>
  </si>
  <si>
    <t>30038364</t>
  </si>
  <si>
    <t>30104798</t>
  </si>
  <si>
    <t>30100511</t>
  </si>
  <si>
    <t>30030891</t>
  </si>
  <si>
    <t>30038187</t>
  </si>
  <si>
    <t>30017331</t>
  </si>
  <si>
    <t>30017343</t>
  </si>
  <si>
    <t>30016455</t>
  </si>
  <si>
    <t>30108822</t>
  </si>
  <si>
    <t>30030778</t>
  </si>
  <si>
    <t>30025856</t>
  </si>
  <si>
    <t>30016694</t>
  </si>
  <si>
    <t>30119811</t>
  </si>
  <si>
    <t>30038365</t>
  </si>
  <si>
    <t>30019418</t>
  </si>
  <si>
    <t>30102248</t>
  </si>
  <si>
    <t>30108314</t>
  </si>
  <si>
    <t>30124609</t>
  </si>
  <si>
    <t>30037765</t>
  </si>
  <si>
    <t>30100552</t>
  </si>
  <si>
    <t>30103207</t>
  </si>
  <si>
    <t>30033728</t>
  </si>
  <si>
    <t>30038464</t>
  </si>
  <si>
    <t>30011133</t>
  </si>
  <si>
    <t>30125269</t>
  </si>
  <si>
    <t>30028239</t>
  </si>
  <si>
    <t>30033543</t>
  </si>
  <si>
    <t>30011062</t>
  </si>
  <si>
    <t>30102445</t>
  </si>
  <si>
    <t>30007483</t>
  </si>
  <si>
    <t>30034184</t>
  </si>
  <si>
    <t>30025661</t>
  </si>
  <si>
    <t>30120105</t>
  </si>
  <si>
    <t>30028491</t>
  </si>
  <si>
    <t>30103556</t>
  </si>
  <si>
    <t>30030923</t>
  </si>
  <si>
    <t>30006932</t>
  </si>
  <si>
    <t>30103204</t>
  </si>
  <si>
    <t>30011064</t>
  </si>
  <si>
    <t>30037827</t>
  </si>
  <si>
    <t>30109649</t>
  </si>
  <si>
    <t>30011140</t>
  </si>
  <si>
    <t>30121033</t>
  </si>
  <si>
    <t>30011127</t>
  </si>
  <si>
    <t>30119728</t>
  </si>
  <si>
    <t>30037766</t>
  </si>
  <si>
    <t>30119731</t>
  </si>
  <si>
    <t>30007480</t>
  </si>
  <si>
    <t>30104174</t>
  </si>
  <si>
    <t>30107843</t>
  </si>
  <si>
    <t>30007525</t>
  </si>
  <si>
    <t>30118431</t>
  </si>
  <si>
    <t>30126426</t>
  </si>
  <si>
    <t>30033743</t>
  </si>
  <si>
    <t>30032561</t>
  </si>
  <si>
    <t>30101254</t>
  </si>
  <si>
    <t>30108191</t>
  </si>
  <si>
    <t>30100059</t>
  </si>
  <si>
    <t>30011135</t>
  </si>
  <si>
    <t>30018131</t>
  </si>
  <si>
    <t>30122348</t>
  </si>
  <si>
    <t>30109621</t>
  </si>
  <si>
    <t>30102788</t>
  </si>
  <si>
    <t>30018238</t>
  </si>
  <si>
    <t>30121326</t>
  </si>
  <si>
    <t>30035153</t>
  </si>
  <si>
    <t>30037820</t>
  </si>
  <si>
    <t>30017286</t>
  </si>
  <si>
    <t>30026675</t>
  </si>
  <si>
    <t>30118711</t>
  </si>
  <si>
    <t>30123287</t>
  </si>
  <si>
    <t>30034130</t>
  </si>
  <si>
    <t>30106850</t>
  </si>
  <si>
    <t>30017723</t>
  </si>
  <si>
    <t>30011034</t>
  </si>
  <si>
    <t>30126427</t>
  </si>
  <si>
    <t>30119509</t>
  </si>
  <si>
    <t>30116926</t>
  </si>
  <si>
    <t>30030672</t>
  </si>
  <si>
    <t>30034523</t>
  </si>
  <si>
    <t>30026289</t>
  </si>
  <si>
    <t>30026293</t>
  </si>
  <si>
    <t>30119499</t>
  </si>
  <si>
    <t>30017816</t>
  </si>
  <si>
    <t>30122313</t>
  </si>
  <si>
    <t>30028106</t>
  </si>
  <si>
    <t>30018196</t>
  </si>
  <si>
    <t>30034588</t>
  </si>
  <si>
    <t>30017724</t>
  </si>
  <si>
    <t>30033746</t>
  </si>
  <si>
    <t>30100134</t>
  </si>
  <si>
    <t>30116970</t>
  </si>
  <si>
    <t>30018208</t>
  </si>
  <si>
    <t>30100337</t>
  </si>
  <si>
    <t>30122536</t>
  </si>
  <si>
    <t>30008259</t>
  </si>
  <si>
    <t>30025666</t>
  </si>
  <si>
    <t>30013548</t>
  </si>
  <si>
    <t>30013633</t>
  </si>
  <si>
    <t>30013631</t>
  </si>
  <si>
    <t>30017835</t>
  </si>
  <si>
    <t>30013549</t>
  </si>
  <si>
    <t>30100528</t>
  </si>
  <si>
    <t>30028490</t>
  </si>
  <si>
    <t>30100525</t>
  </si>
  <si>
    <t>30102455</t>
  </si>
  <si>
    <t>30028726</t>
  </si>
  <si>
    <t>30028109</t>
  </si>
  <si>
    <t>30029463</t>
  </si>
  <si>
    <t>30025667</t>
  </si>
  <si>
    <t>30016763</t>
  </si>
  <si>
    <t>30029934</t>
  </si>
  <si>
    <t>30101816</t>
  </si>
  <si>
    <t>30105206</t>
  </si>
  <si>
    <t>30121979</t>
  </si>
  <si>
    <t>30039887</t>
  </si>
  <si>
    <t>30103153</t>
  </si>
  <si>
    <t>30100520</t>
  </si>
  <si>
    <t>30033729</t>
  </si>
  <si>
    <t>30018191</t>
  </si>
  <si>
    <t>30033900</t>
  </si>
  <si>
    <t>30029775</t>
  </si>
  <si>
    <t>30018193</t>
  </si>
  <si>
    <t>30022369</t>
  </si>
  <si>
    <t>30025662</t>
  </si>
  <si>
    <t>30016593</t>
  </si>
  <si>
    <t>30028105</t>
  </si>
  <si>
    <t>30118622</t>
  </si>
  <si>
    <t>30028103</t>
  </si>
  <si>
    <t>30032031</t>
  </si>
  <si>
    <t>30121220</t>
  </si>
  <si>
    <t>30038723</t>
  </si>
  <si>
    <t>30029459</t>
  </si>
  <si>
    <t>30028107</t>
  </si>
  <si>
    <t>30023653</t>
  </si>
  <si>
    <t>30034155</t>
  </si>
  <si>
    <t>30022371</t>
  </si>
  <si>
    <t>30029461</t>
  </si>
  <si>
    <t>30029931</t>
  </si>
  <si>
    <t>30034524</t>
  </si>
  <si>
    <t>30017823</t>
  </si>
  <si>
    <t>30029473</t>
  </si>
  <si>
    <t>30029474</t>
  </si>
  <si>
    <t>30025333</t>
  </si>
  <si>
    <t>30032035</t>
  </si>
  <si>
    <t>30100527</t>
  </si>
  <si>
    <t>30107808</t>
  </si>
  <si>
    <t>30100412</t>
  </si>
  <si>
    <t>30112791</t>
  </si>
  <si>
    <t>30011053</t>
  </si>
  <si>
    <t>30031997</t>
  </si>
  <si>
    <t>30039888</t>
  </si>
  <si>
    <t>30121651</t>
  </si>
  <si>
    <t>30034552</t>
  </si>
  <si>
    <t>30121167</t>
  </si>
  <si>
    <t>30007489</t>
  </si>
  <si>
    <t>30011310</t>
  </si>
  <si>
    <t>30026678</t>
  </si>
  <si>
    <t>30119496</t>
  </si>
  <si>
    <t>30038177</t>
  </si>
  <si>
    <t>30039923</t>
  </si>
  <si>
    <t>30103004</t>
  </si>
  <si>
    <t>30030161</t>
  </si>
  <si>
    <t>30031998</t>
  </si>
  <si>
    <t>30011050</t>
  </si>
  <si>
    <t>30118402</t>
  </si>
  <si>
    <t>30031327</t>
  </si>
  <si>
    <t>30017347</t>
  </si>
  <si>
    <t>30018126</t>
  </si>
  <si>
    <t>30026783</t>
  </si>
  <si>
    <t>30017813</t>
  </si>
  <si>
    <t>30037247</t>
  </si>
  <si>
    <t>30034520</t>
  </si>
  <si>
    <t>30032474</t>
  </si>
  <si>
    <t>30103133</t>
  </si>
  <si>
    <t>30034578</t>
  </si>
  <si>
    <t>30035370</t>
  </si>
  <si>
    <t>30118220</t>
  </si>
  <si>
    <t>30025871</t>
  </si>
  <si>
    <t>30025674</t>
  </si>
  <si>
    <t>30032670</t>
  </si>
  <si>
    <t>30032525</t>
  </si>
  <si>
    <t>30028765</t>
  </si>
  <si>
    <t>30037819</t>
  </si>
  <si>
    <t>30036878</t>
  </si>
  <si>
    <t>30034577</t>
  </si>
  <si>
    <t>30032671</t>
  </si>
  <si>
    <t>30120068</t>
  </si>
  <si>
    <t>30123659</t>
  </si>
  <si>
    <t>30008462</t>
  </si>
  <si>
    <t>30118712</t>
  </si>
  <si>
    <t>30112672</t>
  </si>
  <si>
    <t>30037818</t>
  </si>
  <si>
    <t>30026788</t>
  </si>
  <si>
    <t>30017834</t>
  </si>
  <si>
    <t>30034515</t>
  </si>
  <si>
    <t>30032672</t>
  </si>
  <si>
    <t>30013860</t>
  </si>
  <si>
    <t>30034550</t>
  </si>
  <si>
    <t>30038168</t>
  </si>
  <si>
    <t>30033836</t>
  </si>
  <si>
    <t>30038171</t>
  </si>
  <si>
    <t>30038169</t>
  </si>
  <si>
    <t>30038178</t>
  </si>
  <si>
    <t>30038170</t>
  </si>
  <si>
    <t>30110289</t>
  </si>
  <si>
    <t>30007505</t>
  </si>
  <si>
    <t>30037828</t>
  </si>
  <si>
    <t>30100274</t>
  </si>
  <si>
    <t>30038180</t>
  </si>
  <si>
    <t>30025855</t>
  </si>
  <si>
    <t>30034138</t>
  </si>
  <si>
    <t>30038167</t>
  </si>
  <si>
    <t>30019713</t>
  </si>
  <si>
    <t>30013732</t>
  </si>
  <si>
    <t>30032454</t>
  </si>
  <si>
    <t>30038166</t>
  </si>
  <si>
    <t>30037829</t>
  </si>
  <si>
    <t>30037821</t>
  </si>
  <si>
    <t>30121166</t>
  </si>
  <si>
    <t>30026790</t>
  </si>
  <si>
    <t>30118776</t>
  </si>
  <si>
    <t>30033623</t>
  </si>
  <si>
    <t>30037825</t>
  </si>
  <si>
    <t>30037822</t>
  </si>
  <si>
    <t>30018218</t>
  </si>
  <si>
    <t>30039924</t>
  </si>
  <si>
    <t>30026791</t>
  </si>
  <si>
    <t>30017847</t>
  </si>
  <si>
    <t>30028246</t>
  </si>
  <si>
    <t>30030578</t>
  </si>
  <si>
    <t>30028245</t>
  </si>
  <si>
    <t>30016901</t>
  </si>
  <si>
    <t>30028102</t>
  </si>
  <si>
    <t>30016822</t>
  </si>
  <si>
    <t>30118814</t>
  </si>
  <si>
    <t>30028488</t>
  </si>
  <si>
    <t>30011024</t>
  </si>
  <si>
    <t>30034074</t>
  </si>
  <si>
    <t>30037431</t>
  </si>
  <si>
    <t>30037443</t>
  </si>
  <si>
    <t>30038366</t>
  </si>
  <si>
    <t>30037441</t>
  </si>
  <si>
    <t>30039922</t>
  </si>
  <si>
    <t>30037398</t>
  </si>
  <si>
    <t>30037433</t>
  </si>
  <si>
    <t>30037427</t>
  </si>
  <si>
    <t>30037399</t>
  </si>
  <si>
    <t>30037428</t>
  </si>
  <si>
    <t>30037426</t>
  </si>
  <si>
    <t>30037434</t>
  </si>
  <si>
    <t>30037438</t>
  </si>
  <si>
    <t>30037435</t>
  </si>
  <si>
    <t>30037442</t>
  </si>
  <si>
    <t>30037444</t>
  </si>
  <si>
    <t>30037437</t>
  </si>
  <si>
    <t>30037440</t>
  </si>
  <si>
    <t>30100510</t>
  </si>
  <si>
    <t>30026057</t>
  </si>
  <si>
    <t>30038182</t>
  </si>
  <si>
    <t>30038393</t>
  </si>
  <si>
    <t>30031937</t>
  </si>
  <si>
    <t>30029466</t>
  </si>
  <si>
    <t>30039352</t>
  </si>
  <si>
    <t>30037432</t>
  </si>
  <si>
    <t>30032259</t>
  </si>
  <si>
    <t>30039360</t>
  </si>
  <si>
    <t>30039356</t>
  </si>
  <si>
    <t>30039359</t>
  </si>
  <si>
    <t>30039351</t>
  </si>
  <si>
    <t>30039350</t>
  </si>
  <si>
    <t>30031636</t>
  </si>
  <si>
    <t>30039386</t>
  </si>
  <si>
    <t>30039384</t>
  </si>
  <si>
    <t>30039383</t>
  </si>
  <si>
    <t>30039382</t>
  </si>
  <si>
    <t>30028244</t>
  </si>
  <si>
    <t>30121765</t>
  </si>
  <si>
    <t>30012341</t>
  </si>
  <si>
    <t>30039385</t>
  </si>
  <si>
    <t>30039387</t>
  </si>
  <si>
    <t>30039380</t>
  </si>
  <si>
    <t>30032261</t>
  </si>
  <si>
    <t>30028483</t>
  </si>
  <si>
    <t>x</t>
  </si>
  <si>
    <t>NOVO SALARIO "PARA"</t>
  </si>
  <si>
    <t>Salario Contratual"DE"</t>
  </si>
  <si>
    <t>Jornada "DE"</t>
  </si>
  <si>
    <t>220/H</t>
  </si>
  <si>
    <t>180/H</t>
  </si>
  <si>
    <t>Jornada "PARA"</t>
  </si>
  <si>
    <t>220/M</t>
  </si>
  <si>
    <t>180/M</t>
  </si>
  <si>
    <t>DXACABAM23</t>
  </si>
  <si>
    <t>conferencia</t>
  </si>
  <si>
    <t>Salario lançado</t>
  </si>
  <si>
    <t>centro custo puxado da posição nova inserida</t>
  </si>
  <si>
    <t>posições nova procv</t>
  </si>
  <si>
    <t>Competencia</t>
  </si>
  <si>
    <t>Empresa</t>
  </si>
  <si>
    <t>Grupo de empregados</t>
  </si>
  <si>
    <t>Denom.subgrp.emprg</t>
  </si>
  <si>
    <t>Nº Posição</t>
  </si>
  <si>
    <t>Posição</t>
  </si>
  <si>
    <t>Nº pessoal</t>
  </si>
  <si>
    <t>Nome completo</t>
  </si>
  <si>
    <t>Status da ocupação</t>
  </si>
  <si>
    <t>Válido desde</t>
  </si>
  <si>
    <t>Tipo de medida</t>
  </si>
  <si>
    <t>Motivo da medida</t>
  </si>
  <si>
    <t>Área RecursosHumanos - Anterior</t>
  </si>
  <si>
    <t>Área RecursosHumanos - Atual</t>
  </si>
  <si>
    <t>Centro custo - Anterior</t>
  </si>
  <si>
    <t>Centro custo - Atual</t>
  </si>
  <si>
    <t>Unid.organizacional - Anterior</t>
  </si>
  <si>
    <t>Unid.organizacional - Atual</t>
  </si>
  <si>
    <t>Cargo - Anterior</t>
  </si>
  <si>
    <t>Cargo - Atual</t>
  </si>
  <si>
    <t>Salário Anterior</t>
  </si>
  <si>
    <t>Salário Atual</t>
  </si>
  <si>
    <t>Taxa de reajuste em %</t>
  </si>
  <si>
    <t>Modificado em</t>
  </si>
  <si>
    <t>Modificado por</t>
  </si>
  <si>
    <t>fev/2020</t>
  </si>
  <si>
    <t>Duratex S.A.</t>
  </si>
  <si>
    <t>ativo</t>
  </si>
  <si>
    <t>Movimentação</t>
  </si>
  <si>
    <t>Reclassificação de Cargo</t>
  </si>
  <si>
    <t>Fund. Convencional</t>
  </si>
  <si>
    <t>DCF-02 - FUNDICAO CONVENCIONAL - LJ I</t>
  </si>
  <si>
    <t>WFONSECA</t>
  </si>
  <si>
    <t>Esmalt. Convencional</t>
  </si>
  <si>
    <t>DMF-06 - ESMALTACAO CONVENCIONAL - LJ I</t>
  </si>
  <si>
    <t>DCF-03 - FUNDICAO CONVENCIONAL - LJ I</t>
  </si>
  <si>
    <t>Fund.Mec.Lavatórios</t>
  </si>
  <si>
    <t>DCF-05 - FUNDICAO MECANIZ. LAVAT. - LJ I</t>
  </si>
  <si>
    <t>Fabr. Ferram./Matriz</t>
  </si>
  <si>
    <t>DFD-06 - MATRIZARIA LOUÇAS</t>
  </si>
  <si>
    <t>Fundição Fireclay</t>
  </si>
  <si>
    <t>DCF-06 - FUNDICAO FIRECLAY - LJ I</t>
  </si>
  <si>
    <t>DCF-08 - FUNDICAO MECANIZ. LAVAT. - LJ I</t>
  </si>
  <si>
    <t>Func. Inativos Fáb.</t>
  </si>
  <si>
    <t>Expedição</t>
  </si>
  <si>
    <t>DCE-03 - EXPEDICAO - LJ I</t>
  </si>
  <si>
    <t>Classificação</t>
  </si>
  <si>
    <t>DCE-06 - CLASSIFICACAO - LJ I</t>
  </si>
  <si>
    <t>Armaz. Embal.-Louças</t>
  </si>
  <si>
    <t>DCE-03 - ARMAZEM DE EMBALAGENS - LJI</t>
  </si>
  <si>
    <t>Fáb. Moldes Gesso</t>
  </si>
  <si>
    <t>DCF-07 - FABRICA DE MOLDES GESSO - LJ I</t>
  </si>
  <si>
    <t>Inspeção</t>
  </si>
  <si>
    <t>DCF-04 - INSPECAO - LJ I</t>
  </si>
  <si>
    <t>Fund. Alta Pressão</t>
  </si>
  <si>
    <t>DMF-02 - FUNDICAO ALTA PRESSAO - LJ I</t>
  </si>
  <si>
    <t>Rec. Ferram./Matriz</t>
  </si>
  <si>
    <t>DPT-06 - RECUPERACAO FERRAM/MATRIZ - LJI</t>
  </si>
  <si>
    <t>Fornos</t>
  </si>
  <si>
    <t>DMF-08 - FORNOS - LJ I</t>
  </si>
  <si>
    <t>Fáb. Moldes Resina</t>
  </si>
  <si>
    <t>DPT-07 - FABRICA DE MOLDES RESINA - LJI</t>
  </si>
  <si>
    <t>DCE-04 - CLASSIFICACAO - LJ I</t>
  </si>
  <si>
    <t>Mecânica</t>
  </si>
  <si>
    <t>DLJ-03 - MECANICA - LJ I</t>
  </si>
  <si>
    <t>DCF-06 - FUNDICAO INATIVOS - LJ I</t>
  </si>
  <si>
    <t>DMF-04 - FUNDICAO ALTA PRESSAO - LJ I</t>
  </si>
  <si>
    <t>Acabamento</t>
  </si>
  <si>
    <t>DCF-02 - ACABAMENTO - LJ I</t>
  </si>
  <si>
    <t>DMF-05 - FORNOS - LJ I</t>
  </si>
  <si>
    <t>Fundição Mecanizada</t>
  </si>
  <si>
    <t>DCF-03 - FUNDICAO MECANIZADA - LJ I</t>
  </si>
  <si>
    <t>DCF-08 - FUNDICAO MECANIZADA - LJ I</t>
  </si>
  <si>
    <t>DCF-06 - FUNDICAO MECANIZADA - LJ I</t>
  </si>
  <si>
    <t>Produção de Massa</t>
  </si>
  <si>
    <t>DMF-05 - PRODUCAO DE MASSAS - LJ I</t>
  </si>
  <si>
    <t>Fábrica de Esmalte</t>
  </si>
  <si>
    <t>DMF-06 - FABRICA DE ESMALTES - LJ I</t>
  </si>
  <si>
    <t>DCE-05 - CLASSIFICACAO - LJ I</t>
  </si>
  <si>
    <t>Modelagem</t>
  </si>
  <si>
    <t>DMZ-03 - MODELAGEM - LJ</t>
  </si>
  <si>
    <t>Acabam. Alta Pressão</t>
  </si>
  <si>
    <t>DMF-03 - ACABAMENTO ALTA PRESSAO - LJ I</t>
  </si>
  <si>
    <t>Fund.Acess.AltaPress</t>
  </si>
  <si>
    <t>DMF-02 - FUNDICAO ACESS A.PRESSAO - LJ I</t>
  </si>
  <si>
    <t>Requeima e Recup.</t>
  </si>
  <si>
    <t>DCE-04 - REQUEIMA - LJ I</t>
  </si>
  <si>
    <t>Esmalt. Automática</t>
  </si>
  <si>
    <t>DMF-03 - ESMALTACAO AUTOMATICA - LJ I</t>
  </si>
  <si>
    <t>DCE-02 - ARMAZEM DE EMBALAGENS - LJ I</t>
  </si>
  <si>
    <t>DCE-02 - EXPEDICAO - LJ I</t>
  </si>
  <si>
    <t>Montagem</t>
  </si>
  <si>
    <t>DCE-04 - MONTAGEM - LJ I</t>
  </si>
  <si>
    <t>Almoxarifado</t>
  </si>
  <si>
    <t>DPM-03 - ALMOXARIFADOS - LJ</t>
  </si>
  <si>
    <t>DMF-04 - ACABAM/ESMAL ALTA PRESSAO - LJI</t>
  </si>
  <si>
    <t>salario base</t>
  </si>
  <si>
    <t>" se = verdadeiro ; se errado = falso</t>
  </si>
  <si>
    <t>OBS.:</t>
  </si>
  <si>
    <t>erro posição</t>
  </si>
  <si>
    <t>if 8 não lançado</t>
  </si>
  <si>
    <t>Centro custo errado diante a posição informada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</si>
</sst>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&quot;R$ &quot;#,##0.00"/>
  </numFmts>
  <fonts count="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dashed">
        <color theme="0" tint="-0.14990691854609822"/>
      </left>
      <right style="dashed">
        <color theme="0" tint="-0.14990691854609822"/>
      </right>
      <top style="dashed">
        <color theme="0" tint="-0.14990691854609822"/>
      </top>
      <bottom style="dashed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43" fontId="7" fillId="0" borderId="0" applyFont="0" applyFill="0" applyBorder="0" applyAlignment="0" applyProtection="0"/>
  </cellStyleXfs>
  <cellXfs count="81">
    <xf numFmtId="0" fontId="0" fillId="0" borderId="0" xfId="0"/>
    <xf numFmtId="0" fontId="3" fillId="0" borderId="0" xfId="0" applyFont="1" applyAlignment="1">
      <alignment horizontal="left"/>
    </xf>
    <xf numFmtId="2" fontId="5" fillId="2" borderId="0" xfId="1" applyNumberFormat="1" applyFont="1" applyFill="1" applyBorder="1" applyAlignment="1">
      <alignment horizontal="left" vertical="center" wrapText="1"/>
    </xf>
    <xf numFmtId="0" fontId="5" fillId="2" borderId="0" xfId="1" applyFont="1" applyFill="1" applyBorder="1" applyAlignment="1">
      <alignment horizontal="left" vertical="center" wrapText="1"/>
    </xf>
    <xf numFmtId="0" fontId="3" fillId="5" borderId="0" xfId="1" applyFont="1" applyFill="1" applyBorder="1" applyAlignment="1">
      <alignment horizontal="left" vertical="center" wrapText="1"/>
    </xf>
    <xf numFmtId="0" fontId="3" fillId="4" borderId="0" xfId="1" applyFont="1" applyFill="1" applyBorder="1" applyAlignment="1">
      <alignment horizontal="left" vertical="center" wrapText="1"/>
    </xf>
    <xf numFmtId="0" fontId="3" fillId="3" borderId="0" xfId="1" applyFont="1" applyFill="1" applyBorder="1" applyAlignment="1">
      <alignment horizontal="left" vertical="center" wrapText="1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NumberFormat="1" applyFont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4" fillId="0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4" fillId="5" borderId="0" xfId="5" applyFont="1" applyFill="1" applyAlignment="1">
      <alignment horizontal="left" vertical="top"/>
    </xf>
    <xf numFmtId="0" fontId="3" fillId="5" borderId="1" xfId="0" applyNumberFormat="1" applyFont="1" applyFill="1" applyBorder="1" applyAlignment="1">
      <alignment horizontal="left" vertical="center"/>
    </xf>
    <xf numFmtId="0" fontId="6" fillId="5" borderId="1" xfId="0" applyNumberFormat="1" applyFont="1" applyFill="1" applyBorder="1" applyAlignment="1">
      <alignment horizontal="left" vertical="center"/>
    </xf>
    <xf numFmtId="43" fontId="3" fillId="5" borderId="0" xfId="6" applyFont="1" applyFill="1" applyBorder="1" applyAlignment="1">
      <alignment horizontal="left"/>
    </xf>
    <xf numFmtId="1" fontId="3" fillId="0" borderId="0" xfId="0" applyNumberFormat="1" applyFont="1" applyAlignment="1">
      <alignment horizontal="left" vertical="top"/>
    </xf>
    <xf numFmtId="164" fontId="3" fillId="0" borderId="0" xfId="0" applyNumberFormat="1" applyFont="1" applyBorder="1" applyAlignment="1">
      <alignment horizontal="left"/>
    </xf>
    <xf numFmtId="43" fontId="3" fillId="0" borderId="0" xfId="0" applyNumberFormat="1" applyFont="1" applyBorder="1" applyAlignment="1">
      <alignment horizontal="left"/>
    </xf>
    <xf numFmtId="0" fontId="3" fillId="6" borderId="0" xfId="0" applyFont="1" applyFill="1" applyBorder="1" applyAlignment="1">
      <alignment horizontal="left"/>
    </xf>
    <xf numFmtId="0" fontId="3" fillId="6" borderId="0" xfId="0" applyFont="1" applyFill="1" applyAlignment="1">
      <alignment horizontal="left" vertical="top"/>
    </xf>
    <xf numFmtId="0" fontId="3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/>
    </xf>
    <xf numFmtId="0" fontId="4" fillId="6" borderId="0" xfId="0" applyFont="1" applyFill="1" applyAlignment="1">
      <alignment horizontal="left"/>
    </xf>
    <xf numFmtId="0" fontId="4" fillId="6" borderId="0" xfId="5" applyFont="1" applyFill="1" applyAlignment="1">
      <alignment horizontal="left" vertical="top"/>
    </xf>
    <xf numFmtId="43" fontId="3" fillId="6" borderId="0" xfId="6" applyFont="1" applyFill="1" applyBorder="1" applyAlignment="1">
      <alignment horizontal="left"/>
    </xf>
    <xf numFmtId="164" fontId="3" fillId="6" borderId="0" xfId="0" applyNumberFormat="1" applyFont="1" applyFill="1" applyBorder="1" applyAlignment="1">
      <alignment horizontal="left"/>
    </xf>
    <xf numFmtId="43" fontId="3" fillId="6" borderId="0" xfId="0" applyNumberFormat="1" applyFont="1" applyFill="1" applyBorder="1" applyAlignment="1">
      <alignment horizontal="left"/>
    </xf>
    <xf numFmtId="0" fontId="3" fillId="6" borderId="1" xfId="0" applyNumberFormat="1" applyFont="1" applyFill="1" applyBorder="1" applyAlignment="1">
      <alignment horizontal="left" vertical="center"/>
    </xf>
    <xf numFmtId="0" fontId="3" fillId="5" borderId="0" xfId="0" applyNumberFormat="1" applyFont="1" applyFill="1" applyAlignment="1">
      <alignment horizontal="left"/>
    </xf>
    <xf numFmtId="0" fontId="3" fillId="6" borderId="0" xfId="0" applyNumberFormat="1" applyFont="1" applyFill="1" applyAlignment="1">
      <alignment horizontal="left"/>
    </xf>
    <xf numFmtId="0" fontId="0" fillId="7" borderId="2" xfId="0" applyFill="1" applyBorder="1" applyAlignment="1">
      <alignment vertical="top"/>
    </xf>
    <xf numFmtId="0" fontId="0" fillId="7" borderId="2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8" borderId="2" xfId="0" applyFill="1" applyBorder="1" applyAlignment="1">
      <alignment vertical="top"/>
    </xf>
    <xf numFmtId="0" fontId="0" fillId="8" borderId="0" xfId="0" applyNumberFormat="1" applyFill="1" applyAlignment="1">
      <alignment vertical="top"/>
    </xf>
    <xf numFmtId="0" fontId="0" fillId="8" borderId="0" xfId="0" applyFill="1"/>
    <xf numFmtId="0" fontId="0" fillId="9" borderId="2" xfId="0" applyFill="1" applyBorder="1" applyAlignment="1">
      <alignment vertical="top"/>
    </xf>
    <xf numFmtId="0" fontId="0" fillId="9" borderId="0" xfId="0" applyNumberFormat="1" applyFill="1" applyAlignment="1">
      <alignment vertical="top"/>
    </xf>
    <xf numFmtId="0" fontId="0" fillId="9" borderId="0" xfId="0" applyFill="1"/>
    <xf numFmtId="0" fontId="0" fillId="10" borderId="2" xfId="0" applyFill="1" applyBorder="1" applyAlignment="1">
      <alignment vertical="top"/>
    </xf>
    <xf numFmtId="4" fontId="0" fillId="10" borderId="0" xfId="0" applyNumberFormat="1" applyFill="1" applyAlignment="1">
      <alignment horizontal="right" vertical="top"/>
    </xf>
    <xf numFmtId="0" fontId="0" fillId="10" borderId="0" xfId="0" applyFill="1"/>
    <xf numFmtId="164" fontId="3" fillId="5" borderId="0" xfId="6" applyNumberFormat="1" applyFont="1" applyFill="1" applyBorder="1" applyAlignment="1">
      <alignment horizontal="left"/>
    </xf>
    <xf numFmtId="43" fontId="8" fillId="11" borderId="0" xfId="0" applyNumberFormat="1" applyFont="1" applyFill="1" applyBorder="1" applyAlignment="1">
      <alignment horizontal="left"/>
    </xf>
    <xf numFmtId="0" fontId="3" fillId="12" borderId="0" xfId="0" applyFont="1" applyFill="1" applyBorder="1" applyAlignment="1">
      <alignment horizontal="left"/>
    </xf>
    <xf numFmtId="0" fontId="3" fillId="12" borderId="0" xfId="0" applyFont="1" applyFill="1" applyAlignment="1">
      <alignment horizontal="left" vertical="top"/>
    </xf>
    <xf numFmtId="0" fontId="3" fillId="12" borderId="0" xfId="0" applyNumberFormat="1" applyFont="1" applyFill="1" applyAlignment="1">
      <alignment horizontal="left" vertical="top"/>
    </xf>
    <xf numFmtId="0" fontId="3" fillId="12" borderId="0" xfId="0" applyFont="1" applyFill="1" applyAlignment="1">
      <alignment horizontal="left"/>
    </xf>
    <xf numFmtId="0" fontId="4" fillId="12" borderId="0" xfId="0" applyFont="1" applyFill="1" applyAlignment="1">
      <alignment horizontal="left"/>
    </xf>
    <xf numFmtId="0" fontId="3" fillId="12" borderId="0" xfId="0" applyNumberFormat="1" applyFont="1" applyFill="1" applyAlignment="1">
      <alignment horizontal="left"/>
    </xf>
    <xf numFmtId="0" fontId="4" fillId="12" borderId="0" xfId="5" applyFont="1" applyFill="1" applyAlignment="1">
      <alignment horizontal="left" vertical="top"/>
    </xf>
    <xf numFmtId="43" fontId="3" fillId="12" borderId="0" xfId="6" applyFont="1" applyFill="1" applyBorder="1" applyAlignment="1">
      <alignment horizontal="left"/>
    </xf>
    <xf numFmtId="164" fontId="3" fillId="12" borderId="0" xfId="0" applyNumberFormat="1" applyFont="1" applyFill="1" applyBorder="1" applyAlignment="1">
      <alignment horizontal="left"/>
    </xf>
    <xf numFmtId="43" fontId="3" fillId="12" borderId="0" xfId="0" applyNumberFormat="1" applyFont="1" applyFill="1" applyBorder="1" applyAlignment="1">
      <alignment horizontal="left"/>
    </xf>
    <xf numFmtId="0" fontId="3" fillId="5" borderId="1" xfId="0" applyFont="1" applyFill="1" applyBorder="1" applyAlignment="1">
      <alignment horizontal="left" vertical="top"/>
    </xf>
    <xf numFmtId="0" fontId="3" fillId="5" borderId="0" xfId="0" applyNumberFormat="1" applyFont="1" applyFill="1" applyBorder="1" applyAlignment="1">
      <alignment horizontal="left" vertical="center"/>
    </xf>
    <xf numFmtId="0" fontId="6" fillId="5" borderId="0" xfId="0" applyNumberFormat="1" applyFont="1" applyFill="1" applyBorder="1" applyAlignment="1">
      <alignment horizontal="left" vertical="center"/>
    </xf>
    <xf numFmtId="0" fontId="3" fillId="12" borderId="0" xfId="0" applyNumberFormat="1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left" vertical="top"/>
    </xf>
    <xf numFmtId="0" fontId="3" fillId="6" borderId="0" xfId="0" applyNumberFormat="1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top"/>
    </xf>
    <xf numFmtId="0" fontId="3" fillId="6" borderId="3" xfId="0" applyFont="1" applyFill="1" applyBorder="1" applyAlignment="1">
      <alignment horizontal="left"/>
    </xf>
    <xf numFmtId="0" fontId="3" fillId="6" borderId="4" xfId="0" applyFont="1" applyFill="1" applyBorder="1" applyAlignment="1">
      <alignment horizontal="left"/>
    </xf>
    <xf numFmtId="43" fontId="3" fillId="0" borderId="6" xfId="6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43" fontId="3" fillId="0" borderId="6" xfId="0" applyNumberFormat="1" applyFont="1" applyBorder="1" applyAlignment="1">
      <alignment horizontal="left"/>
    </xf>
    <xf numFmtId="43" fontId="8" fillId="11" borderId="6" xfId="0" applyNumberFormat="1" applyFont="1" applyFill="1" applyBorder="1" applyAlignment="1">
      <alignment horizontal="left"/>
    </xf>
    <xf numFmtId="43" fontId="3" fillId="6" borderId="6" xfId="0" applyNumberFormat="1" applyFont="1" applyFill="1" applyBorder="1" applyAlignment="1">
      <alignment horizontal="left"/>
    </xf>
    <xf numFmtId="43" fontId="3" fillId="12" borderId="6" xfId="0" applyNumberFormat="1" applyFont="1" applyFill="1" applyBorder="1" applyAlignment="1">
      <alignment horizontal="left"/>
    </xf>
    <xf numFmtId="0" fontId="3" fillId="12" borderId="7" xfId="0" applyFont="1" applyFill="1" applyBorder="1" applyAlignment="1">
      <alignment horizontal="left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3" fillId="12" borderId="1" xfId="0" applyFont="1" applyFill="1" applyBorder="1" applyAlignment="1">
      <alignment horizontal="left" vertical="top"/>
    </xf>
    <xf numFmtId="0" fontId="3" fillId="13" borderId="5" xfId="0" applyFont="1" applyFill="1" applyBorder="1" applyAlignment="1">
      <alignment horizontal="left"/>
    </xf>
  </cellXfs>
  <cellStyles count="7">
    <cellStyle name="Normal" xfId="0" builtinId="0"/>
    <cellStyle name="Normal 2" xfId="5"/>
    <cellStyle name="Normal 3" xfId="1"/>
    <cellStyle name="Normal 4" xfId="4"/>
    <cellStyle name="Porcentagem 2" xfId="3"/>
    <cellStyle name="Vírgula" xfId="6" builtinId="3"/>
    <cellStyle name="Vírgula 2" xfId="2"/>
  </cellStyles>
  <dxfs count="3"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K1"/>
  <sheetViews>
    <sheetView showGridLines="0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"/>
    </sheetView>
  </sheetViews>
  <sheetFormatPr defaultRowHeight="12" x14ac:dyDescent="0.2"/>
  <cols>
    <col min="1" max="1" width="14.42578125" style="1" bestFit="1" customWidth="1"/>
    <col min="2" max="2" width="41.85546875" style="1" bestFit="1" customWidth="1"/>
    <col min="3" max="3" width="9" style="1" customWidth="1"/>
    <col min="4" max="4" width="17.85546875" style="1" bestFit="1" customWidth="1"/>
    <col min="5" max="6" width="10.5703125" style="1" customWidth="1"/>
    <col min="7" max="7" width="32.42578125" style="1" customWidth="1"/>
    <col min="8" max="8" width="6.5703125" style="1" customWidth="1"/>
    <col min="9" max="9" width="14" style="1" customWidth="1"/>
    <col min="10" max="10" width="12.42578125" style="1" customWidth="1"/>
    <col min="11" max="11" width="17.42578125" style="1" customWidth="1"/>
    <col min="12" max="13" width="11.42578125" style="1" customWidth="1"/>
    <col min="14" max="14" width="17.85546875" style="1" bestFit="1" customWidth="1"/>
    <col min="15" max="17" width="17.42578125" style="1" customWidth="1"/>
    <col min="18" max="18" width="15" style="1" bestFit="1" customWidth="1"/>
    <col min="19" max="19" width="17.28515625" style="1" bestFit="1" customWidth="1"/>
    <col min="20" max="20" width="17.42578125" style="1" customWidth="1"/>
    <col min="21" max="21" width="21" style="1" customWidth="1"/>
    <col min="22" max="23" width="17.42578125" style="1" customWidth="1"/>
    <col min="24" max="24" width="13.42578125" style="1" customWidth="1"/>
    <col min="25" max="26" width="17.42578125" style="1" customWidth="1"/>
    <col min="27" max="28" width="9" style="1" customWidth="1"/>
    <col min="29" max="29" width="17.28515625" style="1" bestFit="1" customWidth="1"/>
    <col min="30" max="30" width="17.42578125" style="1" customWidth="1"/>
    <col min="31" max="31" width="26.7109375" style="1" customWidth="1"/>
    <col min="32" max="32" width="29.140625" style="1" bestFit="1" customWidth="1"/>
    <col min="33" max="33" width="17.42578125" style="1" customWidth="1"/>
    <col min="34" max="34" width="8.42578125" style="1" bestFit="1" customWidth="1"/>
    <col min="35" max="35" width="17.140625" style="1" customWidth="1"/>
    <col min="36" max="36" width="17.5703125" style="7" customWidth="1"/>
    <col min="37" max="37" width="10.7109375" style="18" bestFit="1" customWidth="1"/>
    <col min="38" max="16384" width="9.140625" style="7"/>
  </cols>
  <sheetData>
    <row r="1" spans="1:36" ht="25.5" customHeight="1" x14ac:dyDescent="0.2">
      <c r="A1" s="2" t="s">
        <v>0</v>
      </c>
      <c r="B1" s="3" t="s">
        <v>1</v>
      </c>
      <c r="C1" s="3" t="s">
        <v>2</v>
      </c>
      <c r="D1" s="3" t="s">
        <v>23</v>
      </c>
      <c r="E1" s="3" t="s">
        <v>13</v>
      </c>
      <c r="F1" s="3" t="s">
        <v>1405</v>
      </c>
      <c r="G1" s="3" t="s">
        <v>13</v>
      </c>
      <c r="H1" s="3" t="s">
        <v>22</v>
      </c>
      <c r="I1" s="3" t="s">
        <v>11</v>
      </c>
      <c r="J1" s="3" t="s">
        <v>3</v>
      </c>
      <c r="K1" s="3" t="s">
        <v>7</v>
      </c>
      <c r="L1" s="3" t="s">
        <v>8</v>
      </c>
      <c r="M1" s="4" t="s">
        <v>2</v>
      </c>
      <c r="N1" s="4" t="s">
        <v>23</v>
      </c>
      <c r="O1" s="4" t="s">
        <v>12</v>
      </c>
      <c r="P1" s="5" t="s">
        <v>25</v>
      </c>
      <c r="Q1" s="5" t="s">
        <v>24</v>
      </c>
      <c r="R1" s="4" t="s">
        <v>4</v>
      </c>
      <c r="S1" s="5" t="s">
        <v>25</v>
      </c>
      <c r="T1" s="5" t="s">
        <v>24</v>
      </c>
      <c r="U1" s="4" t="s">
        <v>9</v>
      </c>
      <c r="V1" s="5" t="s">
        <v>25</v>
      </c>
      <c r="W1" s="5" t="s">
        <v>24</v>
      </c>
      <c r="X1" s="4" t="s">
        <v>10</v>
      </c>
      <c r="Y1" s="5" t="s">
        <v>25</v>
      </c>
      <c r="Z1" s="5" t="s">
        <v>24</v>
      </c>
      <c r="AA1" s="4" t="s">
        <v>5</v>
      </c>
      <c r="AB1" s="4" t="s">
        <v>1408</v>
      </c>
      <c r="AC1" s="5" t="s">
        <v>25</v>
      </c>
      <c r="AD1" s="5" t="s">
        <v>24</v>
      </c>
      <c r="AE1" s="4" t="s">
        <v>5</v>
      </c>
      <c r="AF1" s="5" t="s">
        <v>25</v>
      </c>
      <c r="AG1" s="5" t="s">
        <v>24</v>
      </c>
      <c r="AH1" s="6" t="s">
        <v>14</v>
      </c>
      <c r="AI1" s="3" t="s">
        <v>1404</v>
      </c>
      <c r="AJ1" s="6" t="s">
        <v>1403</v>
      </c>
    </row>
  </sheetData>
  <autoFilter ref="A1:AL1"/>
  <sortState ref="A3:AA1177">
    <sortCondition ref="B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R630"/>
  <sheetViews>
    <sheetView tabSelected="1" topLeftCell="AH1" workbookViewId="0">
      <selection activeCell="AQ15" sqref="AQ15"/>
    </sheetView>
  </sheetViews>
  <sheetFormatPr defaultRowHeight="15" x14ac:dyDescent="0.25"/>
  <cols>
    <col min="3" max="3" width="9.28515625" customWidth="1"/>
    <col min="4" max="4" width="17.85546875" bestFit="1" customWidth="1"/>
    <col min="37" max="37" width="9.85546875" bestFit="1" customWidth="1"/>
    <col min="38" max="38" width="39.85546875" style="76" bestFit="1" customWidth="1"/>
    <col min="39" max="39" width="39.85546875" style="77" customWidth="1"/>
    <col min="40" max="40" width="9.140625" style="77"/>
    <col min="41" max="41" width="10.7109375" style="77" bestFit="1" customWidth="1"/>
    <col min="42" max="42" width="9.140625" style="77"/>
    <col min="43" max="43" width="31.42578125" style="77" bestFit="1" customWidth="1"/>
    <col min="44" max="44" width="9.140625" style="78"/>
  </cols>
  <sheetData>
    <row r="1" spans="1:44" s="7" customFormat="1" ht="25.5" customHeight="1" x14ac:dyDescent="0.2">
      <c r="A1" s="2" t="s">
        <v>0</v>
      </c>
      <c r="B1" s="3" t="s">
        <v>1</v>
      </c>
      <c r="C1" s="3" t="s">
        <v>2</v>
      </c>
      <c r="D1" s="3" t="s">
        <v>23</v>
      </c>
      <c r="E1" s="3" t="s">
        <v>13</v>
      </c>
      <c r="F1" s="3" t="s">
        <v>1405</v>
      </c>
      <c r="G1" s="3" t="s">
        <v>13</v>
      </c>
      <c r="H1" s="3" t="s">
        <v>22</v>
      </c>
      <c r="I1" s="3" t="s">
        <v>11</v>
      </c>
      <c r="J1" s="3" t="s">
        <v>3</v>
      </c>
      <c r="K1" s="3" t="s">
        <v>7</v>
      </c>
      <c r="L1" s="3" t="s">
        <v>8</v>
      </c>
      <c r="M1" s="4" t="s">
        <v>2</v>
      </c>
      <c r="N1" s="4" t="s">
        <v>23</v>
      </c>
      <c r="O1" s="4" t="s">
        <v>12</v>
      </c>
      <c r="P1" s="5" t="s">
        <v>25</v>
      </c>
      <c r="Q1" s="5" t="s">
        <v>24</v>
      </c>
      <c r="R1" s="4" t="s">
        <v>4</v>
      </c>
      <c r="S1" s="5" t="s">
        <v>25</v>
      </c>
      <c r="T1" s="5" t="s">
        <v>24</v>
      </c>
      <c r="U1" s="4" t="s">
        <v>9</v>
      </c>
      <c r="V1" s="5" t="s">
        <v>25</v>
      </c>
      <c r="W1" s="5" t="s">
        <v>24</v>
      </c>
      <c r="X1" s="4" t="s">
        <v>10</v>
      </c>
      <c r="Y1" s="5" t="s">
        <v>25</v>
      </c>
      <c r="Z1" s="5" t="s">
        <v>24</v>
      </c>
      <c r="AA1" s="4" t="s">
        <v>5</v>
      </c>
      <c r="AB1" s="4" t="s">
        <v>1408</v>
      </c>
      <c r="AC1" s="5" t="s">
        <v>25</v>
      </c>
      <c r="AD1" s="5" t="s">
        <v>24</v>
      </c>
      <c r="AE1" s="4" t="s">
        <v>5</v>
      </c>
      <c r="AF1" s="5" t="s">
        <v>25</v>
      </c>
      <c r="AG1" s="5" t="s">
        <v>24</v>
      </c>
      <c r="AH1" s="6" t="s">
        <v>14</v>
      </c>
      <c r="AI1" s="3" t="s">
        <v>1404</v>
      </c>
      <c r="AJ1" s="6" t="s">
        <v>1403</v>
      </c>
      <c r="AK1" s="18" t="s">
        <v>1413</v>
      </c>
      <c r="AL1" s="66" t="s">
        <v>1414</v>
      </c>
      <c r="AM1" s="67"/>
      <c r="AN1" s="67" t="s">
        <v>1415</v>
      </c>
      <c r="AO1" s="67" t="s">
        <v>1412</v>
      </c>
      <c r="AP1" s="67" t="s">
        <v>1512</v>
      </c>
      <c r="AQ1" s="67" t="s">
        <v>1513</v>
      </c>
      <c r="AR1" s="80" t="s">
        <v>1514</v>
      </c>
    </row>
    <row r="2" spans="1:44" s="7" customFormat="1" ht="12" x14ac:dyDescent="0.2">
      <c r="A2" s="17">
        <v>10004512</v>
      </c>
      <c r="B2" s="8" t="s">
        <v>26</v>
      </c>
      <c r="C2" s="8" t="s">
        <v>679</v>
      </c>
      <c r="D2" s="8" t="s">
        <v>717</v>
      </c>
      <c r="E2" s="8" t="s">
        <v>718</v>
      </c>
      <c r="F2" s="8" t="s">
        <v>1406</v>
      </c>
      <c r="G2" s="8" t="s">
        <v>750</v>
      </c>
      <c r="H2" s="9">
        <v>19</v>
      </c>
      <c r="I2" s="8" t="s">
        <v>653</v>
      </c>
      <c r="J2" s="8" t="s">
        <v>775</v>
      </c>
      <c r="K2" s="8" t="s">
        <v>16</v>
      </c>
      <c r="L2" s="8" t="s">
        <v>17</v>
      </c>
      <c r="M2" s="10" t="s">
        <v>679</v>
      </c>
      <c r="N2" s="10" t="s">
        <v>717</v>
      </c>
      <c r="O2" s="10" t="s">
        <v>653</v>
      </c>
      <c r="P2" s="1"/>
      <c r="Q2" s="11" t="b">
        <f>O2=P2</f>
        <v>0</v>
      </c>
      <c r="R2" s="30">
        <v>30040653</v>
      </c>
      <c r="S2" s="1"/>
      <c r="T2" s="11" t="b">
        <f>R2=S2</f>
        <v>0</v>
      </c>
      <c r="U2" s="10" t="s">
        <v>16</v>
      </c>
      <c r="V2" s="1"/>
      <c r="W2" s="11" t="b">
        <f>U2=V2</f>
        <v>0</v>
      </c>
      <c r="X2" s="13" t="s">
        <v>15</v>
      </c>
      <c r="Y2" s="1"/>
      <c r="Z2" s="1"/>
      <c r="AA2" s="59">
        <v>22003022</v>
      </c>
      <c r="AB2" s="10" t="s">
        <v>1409</v>
      </c>
      <c r="AD2" s="11" t="b">
        <f>AB2=AC2</f>
        <v>0</v>
      </c>
      <c r="AE2" s="10" t="s">
        <v>750</v>
      </c>
      <c r="AF2" s="1"/>
      <c r="AG2" s="11" t="b">
        <f>AE2=AF2</f>
        <v>0</v>
      </c>
      <c r="AH2" s="1">
        <v>19</v>
      </c>
      <c r="AI2" s="1">
        <v>18.62</v>
      </c>
      <c r="AJ2" s="16">
        <f>AI2*220/30*30.4375</f>
        <v>4156.1391666666668</v>
      </c>
      <c r="AK2" s="18">
        <v>4156.1400000000003</v>
      </c>
      <c r="AL2" s="68" t="s">
        <v>653</v>
      </c>
      <c r="AM2" s="19" t="b">
        <f>AL2=O2</f>
        <v>1</v>
      </c>
      <c r="AN2" s="7">
        <f>VLOOKUP(A2,'base ZITRHR129'!$G$1:$H$628,2,0)</f>
        <v>30040653</v>
      </c>
      <c r="AO2" s="7" t="b">
        <f>AN2=R2</f>
        <v>1</v>
      </c>
      <c r="AP2" s="7">
        <f>VLOOKUP(A2,'base ZITRHR129'!G:W,17,0)</f>
        <v>4156.1400000000003</v>
      </c>
      <c r="AQ2" s="7" t="b">
        <f>AP2=AK2</f>
        <v>1</v>
      </c>
      <c r="AR2" s="69"/>
    </row>
    <row r="3" spans="1:44" s="7" customFormat="1" ht="12" x14ac:dyDescent="0.2">
      <c r="A3" s="17">
        <v>10004650</v>
      </c>
      <c r="B3" s="8" t="s">
        <v>27</v>
      </c>
      <c r="C3" s="8" t="s">
        <v>680</v>
      </c>
      <c r="D3" s="8" t="s">
        <v>717</v>
      </c>
      <c r="E3" s="8" t="s">
        <v>719</v>
      </c>
      <c r="F3" s="8" t="s">
        <v>1406</v>
      </c>
      <c r="G3" s="8" t="s">
        <v>20</v>
      </c>
      <c r="H3" s="9">
        <v>19</v>
      </c>
      <c r="I3" s="8" t="s">
        <v>654</v>
      </c>
      <c r="J3" s="8" t="s">
        <v>776</v>
      </c>
      <c r="K3" s="8" t="s">
        <v>16</v>
      </c>
      <c r="L3" s="8" t="s">
        <v>17</v>
      </c>
      <c r="M3" s="10" t="s">
        <v>680</v>
      </c>
      <c r="N3" s="10" t="s">
        <v>717</v>
      </c>
      <c r="O3" s="10" t="s">
        <v>654</v>
      </c>
      <c r="P3" s="1"/>
      <c r="Q3" s="11" t="b">
        <f>O3=P3</f>
        <v>0</v>
      </c>
      <c r="R3" s="30">
        <v>30040654</v>
      </c>
      <c r="S3" s="1"/>
      <c r="T3" s="11" t="b">
        <f>R3=S3</f>
        <v>0</v>
      </c>
      <c r="U3" s="10" t="s">
        <v>16</v>
      </c>
      <c r="V3" s="1"/>
      <c r="W3" s="11" t="b">
        <f>U3=V3</f>
        <v>0</v>
      </c>
      <c r="X3" s="13" t="s">
        <v>15</v>
      </c>
      <c r="Y3" s="1"/>
      <c r="Z3" s="1"/>
      <c r="AA3" s="59">
        <v>22002723</v>
      </c>
      <c r="AB3" s="10" t="s">
        <v>1409</v>
      </c>
      <c r="AD3" s="11" t="b">
        <f>AB3=AC3</f>
        <v>0</v>
      </c>
      <c r="AE3" s="10" t="s">
        <v>20</v>
      </c>
      <c r="AF3" s="1"/>
      <c r="AG3" s="11" t="b">
        <f>AE3=AF3</f>
        <v>0</v>
      </c>
      <c r="AH3" s="1">
        <v>19</v>
      </c>
      <c r="AI3" s="1">
        <v>17.43</v>
      </c>
      <c r="AJ3" s="16">
        <f>AI3*220/30*30.4375</f>
        <v>3890.5212499999998</v>
      </c>
      <c r="AK3" s="47">
        <v>3890.52</v>
      </c>
      <c r="AL3" s="70" t="s">
        <v>654</v>
      </c>
      <c r="AM3" s="19" t="b">
        <f>AL3=O3</f>
        <v>1</v>
      </c>
      <c r="AN3" s="7">
        <f>VLOOKUP(A3,'base ZITRHR129'!$G$1:$H$628,2,0)</f>
        <v>30040654</v>
      </c>
      <c r="AO3" s="7" t="b">
        <f>AN3=R3</f>
        <v>1</v>
      </c>
      <c r="AP3" s="7">
        <f>VLOOKUP(A3,'base ZITRHR129'!G:W,17,0)</f>
        <v>3890.52</v>
      </c>
      <c r="AQ3" s="7" t="b">
        <f>AP3=AK3</f>
        <v>1</v>
      </c>
      <c r="AR3" s="69"/>
    </row>
    <row r="4" spans="1:44" s="7" customFormat="1" ht="12" x14ac:dyDescent="0.2">
      <c r="A4" s="7">
        <v>10004846</v>
      </c>
      <c r="B4" s="8" t="s">
        <v>28</v>
      </c>
      <c r="C4" s="8" t="s">
        <v>681</v>
      </c>
      <c r="D4" s="8" t="s">
        <v>717</v>
      </c>
      <c r="E4" s="8" t="s">
        <v>720</v>
      </c>
      <c r="F4" s="8" t="s">
        <v>1406</v>
      </c>
      <c r="G4" s="8" t="s">
        <v>751</v>
      </c>
      <c r="H4" s="9">
        <v>18</v>
      </c>
      <c r="I4" s="8" t="s">
        <v>653</v>
      </c>
      <c r="J4" s="8" t="s">
        <v>777</v>
      </c>
      <c r="K4" s="8" t="s">
        <v>16</v>
      </c>
      <c r="L4" s="8" t="s">
        <v>17</v>
      </c>
      <c r="M4" s="10" t="s">
        <v>681</v>
      </c>
      <c r="N4" s="10" t="s">
        <v>717</v>
      </c>
      <c r="O4" s="10" t="s">
        <v>653</v>
      </c>
      <c r="P4" s="1"/>
      <c r="Q4" s="11" t="b">
        <f>O4=P4</f>
        <v>0</v>
      </c>
      <c r="R4" s="30">
        <v>30040655</v>
      </c>
      <c r="S4" s="1"/>
      <c r="T4" s="11" t="b">
        <f>R4=S4</f>
        <v>0</v>
      </c>
      <c r="U4" s="10" t="s">
        <v>16</v>
      </c>
      <c r="V4" s="1"/>
      <c r="W4" s="11" t="b">
        <f>U4=V4</f>
        <v>0</v>
      </c>
      <c r="X4" s="13" t="s">
        <v>15</v>
      </c>
      <c r="Y4" s="1"/>
      <c r="Z4" s="1"/>
      <c r="AA4" s="59">
        <v>22003015</v>
      </c>
      <c r="AB4" s="10" t="s">
        <v>1409</v>
      </c>
      <c r="AD4" s="11" t="b">
        <f>AB4=AC4</f>
        <v>0</v>
      </c>
      <c r="AE4" s="10" t="s">
        <v>751</v>
      </c>
      <c r="AF4" s="1"/>
      <c r="AG4" s="11" t="b">
        <f>AE4=AF4</f>
        <v>0</v>
      </c>
      <c r="AH4" s="1">
        <v>18</v>
      </c>
      <c r="AI4" s="1">
        <v>17.73</v>
      </c>
      <c r="AJ4" s="16">
        <f>AI4*220/30*30.4375</f>
        <v>3957.4837500000003</v>
      </c>
      <c r="AK4" s="18">
        <v>3957.48</v>
      </c>
      <c r="AL4" s="70" t="s">
        <v>653</v>
      </c>
      <c r="AM4" s="19" t="b">
        <f>AL4=O4</f>
        <v>1</v>
      </c>
      <c r="AN4" s="7">
        <f>VLOOKUP(A4,'base ZITRHR129'!$G$1:$H$628,2,0)</f>
        <v>30040655</v>
      </c>
      <c r="AO4" s="7" t="b">
        <f>AN4=R4</f>
        <v>1</v>
      </c>
      <c r="AP4" s="7">
        <f>VLOOKUP(A4,'base ZITRHR129'!G3:W629,17,0)</f>
        <v>3957.48</v>
      </c>
      <c r="AQ4" s="7" t="b">
        <f>AP4=AK4</f>
        <v>1</v>
      </c>
      <c r="AR4" s="69"/>
    </row>
    <row r="5" spans="1:44" s="7" customFormat="1" ht="12" x14ac:dyDescent="0.2">
      <c r="A5" s="7">
        <v>10007154</v>
      </c>
      <c r="B5" s="8" t="s">
        <v>29</v>
      </c>
      <c r="C5" s="8" t="s">
        <v>679</v>
      </c>
      <c r="D5" s="8" t="s">
        <v>717</v>
      </c>
      <c r="E5" s="8" t="s">
        <v>720</v>
      </c>
      <c r="F5" s="8" t="s">
        <v>1406</v>
      </c>
      <c r="G5" s="8" t="s">
        <v>751</v>
      </c>
      <c r="H5" s="9">
        <v>18</v>
      </c>
      <c r="I5" s="8" t="s">
        <v>653</v>
      </c>
      <c r="J5" s="8" t="s">
        <v>778</v>
      </c>
      <c r="K5" s="8" t="s">
        <v>16</v>
      </c>
      <c r="L5" s="8" t="s">
        <v>17</v>
      </c>
      <c r="M5" s="10" t="s">
        <v>679</v>
      </c>
      <c r="N5" s="10" t="s">
        <v>717</v>
      </c>
      <c r="O5" s="10" t="s">
        <v>653</v>
      </c>
      <c r="P5" s="1"/>
      <c r="Q5" s="11" t="b">
        <f>O5=P5</f>
        <v>0</v>
      </c>
      <c r="R5" s="30">
        <v>30040656</v>
      </c>
      <c r="S5" s="1"/>
      <c r="T5" s="11" t="b">
        <f>R5=S5</f>
        <v>0</v>
      </c>
      <c r="U5" s="10" t="s">
        <v>16</v>
      </c>
      <c r="V5" s="1"/>
      <c r="W5" s="11" t="b">
        <f>U5=V5</f>
        <v>0</v>
      </c>
      <c r="X5" s="13" t="s">
        <v>15</v>
      </c>
      <c r="Y5" s="1"/>
      <c r="Z5" s="1"/>
      <c r="AA5" s="59">
        <v>22003015</v>
      </c>
      <c r="AB5" s="10" t="s">
        <v>1409</v>
      </c>
      <c r="AD5" s="11" t="b">
        <f>AB5=AC5</f>
        <v>0</v>
      </c>
      <c r="AE5" s="10" t="s">
        <v>751</v>
      </c>
      <c r="AF5" s="1"/>
      <c r="AG5" s="11" t="b">
        <f>AE5=AF5</f>
        <v>0</v>
      </c>
      <c r="AH5" s="1">
        <v>18</v>
      </c>
      <c r="AI5" s="1">
        <v>17.73</v>
      </c>
      <c r="AJ5" s="16">
        <f>AI5*220/30*30.4375</f>
        <v>3957.4837500000003</v>
      </c>
      <c r="AK5" s="18">
        <v>3957.48</v>
      </c>
      <c r="AL5" s="70" t="s">
        <v>653</v>
      </c>
      <c r="AM5" s="19" t="b">
        <f>AL5=O5</f>
        <v>1</v>
      </c>
      <c r="AN5" s="7">
        <f>VLOOKUP(A5,'base ZITRHR129'!$G$1:$H$628,2,0)</f>
        <v>30040656</v>
      </c>
      <c r="AO5" s="7" t="b">
        <f>AN5=R5</f>
        <v>1</v>
      </c>
      <c r="AP5" s="7">
        <f>VLOOKUP(A5,'base ZITRHR129'!G2:W628,17,0)</f>
        <v>3957.48</v>
      </c>
      <c r="AQ5" s="7" t="b">
        <f>AP5=AK5</f>
        <v>1</v>
      </c>
      <c r="AR5" s="69"/>
    </row>
    <row r="6" spans="1:44" s="7" customFormat="1" ht="12" x14ac:dyDescent="0.2">
      <c r="A6" s="7">
        <v>10008208</v>
      </c>
      <c r="B6" s="8" t="s">
        <v>30</v>
      </c>
      <c r="C6" s="8" t="s">
        <v>679</v>
      </c>
      <c r="D6" s="8" t="s">
        <v>717</v>
      </c>
      <c r="E6" s="8" t="s">
        <v>720</v>
      </c>
      <c r="F6" s="8" t="s">
        <v>1406</v>
      </c>
      <c r="G6" s="8" t="s">
        <v>751</v>
      </c>
      <c r="H6" s="9">
        <v>18</v>
      </c>
      <c r="I6" s="8" t="s">
        <v>653</v>
      </c>
      <c r="J6" s="8" t="s">
        <v>779</v>
      </c>
      <c r="K6" s="8" t="s">
        <v>16</v>
      </c>
      <c r="L6" s="8" t="s">
        <v>17</v>
      </c>
      <c r="M6" s="10" t="s">
        <v>679</v>
      </c>
      <c r="N6" s="10" t="s">
        <v>717</v>
      </c>
      <c r="O6" s="10" t="s">
        <v>653</v>
      </c>
      <c r="P6" s="1"/>
      <c r="Q6" s="11" t="b">
        <f>O6=P6</f>
        <v>0</v>
      </c>
      <c r="R6" s="30">
        <v>30040657</v>
      </c>
      <c r="S6" s="1"/>
      <c r="T6" s="11" t="b">
        <f>R6=S6</f>
        <v>0</v>
      </c>
      <c r="U6" s="10" t="s">
        <v>16</v>
      </c>
      <c r="V6" s="1"/>
      <c r="W6" s="11" t="b">
        <f>U6=V6</f>
        <v>0</v>
      </c>
      <c r="X6" s="13" t="s">
        <v>15</v>
      </c>
      <c r="Y6" s="1"/>
      <c r="Z6" s="1"/>
      <c r="AA6" s="59">
        <v>22003015</v>
      </c>
      <c r="AB6" s="10" t="s">
        <v>1409</v>
      </c>
      <c r="AD6" s="11" t="b">
        <f>AB6=AC6</f>
        <v>0</v>
      </c>
      <c r="AE6" s="10" t="s">
        <v>751</v>
      </c>
      <c r="AF6" s="1"/>
      <c r="AG6" s="11" t="b">
        <f>AE6=AF6</f>
        <v>0</v>
      </c>
      <c r="AH6" s="1">
        <v>18</v>
      </c>
      <c r="AI6" s="1">
        <v>17.73</v>
      </c>
      <c r="AJ6" s="16">
        <f>AI6*220/30*30.4375</f>
        <v>3957.4837500000003</v>
      </c>
      <c r="AK6" s="18">
        <v>3957.48</v>
      </c>
      <c r="AL6" s="71" t="s">
        <v>653</v>
      </c>
      <c r="AM6" s="19" t="b">
        <f>AL6=O6</f>
        <v>1</v>
      </c>
      <c r="AN6" s="7">
        <f>VLOOKUP(A6,'base ZITRHR129'!$G$1:$H$628,2,0)</f>
        <v>30040657</v>
      </c>
      <c r="AO6" s="7" t="b">
        <f>AN6=R6</f>
        <v>1</v>
      </c>
      <c r="AP6" s="7">
        <f>VLOOKUP(A6,'base ZITRHR129'!G6:W632,17,0)</f>
        <v>3957.48</v>
      </c>
      <c r="AQ6" s="7" t="b">
        <f>AP6=AK6</f>
        <v>1</v>
      </c>
      <c r="AR6" s="69"/>
    </row>
    <row r="7" spans="1:44" s="7" customFormat="1" ht="12" x14ac:dyDescent="0.2">
      <c r="A7" s="7">
        <v>10009789</v>
      </c>
      <c r="B7" s="8" t="s">
        <v>31</v>
      </c>
      <c r="C7" s="8" t="s">
        <v>679</v>
      </c>
      <c r="D7" s="8" t="s">
        <v>717</v>
      </c>
      <c r="E7" s="8" t="s">
        <v>718</v>
      </c>
      <c r="F7" s="8" t="s">
        <v>1406</v>
      </c>
      <c r="G7" s="8" t="s">
        <v>750</v>
      </c>
      <c r="H7" s="9">
        <v>19</v>
      </c>
      <c r="I7" s="8" t="s">
        <v>653</v>
      </c>
      <c r="J7" s="8" t="s">
        <v>780</v>
      </c>
      <c r="K7" s="8" t="s">
        <v>16</v>
      </c>
      <c r="L7" s="8" t="s">
        <v>17</v>
      </c>
      <c r="M7" s="10" t="s">
        <v>679</v>
      </c>
      <c r="N7" s="10" t="s">
        <v>717</v>
      </c>
      <c r="O7" s="10" t="s">
        <v>653</v>
      </c>
      <c r="P7" s="1"/>
      <c r="Q7" s="11" t="b">
        <f>O7=P7</f>
        <v>0</v>
      </c>
      <c r="R7" s="30">
        <v>30040658</v>
      </c>
      <c r="S7" s="1"/>
      <c r="T7" s="11" t="b">
        <f>R7=S7</f>
        <v>0</v>
      </c>
      <c r="U7" s="10" t="s">
        <v>16</v>
      </c>
      <c r="V7" s="1"/>
      <c r="W7" s="11" t="b">
        <f>U7=V7</f>
        <v>0</v>
      </c>
      <c r="X7" s="13" t="s">
        <v>15</v>
      </c>
      <c r="Y7" s="1"/>
      <c r="Z7" s="1"/>
      <c r="AA7" s="59">
        <v>22003022</v>
      </c>
      <c r="AB7" s="10" t="s">
        <v>1409</v>
      </c>
      <c r="AD7" s="11" t="b">
        <f>AB7=AC7</f>
        <v>0</v>
      </c>
      <c r="AE7" s="10" t="s">
        <v>750</v>
      </c>
      <c r="AF7" s="1"/>
      <c r="AG7" s="11" t="b">
        <f>AE7=AF7</f>
        <v>0</v>
      </c>
      <c r="AH7" s="1">
        <v>19</v>
      </c>
      <c r="AI7" s="1">
        <v>18.62</v>
      </c>
      <c r="AJ7" s="16">
        <f>AI7*220/30*30.4375</f>
        <v>4156.1391666666668</v>
      </c>
      <c r="AK7" s="18">
        <v>4156.1400000000003</v>
      </c>
      <c r="AL7" s="71" t="s">
        <v>653</v>
      </c>
      <c r="AM7" s="19" t="b">
        <f>AL7=O7</f>
        <v>1</v>
      </c>
      <c r="AN7" s="7">
        <f>VLOOKUP(A7,'base ZITRHR129'!$G$1:$H$628,2,0)</f>
        <v>30040658</v>
      </c>
      <c r="AO7" s="7" t="b">
        <f>AN7=R7</f>
        <v>1</v>
      </c>
      <c r="AP7" s="7">
        <f>VLOOKUP(A7,'base ZITRHR129'!G5:W631,17,0)</f>
        <v>4156.1400000000003</v>
      </c>
      <c r="AQ7" s="7" t="b">
        <f>AP7=AK7</f>
        <v>1</v>
      </c>
      <c r="AR7" s="69"/>
    </row>
    <row r="8" spans="1:44" s="7" customFormat="1" ht="12" x14ac:dyDescent="0.2">
      <c r="A8" s="7">
        <v>10011466</v>
      </c>
      <c r="B8" s="8" t="s">
        <v>32</v>
      </c>
      <c r="C8" s="8" t="s">
        <v>682</v>
      </c>
      <c r="D8" s="8" t="s">
        <v>717</v>
      </c>
      <c r="E8" s="8" t="s">
        <v>718</v>
      </c>
      <c r="F8" s="8" t="s">
        <v>1406</v>
      </c>
      <c r="G8" s="8" t="s">
        <v>750</v>
      </c>
      <c r="H8" s="9">
        <v>19</v>
      </c>
      <c r="I8" s="8" t="s">
        <v>655</v>
      </c>
      <c r="J8" s="8" t="s">
        <v>781</v>
      </c>
      <c r="K8" s="8" t="s">
        <v>16</v>
      </c>
      <c r="L8" s="8" t="s">
        <v>17</v>
      </c>
      <c r="M8" s="10" t="s">
        <v>682</v>
      </c>
      <c r="N8" s="10" t="s">
        <v>717</v>
      </c>
      <c r="O8" s="10" t="s">
        <v>655</v>
      </c>
      <c r="P8" s="1"/>
      <c r="Q8" s="11" t="b">
        <f>O8=P8</f>
        <v>0</v>
      </c>
      <c r="R8" s="30">
        <v>30040659</v>
      </c>
      <c r="S8" s="1"/>
      <c r="T8" s="11" t="b">
        <f>R8=S8</f>
        <v>0</v>
      </c>
      <c r="U8" s="10" t="s">
        <v>16</v>
      </c>
      <c r="V8" s="1"/>
      <c r="W8" s="11" t="b">
        <f>U8=V8</f>
        <v>0</v>
      </c>
      <c r="X8" s="13" t="s">
        <v>15</v>
      </c>
      <c r="Y8" s="1"/>
      <c r="Z8" s="1"/>
      <c r="AA8" s="59">
        <v>22003022</v>
      </c>
      <c r="AB8" s="10" t="s">
        <v>1409</v>
      </c>
      <c r="AD8" s="11" t="b">
        <f>AB8=AC8</f>
        <v>0</v>
      </c>
      <c r="AE8" s="10" t="s">
        <v>750</v>
      </c>
      <c r="AF8" s="1"/>
      <c r="AG8" s="11" t="b">
        <f>AE8=AF8</f>
        <v>0</v>
      </c>
      <c r="AH8" s="1">
        <v>19</v>
      </c>
      <c r="AI8" s="1">
        <v>18.62</v>
      </c>
      <c r="AJ8" s="16">
        <f>AI8*220/30*30.4375</f>
        <v>4156.1391666666668</v>
      </c>
      <c r="AK8" s="18">
        <v>4156.1400000000003</v>
      </c>
      <c r="AL8" s="71" t="s">
        <v>655</v>
      </c>
      <c r="AM8" s="19" t="b">
        <f>AL8=O8</f>
        <v>1</v>
      </c>
      <c r="AN8" s="7">
        <f>VLOOKUP(A8,'base ZITRHR129'!$G$1:$H$628,2,0)</f>
        <v>30040659</v>
      </c>
      <c r="AO8" s="7" t="b">
        <f>AN8=R8</f>
        <v>1</v>
      </c>
      <c r="AP8" s="7">
        <f>VLOOKUP(A8,'base ZITRHR129'!G4:W630,17,0)</f>
        <v>4156.1400000000003</v>
      </c>
      <c r="AQ8" s="7" t="b">
        <f>AP8=AK8</f>
        <v>1</v>
      </c>
      <c r="AR8" s="69"/>
    </row>
    <row r="9" spans="1:44" s="7" customFormat="1" ht="12" x14ac:dyDescent="0.2">
      <c r="A9" s="7">
        <v>10012821</v>
      </c>
      <c r="B9" s="8" t="s">
        <v>33</v>
      </c>
      <c r="C9" s="8" t="s">
        <v>682</v>
      </c>
      <c r="D9" s="8" t="s">
        <v>717</v>
      </c>
      <c r="E9" s="8" t="s">
        <v>720</v>
      </c>
      <c r="F9" s="8" t="s">
        <v>1406</v>
      </c>
      <c r="G9" s="8" t="s">
        <v>751</v>
      </c>
      <c r="H9" s="9">
        <v>18</v>
      </c>
      <c r="I9" s="8" t="s">
        <v>655</v>
      </c>
      <c r="J9" s="8" t="s">
        <v>782</v>
      </c>
      <c r="K9" s="8" t="s">
        <v>16</v>
      </c>
      <c r="L9" s="8" t="s">
        <v>17</v>
      </c>
      <c r="M9" s="10" t="s">
        <v>682</v>
      </c>
      <c r="N9" s="10" t="s">
        <v>717</v>
      </c>
      <c r="O9" s="10" t="s">
        <v>655</v>
      </c>
      <c r="P9" s="1"/>
      <c r="Q9" s="11" t="b">
        <f>O9=P9</f>
        <v>0</v>
      </c>
      <c r="R9" s="30">
        <v>30040660</v>
      </c>
      <c r="S9" s="1"/>
      <c r="T9" s="11" t="b">
        <f>R9=S9</f>
        <v>0</v>
      </c>
      <c r="U9" s="10" t="s">
        <v>16</v>
      </c>
      <c r="V9" s="1"/>
      <c r="W9" s="11" t="b">
        <f>U9=V9</f>
        <v>0</v>
      </c>
      <c r="X9" s="13" t="s">
        <v>15</v>
      </c>
      <c r="Y9" s="1"/>
      <c r="Z9" s="1"/>
      <c r="AA9" s="59">
        <v>22003015</v>
      </c>
      <c r="AB9" s="10" t="s">
        <v>1409</v>
      </c>
      <c r="AD9" s="11" t="b">
        <f>AB9=AC9</f>
        <v>0</v>
      </c>
      <c r="AE9" s="10" t="s">
        <v>751</v>
      </c>
      <c r="AF9" s="1"/>
      <c r="AG9" s="11" t="b">
        <f>AE9=AF9</f>
        <v>0</v>
      </c>
      <c r="AH9" s="1">
        <v>18</v>
      </c>
      <c r="AI9" s="1">
        <v>17.73</v>
      </c>
      <c r="AJ9" s="16">
        <f>AI9*220/30*30.4375</f>
        <v>3957.4837500000003</v>
      </c>
      <c r="AK9" s="18">
        <v>3957.48</v>
      </c>
      <c r="AL9" s="71" t="s">
        <v>655</v>
      </c>
      <c r="AM9" s="19" t="b">
        <f>AL9=O9</f>
        <v>1</v>
      </c>
      <c r="AN9" s="7">
        <f>VLOOKUP(A9,'base ZITRHR129'!$G$1:$H$628,2,0)</f>
        <v>30040660</v>
      </c>
      <c r="AO9" s="7" t="b">
        <f>AN9=R9</f>
        <v>1</v>
      </c>
      <c r="AP9" s="7">
        <f>VLOOKUP(A9,'base ZITRHR129'!G3:W629,17,0)</f>
        <v>3957.48</v>
      </c>
      <c r="AQ9" s="7" t="b">
        <f>AP9=AK9</f>
        <v>1</v>
      </c>
      <c r="AR9" s="69"/>
    </row>
    <row r="10" spans="1:44" s="7" customFormat="1" ht="12" x14ac:dyDescent="0.2">
      <c r="A10" s="7">
        <v>10012913</v>
      </c>
      <c r="B10" s="8" t="s">
        <v>34</v>
      </c>
      <c r="C10" s="8" t="s">
        <v>683</v>
      </c>
      <c r="D10" s="8" t="s">
        <v>717</v>
      </c>
      <c r="E10" s="8" t="s">
        <v>721</v>
      </c>
      <c r="F10" s="8" t="s">
        <v>1406</v>
      </c>
      <c r="G10" s="8" t="s">
        <v>752</v>
      </c>
      <c r="H10" s="9">
        <v>20</v>
      </c>
      <c r="I10" s="8" t="s">
        <v>656</v>
      </c>
      <c r="J10" s="8" t="s">
        <v>783</v>
      </c>
      <c r="K10" s="8" t="s">
        <v>6</v>
      </c>
      <c r="L10" s="8" t="s">
        <v>17</v>
      </c>
      <c r="M10" s="10" t="s">
        <v>683</v>
      </c>
      <c r="N10" s="10" t="s">
        <v>717</v>
      </c>
      <c r="O10" s="10" t="s">
        <v>656</v>
      </c>
      <c r="P10" s="1"/>
      <c r="Q10" s="11" t="b">
        <f>O10=P10</f>
        <v>0</v>
      </c>
      <c r="R10" s="30">
        <v>30040661</v>
      </c>
      <c r="S10" s="1"/>
      <c r="T10" s="11" t="b">
        <f>R10=S10</f>
        <v>0</v>
      </c>
      <c r="U10" s="10" t="s">
        <v>6</v>
      </c>
      <c r="V10" s="1"/>
      <c r="W10" s="11" t="b">
        <f>U10=V10</f>
        <v>0</v>
      </c>
      <c r="X10" s="13" t="s">
        <v>15</v>
      </c>
      <c r="Y10" s="1"/>
      <c r="Z10" s="1"/>
      <c r="AA10" s="59">
        <v>22003230</v>
      </c>
      <c r="AB10" s="10" t="s">
        <v>1409</v>
      </c>
      <c r="AD10" s="11" t="b">
        <f>AB10=AC10</f>
        <v>0</v>
      </c>
      <c r="AE10" s="10" t="s">
        <v>752</v>
      </c>
      <c r="AF10" s="1"/>
      <c r="AG10" s="11" t="b">
        <f>AE10=AF10</f>
        <v>0</v>
      </c>
      <c r="AH10" s="1">
        <v>20</v>
      </c>
      <c r="AI10" s="1">
        <v>24.74</v>
      </c>
      <c r="AJ10" s="16">
        <f>AI10*220/30*30.4375</f>
        <v>5522.1741666666658</v>
      </c>
      <c r="AK10" s="18">
        <v>5522.17</v>
      </c>
      <c r="AL10" s="71" t="s">
        <v>656</v>
      </c>
      <c r="AM10" s="19" t="b">
        <f>AL10=O10</f>
        <v>1</v>
      </c>
      <c r="AN10" s="7">
        <f>VLOOKUP(A10,'base ZITRHR129'!$G$1:$H$628,2,0)</f>
        <v>30040661</v>
      </c>
      <c r="AO10" s="7" t="b">
        <f>AN10=R10</f>
        <v>1</v>
      </c>
      <c r="AP10" s="7">
        <f>VLOOKUP(A10,'base ZITRHR129'!G2:W628,17,0)</f>
        <v>5522.17</v>
      </c>
      <c r="AQ10" s="7" t="b">
        <f>AP10=AK10</f>
        <v>1</v>
      </c>
      <c r="AR10" s="69"/>
    </row>
    <row r="11" spans="1:44" s="7" customFormat="1" ht="12" x14ac:dyDescent="0.2">
      <c r="A11" s="7">
        <v>10012956</v>
      </c>
      <c r="B11" s="8" t="s">
        <v>35</v>
      </c>
      <c r="C11" s="8" t="s">
        <v>683</v>
      </c>
      <c r="D11" s="8" t="s">
        <v>717</v>
      </c>
      <c r="E11" s="8" t="s">
        <v>722</v>
      </c>
      <c r="F11" s="8" t="s">
        <v>1406</v>
      </c>
      <c r="G11" s="8" t="s">
        <v>753</v>
      </c>
      <c r="H11" s="9">
        <v>19</v>
      </c>
      <c r="I11" s="8" t="s">
        <v>656</v>
      </c>
      <c r="J11" s="8" t="s">
        <v>784</v>
      </c>
      <c r="K11" s="8" t="s">
        <v>6</v>
      </c>
      <c r="L11" s="8" t="s">
        <v>17</v>
      </c>
      <c r="M11" s="10" t="s">
        <v>683</v>
      </c>
      <c r="N11" s="10" t="s">
        <v>717</v>
      </c>
      <c r="O11" s="10" t="s">
        <v>656</v>
      </c>
      <c r="P11" s="1"/>
      <c r="Q11" s="11" t="b">
        <f>O11=P11</f>
        <v>0</v>
      </c>
      <c r="R11" s="30">
        <v>30040662</v>
      </c>
      <c r="S11" s="1"/>
      <c r="T11" s="11" t="b">
        <f>R11=S11</f>
        <v>0</v>
      </c>
      <c r="U11" s="10" t="s">
        <v>6</v>
      </c>
      <c r="V11" s="1"/>
      <c r="W11" s="11" t="b">
        <f>U11=V11</f>
        <v>0</v>
      </c>
      <c r="X11" s="13" t="s">
        <v>15</v>
      </c>
      <c r="Y11" s="1"/>
      <c r="Z11" s="1"/>
      <c r="AA11" s="59">
        <v>22002695</v>
      </c>
      <c r="AB11" s="10" t="s">
        <v>1409</v>
      </c>
      <c r="AD11" s="11" t="b">
        <f>AB11=AC11</f>
        <v>0</v>
      </c>
      <c r="AE11" s="10" t="s">
        <v>753</v>
      </c>
      <c r="AF11" s="1"/>
      <c r="AG11" s="11" t="b">
        <f>AE11=AF11</f>
        <v>0</v>
      </c>
      <c r="AH11" s="1">
        <v>19</v>
      </c>
      <c r="AI11" s="1">
        <v>20.49</v>
      </c>
      <c r="AJ11" s="16">
        <f>AI11*220/30*30.4375</f>
        <v>4573.5387499999988</v>
      </c>
      <c r="AK11" s="18">
        <v>4573.54</v>
      </c>
      <c r="AL11" s="71" t="s">
        <v>656</v>
      </c>
      <c r="AM11" s="19" t="b">
        <f>AL11=O11</f>
        <v>1</v>
      </c>
      <c r="AN11" s="7">
        <f>VLOOKUP(A11,'base ZITRHR129'!$G$1:$H$628,2,0)</f>
        <v>30040662</v>
      </c>
      <c r="AO11" s="7" t="b">
        <f>AN11=R11</f>
        <v>1</v>
      </c>
      <c r="AP11" s="7">
        <f>VLOOKUP(A11,'base ZITRHR129'!G11:W637,17,0)</f>
        <v>4573.54</v>
      </c>
      <c r="AQ11" s="7" t="b">
        <f>AP11=AK11</f>
        <v>1</v>
      </c>
      <c r="AR11" s="69"/>
    </row>
    <row r="12" spans="1:44" s="7" customFormat="1" ht="12" x14ac:dyDescent="0.2">
      <c r="A12" s="7">
        <v>10013042</v>
      </c>
      <c r="B12" s="8" t="s">
        <v>36</v>
      </c>
      <c r="C12" s="8" t="s">
        <v>684</v>
      </c>
      <c r="D12" s="8" t="s">
        <v>717</v>
      </c>
      <c r="E12" s="8" t="s">
        <v>720</v>
      </c>
      <c r="F12" s="8" t="s">
        <v>1406</v>
      </c>
      <c r="G12" s="8" t="s">
        <v>751</v>
      </c>
      <c r="H12" s="9">
        <v>18</v>
      </c>
      <c r="I12" s="8" t="s">
        <v>657</v>
      </c>
      <c r="J12" s="8" t="s">
        <v>785</v>
      </c>
      <c r="K12" s="8" t="s">
        <v>16</v>
      </c>
      <c r="L12" s="8" t="s">
        <v>17</v>
      </c>
      <c r="M12" s="10" t="s">
        <v>684</v>
      </c>
      <c r="N12" s="10" t="s">
        <v>717</v>
      </c>
      <c r="O12" s="10" t="s">
        <v>657</v>
      </c>
      <c r="P12" s="1"/>
      <c r="Q12" s="11" t="b">
        <f>O12=P12</f>
        <v>0</v>
      </c>
      <c r="R12" s="30">
        <v>30040663</v>
      </c>
      <c r="S12" s="1"/>
      <c r="T12" s="11" t="b">
        <f>R12=S12</f>
        <v>0</v>
      </c>
      <c r="U12" s="10" t="s">
        <v>16</v>
      </c>
      <c r="V12" s="1"/>
      <c r="W12" s="11" t="b">
        <f>U12=V12</f>
        <v>0</v>
      </c>
      <c r="X12" s="13" t="s">
        <v>15</v>
      </c>
      <c r="Y12" s="1"/>
      <c r="Z12" s="1"/>
      <c r="AA12" s="59">
        <v>22003015</v>
      </c>
      <c r="AB12" s="10" t="s">
        <v>1409</v>
      </c>
      <c r="AD12" s="11" t="b">
        <f>AB12=AC12</f>
        <v>0</v>
      </c>
      <c r="AE12" s="10" t="s">
        <v>751</v>
      </c>
      <c r="AF12" s="1"/>
      <c r="AG12" s="11" t="b">
        <f>AE12=AF12</f>
        <v>0</v>
      </c>
      <c r="AH12" s="1">
        <v>18</v>
      </c>
      <c r="AI12" s="1">
        <v>17.73</v>
      </c>
      <c r="AJ12" s="16">
        <f>AI12*220/30*30.4375</f>
        <v>3957.4837500000003</v>
      </c>
      <c r="AK12" s="18">
        <v>3957.48</v>
      </c>
      <c r="AL12" s="71" t="s">
        <v>657</v>
      </c>
      <c r="AM12" s="19" t="b">
        <f>AL12=O12</f>
        <v>1</v>
      </c>
      <c r="AN12" s="7">
        <f>VLOOKUP(A12,'base ZITRHR129'!$G$1:$H$628,2,0)</f>
        <v>30040663</v>
      </c>
      <c r="AO12" s="7" t="b">
        <f>AN12=R12</f>
        <v>1</v>
      </c>
      <c r="AP12" s="7">
        <f>VLOOKUP(A12,'base ZITRHR129'!G10:W636,17,0)</f>
        <v>3957.48</v>
      </c>
      <c r="AQ12" s="7" t="b">
        <f>AP12=AK12</f>
        <v>1</v>
      </c>
      <c r="AR12" s="69"/>
    </row>
    <row r="13" spans="1:44" s="7" customFormat="1" ht="12" x14ac:dyDescent="0.2">
      <c r="A13" s="7">
        <v>10013055</v>
      </c>
      <c r="B13" s="8" t="s">
        <v>37</v>
      </c>
      <c r="C13" s="8" t="s">
        <v>685</v>
      </c>
      <c r="D13" s="8" t="s">
        <v>717</v>
      </c>
      <c r="E13" s="8" t="s">
        <v>720</v>
      </c>
      <c r="F13" s="8" t="s">
        <v>1406</v>
      </c>
      <c r="G13" s="8" t="s">
        <v>751</v>
      </c>
      <c r="H13" s="9">
        <v>18</v>
      </c>
      <c r="I13" s="8" t="s">
        <v>655</v>
      </c>
      <c r="J13" s="8" t="s">
        <v>786</v>
      </c>
      <c r="K13" s="8" t="s">
        <v>16</v>
      </c>
      <c r="L13" s="8" t="s">
        <v>17</v>
      </c>
      <c r="M13" s="10" t="s">
        <v>685</v>
      </c>
      <c r="N13" s="10" t="s">
        <v>717</v>
      </c>
      <c r="O13" s="10" t="s">
        <v>655</v>
      </c>
      <c r="P13" s="1"/>
      <c r="Q13" s="11" t="b">
        <f>O13=P13</f>
        <v>0</v>
      </c>
      <c r="R13" s="30">
        <v>30040664</v>
      </c>
      <c r="S13" s="1"/>
      <c r="T13" s="11" t="b">
        <f>R13=S13</f>
        <v>0</v>
      </c>
      <c r="U13" s="10" t="s">
        <v>16</v>
      </c>
      <c r="V13" s="1"/>
      <c r="W13" s="11" t="b">
        <f>U13=V13</f>
        <v>0</v>
      </c>
      <c r="X13" s="13" t="s">
        <v>15</v>
      </c>
      <c r="Y13" s="1"/>
      <c r="Z13" s="1"/>
      <c r="AA13" s="59">
        <v>22003015</v>
      </c>
      <c r="AB13" s="10" t="s">
        <v>1409</v>
      </c>
      <c r="AD13" s="11" t="b">
        <f>AB13=AC13</f>
        <v>0</v>
      </c>
      <c r="AE13" s="10" t="s">
        <v>751</v>
      </c>
      <c r="AF13" s="1"/>
      <c r="AG13" s="11" t="b">
        <f>AE13=AF13</f>
        <v>0</v>
      </c>
      <c r="AH13" s="1">
        <v>18</v>
      </c>
      <c r="AI13" s="1">
        <v>17.73</v>
      </c>
      <c r="AJ13" s="16">
        <f>AI13*220/30*30.4375</f>
        <v>3957.4837500000003</v>
      </c>
      <c r="AK13" s="18">
        <v>3957.48</v>
      </c>
      <c r="AL13" s="71" t="s">
        <v>655</v>
      </c>
      <c r="AM13" s="19" t="b">
        <f>AL13=O13</f>
        <v>1</v>
      </c>
      <c r="AN13" s="7">
        <f>VLOOKUP(A13,'base ZITRHR129'!$G$1:$H$628,2,0)</f>
        <v>30040664</v>
      </c>
      <c r="AO13" s="7" t="b">
        <f>AN13=R13</f>
        <v>1</v>
      </c>
      <c r="AP13" s="7">
        <f>VLOOKUP(A13,'base ZITRHR129'!G9:W635,17,0)</f>
        <v>3957.48</v>
      </c>
      <c r="AQ13" s="7" t="b">
        <f>AP13=AK13</f>
        <v>1</v>
      </c>
      <c r="AR13" s="69"/>
    </row>
    <row r="14" spans="1:44" s="7" customFormat="1" ht="12" x14ac:dyDescent="0.2">
      <c r="A14" s="7">
        <v>10013221</v>
      </c>
      <c r="B14" s="8" t="s">
        <v>38</v>
      </c>
      <c r="C14" s="8" t="s">
        <v>684</v>
      </c>
      <c r="D14" s="8" t="s">
        <v>717</v>
      </c>
      <c r="E14" s="8" t="s">
        <v>720</v>
      </c>
      <c r="F14" s="8" t="s">
        <v>1406</v>
      </c>
      <c r="G14" s="8" t="s">
        <v>751</v>
      </c>
      <c r="H14" s="9">
        <v>18</v>
      </c>
      <c r="I14" s="8" t="s">
        <v>658</v>
      </c>
      <c r="J14" s="8" t="s">
        <v>787</v>
      </c>
      <c r="K14" s="8" t="s">
        <v>6</v>
      </c>
      <c r="L14" s="8" t="s">
        <v>17</v>
      </c>
      <c r="M14" s="10" t="s">
        <v>684</v>
      </c>
      <c r="N14" s="10" t="s">
        <v>717</v>
      </c>
      <c r="O14" s="10" t="s">
        <v>658</v>
      </c>
      <c r="P14" s="1"/>
      <c r="Q14" s="11" t="b">
        <f>O14=P14</f>
        <v>0</v>
      </c>
      <c r="R14" s="30">
        <v>30040665</v>
      </c>
      <c r="S14" s="1"/>
      <c r="T14" s="11" t="b">
        <f>R14=S14</f>
        <v>0</v>
      </c>
      <c r="U14" s="10" t="s">
        <v>6</v>
      </c>
      <c r="V14" s="1"/>
      <c r="W14" s="11" t="b">
        <f>U14=V14</f>
        <v>0</v>
      </c>
      <c r="X14" s="13" t="s">
        <v>15</v>
      </c>
      <c r="Y14" s="1"/>
      <c r="Z14" s="1"/>
      <c r="AA14" s="59">
        <v>22003015</v>
      </c>
      <c r="AB14" s="10" t="s">
        <v>1409</v>
      </c>
      <c r="AD14" s="11" t="b">
        <f>AB14=AC14</f>
        <v>0</v>
      </c>
      <c r="AE14" s="10" t="s">
        <v>751</v>
      </c>
      <c r="AF14" s="1"/>
      <c r="AG14" s="11" t="b">
        <f>AE14=AF14</f>
        <v>0</v>
      </c>
      <c r="AH14" s="1">
        <v>18</v>
      </c>
      <c r="AI14" s="1">
        <v>17.73</v>
      </c>
      <c r="AJ14" s="16">
        <f>AI14*220/30*30.4375</f>
        <v>3957.4837500000003</v>
      </c>
      <c r="AK14" s="18">
        <v>3957.48</v>
      </c>
      <c r="AL14" s="72" t="s">
        <v>657</v>
      </c>
      <c r="AM14" s="48" t="b">
        <f>AL14=O14</f>
        <v>0</v>
      </c>
      <c r="AN14" s="7">
        <f>VLOOKUP(A14,'base ZITRHR129'!$G$1:$H$628,2,0)</f>
        <v>30040665</v>
      </c>
      <c r="AO14" s="7" t="b">
        <f>AN14=R14</f>
        <v>1</v>
      </c>
      <c r="AP14" s="7">
        <f>VLOOKUP(A14,'base ZITRHR129'!G8:W634,17,0)</f>
        <v>3957.48</v>
      </c>
      <c r="AQ14" s="7" t="b">
        <f>AP14=AK14</f>
        <v>1</v>
      </c>
      <c r="AR14" s="69" t="s">
        <v>1517</v>
      </c>
    </row>
    <row r="15" spans="1:44" s="7" customFormat="1" ht="12" x14ac:dyDescent="0.2">
      <c r="A15" s="7">
        <v>10013223</v>
      </c>
      <c r="B15" s="8" t="s">
        <v>39</v>
      </c>
      <c r="C15" s="8" t="s">
        <v>686</v>
      </c>
      <c r="D15" s="8" t="s">
        <v>717</v>
      </c>
      <c r="E15" s="8" t="s">
        <v>723</v>
      </c>
      <c r="F15" s="8" t="s">
        <v>1406</v>
      </c>
      <c r="G15" s="8" t="s">
        <v>19</v>
      </c>
      <c r="H15" s="9">
        <v>16</v>
      </c>
      <c r="I15" s="8" t="s">
        <v>659</v>
      </c>
      <c r="J15" s="8" t="s">
        <v>788</v>
      </c>
      <c r="K15" s="8" t="s">
        <v>6</v>
      </c>
      <c r="L15" s="8" t="s">
        <v>17</v>
      </c>
      <c r="M15" s="10" t="s">
        <v>686</v>
      </c>
      <c r="N15" s="10" t="s">
        <v>717</v>
      </c>
      <c r="O15" s="10" t="s">
        <v>659</v>
      </c>
      <c r="P15" s="1"/>
      <c r="Q15" s="11" t="b">
        <f>O15=P15</f>
        <v>0</v>
      </c>
      <c r="R15" s="30">
        <v>30040666</v>
      </c>
      <c r="S15" s="1"/>
      <c r="T15" s="11" t="b">
        <f>R15=S15</f>
        <v>0</v>
      </c>
      <c r="U15" s="10" t="s">
        <v>6</v>
      </c>
      <c r="V15" s="1"/>
      <c r="W15" s="11" t="b">
        <f>U15=V15</f>
        <v>0</v>
      </c>
      <c r="X15" s="13" t="s">
        <v>15</v>
      </c>
      <c r="Y15" s="1"/>
      <c r="Z15" s="1"/>
      <c r="AA15" s="59">
        <v>22002460</v>
      </c>
      <c r="AB15" s="10" t="s">
        <v>1409</v>
      </c>
      <c r="AD15" s="11" t="b">
        <f>AB15=AC15</f>
        <v>0</v>
      </c>
      <c r="AE15" s="10" t="s">
        <v>19</v>
      </c>
      <c r="AF15" s="1"/>
      <c r="AG15" s="11" t="b">
        <f>AE15=AF15</f>
        <v>0</v>
      </c>
      <c r="AH15" s="1">
        <v>16</v>
      </c>
      <c r="AI15" s="1">
        <v>10.26</v>
      </c>
      <c r="AJ15" s="16">
        <f>AI15*220/30*30.4375</f>
        <v>2290.1174999999998</v>
      </c>
      <c r="AK15" s="18">
        <v>2290.12</v>
      </c>
      <c r="AL15" s="71" t="s">
        <v>659</v>
      </c>
      <c r="AM15" s="19" t="b">
        <f>AL15=O15</f>
        <v>1</v>
      </c>
      <c r="AN15" s="7">
        <f>VLOOKUP(A15,'base ZITRHR129'!$G$1:$H$628,2,0)</f>
        <v>30040666</v>
      </c>
      <c r="AO15" s="7" t="b">
        <f>AN15=R15</f>
        <v>1</v>
      </c>
      <c r="AP15" s="7">
        <f>VLOOKUP(A15,'base ZITRHR129'!G7:W633,17,0)</f>
        <v>2290.12</v>
      </c>
      <c r="AQ15" s="7" t="b">
        <f>AP15=AK15</f>
        <v>1</v>
      </c>
      <c r="AR15" s="69"/>
    </row>
    <row r="16" spans="1:44" s="7" customFormat="1" ht="12" x14ac:dyDescent="0.2">
      <c r="A16" s="7">
        <v>10013292</v>
      </c>
      <c r="B16" s="8" t="s">
        <v>40</v>
      </c>
      <c r="C16" s="8" t="s">
        <v>687</v>
      </c>
      <c r="D16" s="8" t="s">
        <v>717</v>
      </c>
      <c r="E16" s="8" t="s">
        <v>724</v>
      </c>
      <c r="F16" s="8" t="s">
        <v>1406</v>
      </c>
      <c r="G16" s="8" t="s">
        <v>21</v>
      </c>
      <c r="H16" s="9">
        <v>16</v>
      </c>
      <c r="I16" s="8" t="s">
        <v>660</v>
      </c>
      <c r="J16" s="8" t="s">
        <v>789</v>
      </c>
      <c r="K16" s="8" t="s">
        <v>16</v>
      </c>
      <c r="L16" s="8" t="s">
        <v>17</v>
      </c>
      <c r="M16" s="10" t="s">
        <v>687</v>
      </c>
      <c r="N16" s="10" t="s">
        <v>717</v>
      </c>
      <c r="O16" s="10" t="s">
        <v>660</v>
      </c>
      <c r="P16" s="1"/>
      <c r="Q16" s="11" t="b">
        <f>O16=P16</f>
        <v>0</v>
      </c>
      <c r="R16" s="30">
        <v>30040667</v>
      </c>
      <c r="S16" s="1"/>
      <c r="T16" s="11" t="b">
        <f>R16=S16</f>
        <v>0</v>
      </c>
      <c r="U16" s="10" t="s">
        <v>16</v>
      </c>
      <c r="V16" s="1"/>
      <c r="W16" s="11" t="b">
        <f>U16=V16</f>
        <v>0</v>
      </c>
      <c r="X16" s="13" t="s">
        <v>15</v>
      </c>
      <c r="Y16" s="1"/>
      <c r="Z16" s="1"/>
      <c r="AA16" s="59">
        <v>22002616</v>
      </c>
      <c r="AB16" s="10" t="s">
        <v>1409</v>
      </c>
      <c r="AD16" s="11" t="b">
        <f>AB16=AC16</f>
        <v>0</v>
      </c>
      <c r="AE16" s="10" t="s">
        <v>21</v>
      </c>
      <c r="AF16" s="1"/>
      <c r="AG16" s="11" t="b">
        <f>AE16=AF16</f>
        <v>0</v>
      </c>
      <c r="AH16" s="1">
        <v>16</v>
      </c>
      <c r="AI16" s="1">
        <v>11.71</v>
      </c>
      <c r="AJ16" s="16">
        <f>AI16*220/30*30.4375</f>
        <v>2613.7695833333337</v>
      </c>
      <c r="AK16" s="18">
        <v>2613.77</v>
      </c>
      <c r="AL16" s="71" t="s">
        <v>660</v>
      </c>
      <c r="AM16" s="19" t="b">
        <f>AL16=O16</f>
        <v>1</v>
      </c>
      <c r="AN16" s="7">
        <f>VLOOKUP(A16,'base ZITRHR129'!$G$1:$H$628,2,0)</f>
        <v>30040667</v>
      </c>
      <c r="AO16" s="7" t="b">
        <f>AN16=R16</f>
        <v>1</v>
      </c>
      <c r="AP16" s="7">
        <f>VLOOKUP(A16,'base ZITRHR129'!G6:W632,17,0)</f>
        <v>2613.77</v>
      </c>
      <c r="AQ16" s="7" t="b">
        <f>AP16=AK16</f>
        <v>1</v>
      </c>
      <c r="AR16" s="69"/>
    </row>
    <row r="17" spans="1:44" s="7" customFormat="1" ht="12" x14ac:dyDescent="0.2">
      <c r="A17" s="7">
        <v>10013389</v>
      </c>
      <c r="B17" s="8" t="s">
        <v>41</v>
      </c>
      <c r="C17" s="8" t="s">
        <v>680</v>
      </c>
      <c r="D17" s="8" t="s">
        <v>717</v>
      </c>
      <c r="E17" s="8" t="s">
        <v>719</v>
      </c>
      <c r="F17" s="8" t="s">
        <v>1406</v>
      </c>
      <c r="G17" s="8" t="s">
        <v>20</v>
      </c>
      <c r="H17" s="9">
        <v>19</v>
      </c>
      <c r="I17" s="8" t="s">
        <v>654</v>
      </c>
      <c r="J17" s="8" t="s">
        <v>790</v>
      </c>
      <c r="K17" s="8" t="s">
        <v>16</v>
      </c>
      <c r="L17" s="8" t="s">
        <v>17</v>
      </c>
      <c r="M17" s="10" t="s">
        <v>680</v>
      </c>
      <c r="N17" s="10" t="s">
        <v>717</v>
      </c>
      <c r="O17" s="10" t="s">
        <v>654</v>
      </c>
      <c r="P17" s="1"/>
      <c r="Q17" s="11" t="b">
        <f>O17=P17</f>
        <v>0</v>
      </c>
      <c r="R17" s="30">
        <v>30040668</v>
      </c>
      <c r="S17" s="1"/>
      <c r="T17" s="11" t="b">
        <f>R17=S17</f>
        <v>0</v>
      </c>
      <c r="U17" s="10" t="s">
        <v>16</v>
      </c>
      <c r="V17" s="1"/>
      <c r="W17" s="11" t="b">
        <f>U17=V17</f>
        <v>0</v>
      </c>
      <c r="X17" s="13" t="s">
        <v>15</v>
      </c>
      <c r="Y17" s="1"/>
      <c r="Z17" s="1"/>
      <c r="AA17" s="59">
        <v>22002723</v>
      </c>
      <c r="AB17" s="10" t="s">
        <v>1409</v>
      </c>
      <c r="AD17" s="11" t="b">
        <f>AB17=AC17</f>
        <v>0</v>
      </c>
      <c r="AE17" s="10" t="s">
        <v>20</v>
      </c>
      <c r="AF17" s="1"/>
      <c r="AG17" s="11" t="b">
        <f>AE17=AF17</f>
        <v>0</v>
      </c>
      <c r="AH17" s="1">
        <v>19</v>
      </c>
      <c r="AI17" s="1">
        <v>17.43</v>
      </c>
      <c r="AJ17" s="16">
        <f>AI17*220/30*30.4375</f>
        <v>3890.5212499999998</v>
      </c>
      <c r="AK17" s="18">
        <v>3890.52</v>
      </c>
      <c r="AL17" s="71" t="s">
        <v>654</v>
      </c>
      <c r="AM17" s="19" t="b">
        <f>AL17=O17</f>
        <v>1</v>
      </c>
      <c r="AN17" s="7">
        <f>VLOOKUP(A17,'base ZITRHR129'!$G$1:$H$628,2,0)</f>
        <v>30040668</v>
      </c>
      <c r="AO17" s="7" t="b">
        <f>AN17=R17</f>
        <v>1</v>
      </c>
      <c r="AP17" s="7">
        <f>VLOOKUP(A17,'base ZITRHR129'!G5:W631,17,0)</f>
        <v>3890.52</v>
      </c>
      <c r="AQ17" s="7" t="b">
        <f>AP17=AK17</f>
        <v>1</v>
      </c>
      <c r="AR17" s="69"/>
    </row>
    <row r="18" spans="1:44" s="7" customFormat="1" ht="12" x14ac:dyDescent="0.2">
      <c r="A18" s="7">
        <v>10013417</v>
      </c>
      <c r="B18" s="8" t="s">
        <v>42</v>
      </c>
      <c r="C18" s="8" t="s">
        <v>687</v>
      </c>
      <c r="D18" s="8" t="s">
        <v>717</v>
      </c>
      <c r="E18" s="8" t="s">
        <v>719</v>
      </c>
      <c r="F18" s="8" t="s">
        <v>1406</v>
      </c>
      <c r="G18" s="8" t="s">
        <v>20</v>
      </c>
      <c r="H18" s="9">
        <v>19</v>
      </c>
      <c r="I18" s="8" t="s">
        <v>660</v>
      </c>
      <c r="J18" s="8" t="s">
        <v>791</v>
      </c>
      <c r="K18" s="8" t="s">
        <v>16</v>
      </c>
      <c r="L18" s="8" t="s">
        <v>17</v>
      </c>
      <c r="M18" s="10" t="s">
        <v>687</v>
      </c>
      <c r="N18" s="10" t="s">
        <v>717</v>
      </c>
      <c r="O18" s="10" t="s">
        <v>660</v>
      </c>
      <c r="P18" s="1"/>
      <c r="Q18" s="11" t="b">
        <f>O18=P18</f>
        <v>0</v>
      </c>
      <c r="R18" s="30">
        <v>30040669</v>
      </c>
      <c r="S18" s="1"/>
      <c r="T18" s="11" t="b">
        <f>R18=S18</f>
        <v>0</v>
      </c>
      <c r="U18" s="10" t="s">
        <v>16</v>
      </c>
      <c r="V18" s="1"/>
      <c r="W18" s="11" t="b">
        <f>U18=V18</f>
        <v>0</v>
      </c>
      <c r="X18" s="13" t="s">
        <v>15</v>
      </c>
      <c r="Y18" s="1"/>
      <c r="Z18" s="1"/>
      <c r="AA18" s="59">
        <v>22002723</v>
      </c>
      <c r="AB18" s="10" t="s">
        <v>1409</v>
      </c>
      <c r="AD18" s="11" t="b">
        <f>AB18=AC18</f>
        <v>0</v>
      </c>
      <c r="AE18" s="10" t="s">
        <v>20</v>
      </c>
      <c r="AF18" s="1"/>
      <c r="AG18" s="11" t="b">
        <f>AE18=AF18</f>
        <v>0</v>
      </c>
      <c r="AH18" s="1">
        <v>19</v>
      </c>
      <c r="AI18" s="1">
        <v>13.39</v>
      </c>
      <c r="AJ18" s="16">
        <f>AI18*220/30*30.4375</f>
        <v>2988.7595833333335</v>
      </c>
      <c r="AK18" s="18">
        <v>2988.76</v>
      </c>
      <c r="AL18" s="71" t="s">
        <v>660</v>
      </c>
      <c r="AM18" s="19" t="b">
        <f>AL18=O18</f>
        <v>1</v>
      </c>
      <c r="AN18" s="7">
        <f>VLOOKUP(A18,'base ZITRHR129'!$G$1:$H$628,2,0)</f>
        <v>30040669</v>
      </c>
      <c r="AO18" s="7" t="b">
        <f>AN18=R18</f>
        <v>1</v>
      </c>
      <c r="AP18" s="7">
        <f>VLOOKUP(A18,'base ZITRHR129'!G4:W630,17,0)</f>
        <v>2988.76</v>
      </c>
      <c r="AQ18" s="7" t="b">
        <f>AP18=AK18</f>
        <v>1</v>
      </c>
      <c r="AR18" s="69"/>
    </row>
    <row r="19" spans="1:44" s="7" customFormat="1" ht="12" x14ac:dyDescent="0.2">
      <c r="A19" s="7">
        <v>10014091</v>
      </c>
      <c r="B19" s="8" t="s">
        <v>43</v>
      </c>
      <c r="C19" s="8" t="s">
        <v>683</v>
      </c>
      <c r="D19" s="8" t="s">
        <v>717</v>
      </c>
      <c r="E19" s="8" t="s">
        <v>725</v>
      </c>
      <c r="F19" s="8" t="s">
        <v>1406</v>
      </c>
      <c r="G19" s="8" t="s">
        <v>754</v>
      </c>
      <c r="H19" s="9">
        <v>20</v>
      </c>
      <c r="I19" s="8" t="s">
        <v>656</v>
      </c>
      <c r="J19" s="8" t="s">
        <v>792</v>
      </c>
      <c r="K19" s="8" t="s">
        <v>6</v>
      </c>
      <c r="L19" s="8" t="s">
        <v>17</v>
      </c>
      <c r="M19" s="10" t="s">
        <v>683</v>
      </c>
      <c r="N19" s="10" t="s">
        <v>717</v>
      </c>
      <c r="O19" s="10" t="s">
        <v>656</v>
      </c>
      <c r="P19" s="1"/>
      <c r="Q19" s="11" t="b">
        <f>O19=P19</f>
        <v>0</v>
      </c>
      <c r="R19" s="30">
        <v>30040670</v>
      </c>
      <c r="S19" s="1"/>
      <c r="T19" s="11" t="b">
        <f>R19=S19</f>
        <v>0</v>
      </c>
      <c r="U19" s="10" t="s">
        <v>6</v>
      </c>
      <c r="V19" s="1"/>
      <c r="W19" s="11" t="b">
        <f>U19=V19</f>
        <v>0</v>
      </c>
      <c r="X19" s="13" t="s">
        <v>15</v>
      </c>
      <c r="Y19" s="1"/>
      <c r="Z19" s="1"/>
      <c r="AA19" s="59">
        <v>22002621</v>
      </c>
      <c r="AB19" s="10" t="s">
        <v>1409</v>
      </c>
      <c r="AD19" s="11" t="b">
        <f>AB19=AC19</f>
        <v>0</v>
      </c>
      <c r="AE19" s="10" t="s">
        <v>754</v>
      </c>
      <c r="AF19" s="1"/>
      <c r="AG19" s="11" t="b">
        <f>AE19=AF19</f>
        <v>0</v>
      </c>
      <c r="AH19" s="1">
        <v>20</v>
      </c>
      <c r="AI19" s="1">
        <v>24.47</v>
      </c>
      <c r="AJ19" s="16">
        <f>AI19*220/30*30.4375</f>
        <v>5461.9079166666661</v>
      </c>
      <c r="AK19" s="18">
        <v>5461.91</v>
      </c>
      <c r="AL19" s="71" t="s">
        <v>656</v>
      </c>
      <c r="AM19" s="19" t="b">
        <f>AL19=O19</f>
        <v>1</v>
      </c>
      <c r="AN19" s="7">
        <f>VLOOKUP(A19,'base ZITRHR129'!$G$1:$H$628,2,0)</f>
        <v>30040670</v>
      </c>
      <c r="AO19" s="7" t="b">
        <f>AN19=R19</f>
        <v>1</v>
      </c>
      <c r="AP19" s="7">
        <f>VLOOKUP(A19,'base ZITRHR129'!G3:W629,17,0)</f>
        <v>5461.91</v>
      </c>
      <c r="AQ19" s="7" t="b">
        <f>AP19=AK19</f>
        <v>1</v>
      </c>
      <c r="AR19" s="69"/>
    </row>
    <row r="20" spans="1:44" s="7" customFormat="1" ht="12" x14ac:dyDescent="0.2">
      <c r="A20" s="7">
        <v>10014732</v>
      </c>
      <c r="B20" s="8" t="s">
        <v>44</v>
      </c>
      <c r="C20" s="8" t="s">
        <v>682</v>
      </c>
      <c r="D20" s="8" t="s">
        <v>717</v>
      </c>
      <c r="E20" s="8" t="s">
        <v>720</v>
      </c>
      <c r="F20" s="8" t="s">
        <v>1406</v>
      </c>
      <c r="G20" s="8" t="s">
        <v>751</v>
      </c>
      <c r="H20" s="9">
        <v>18</v>
      </c>
      <c r="I20" s="8" t="s">
        <v>655</v>
      </c>
      <c r="J20" s="8" t="s">
        <v>793</v>
      </c>
      <c r="K20" s="8" t="s">
        <v>16</v>
      </c>
      <c r="L20" s="8" t="s">
        <v>17</v>
      </c>
      <c r="M20" s="10" t="s">
        <v>682</v>
      </c>
      <c r="N20" s="10" t="s">
        <v>717</v>
      </c>
      <c r="O20" s="10" t="s">
        <v>655</v>
      </c>
      <c r="P20" s="1"/>
      <c r="Q20" s="11" t="b">
        <f>O20=P20</f>
        <v>0</v>
      </c>
      <c r="R20" s="30">
        <v>30040671</v>
      </c>
      <c r="S20" s="1"/>
      <c r="T20" s="11" t="b">
        <f>R20=S20</f>
        <v>0</v>
      </c>
      <c r="U20" s="10" t="s">
        <v>16</v>
      </c>
      <c r="V20" s="1"/>
      <c r="W20" s="11" t="b">
        <f>U20=V20</f>
        <v>0</v>
      </c>
      <c r="X20" s="13" t="s">
        <v>15</v>
      </c>
      <c r="Y20" s="1"/>
      <c r="Z20" s="1"/>
      <c r="AA20" s="59">
        <v>22003015</v>
      </c>
      <c r="AB20" s="10" t="s">
        <v>1409</v>
      </c>
      <c r="AD20" s="11" t="b">
        <f>AB20=AC20</f>
        <v>0</v>
      </c>
      <c r="AE20" s="10" t="s">
        <v>751</v>
      </c>
      <c r="AF20" s="1"/>
      <c r="AG20" s="11" t="b">
        <f>AE20=AF20</f>
        <v>0</v>
      </c>
      <c r="AH20" s="1">
        <v>18</v>
      </c>
      <c r="AI20" s="1">
        <v>17.73</v>
      </c>
      <c r="AJ20" s="16">
        <f>AI20*220/30*30.4375</f>
        <v>3957.4837500000003</v>
      </c>
      <c r="AK20" s="18">
        <v>3957.48</v>
      </c>
      <c r="AL20" s="71" t="s">
        <v>655</v>
      </c>
      <c r="AM20" s="19" t="b">
        <f>AL20=O20</f>
        <v>1</v>
      </c>
      <c r="AN20" s="7">
        <f>VLOOKUP(A20,'base ZITRHR129'!$G$1:$H$628,2,0)</f>
        <v>30040671</v>
      </c>
      <c r="AO20" s="7" t="b">
        <f>AN20=R20</f>
        <v>1</v>
      </c>
      <c r="AP20" s="7">
        <f>VLOOKUP(A20,'base ZITRHR129'!G2:W628,17,0)</f>
        <v>3957.48</v>
      </c>
      <c r="AQ20" s="7" t="b">
        <f>AP20=AK20</f>
        <v>1</v>
      </c>
      <c r="AR20" s="69"/>
    </row>
    <row r="21" spans="1:44" s="7" customFormat="1" ht="12" x14ac:dyDescent="0.2">
      <c r="A21" s="7">
        <v>10014840</v>
      </c>
      <c r="B21" s="8" t="s">
        <v>45</v>
      </c>
      <c r="C21" s="8" t="s">
        <v>688</v>
      </c>
      <c r="D21" s="8" t="s">
        <v>717</v>
      </c>
      <c r="E21" s="8" t="s">
        <v>723</v>
      </c>
      <c r="F21" s="8" t="s">
        <v>1406</v>
      </c>
      <c r="G21" s="8" t="s">
        <v>19</v>
      </c>
      <c r="H21" s="9">
        <v>16</v>
      </c>
      <c r="I21" s="8" t="s">
        <v>661</v>
      </c>
      <c r="J21" s="8" t="s">
        <v>794</v>
      </c>
      <c r="K21" s="8" t="s">
        <v>16</v>
      </c>
      <c r="L21" s="8" t="s">
        <v>17</v>
      </c>
      <c r="M21" s="10" t="s">
        <v>688</v>
      </c>
      <c r="N21" s="10" t="s">
        <v>717</v>
      </c>
      <c r="O21" s="10" t="s">
        <v>661</v>
      </c>
      <c r="P21" s="1"/>
      <c r="Q21" s="11" t="b">
        <f>O21=P21</f>
        <v>0</v>
      </c>
      <c r="R21" s="30">
        <v>30040672</v>
      </c>
      <c r="S21" s="1"/>
      <c r="T21" s="11" t="b">
        <f>R21=S21</f>
        <v>0</v>
      </c>
      <c r="U21" s="10" t="s">
        <v>16</v>
      </c>
      <c r="V21" s="1"/>
      <c r="W21" s="11" t="b">
        <f>U21=V21</f>
        <v>0</v>
      </c>
      <c r="X21" s="13" t="s">
        <v>15</v>
      </c>
      <c r="Y21" s="1"/>
      <c r="Z21" s="1"/>
      <c r="AA21" s="59">
        <v>22002460</v>
      </c>
      <c r="AB21" s="10" t="s">
        <v>1409</v>
      </c>
      <c r="AD21" s="11" t="b">
        <f>AB21=AC21</f>
        <v>0</v>
      </c>
      <c r="AE21" s="10" t="s">
        <v>19</v>
      </c>
      <c r="AF21" s="1"/>
      <c r="AG21" s="11" t="b">
        <f>AE21=AF21</f>
        <v>0</v>
      </c>
      <c r="AH21" s="1">
        <v>16</v>
      </c>
      <c r="AI21" s="1">
        <v>10.26</v>
      </c>
      <c r="AJ21" s="16">
        <f>AI21*220/30*30.4375</f>
        <v>2290.1174999999998</v>
      </c>
      <c r="AK21" s="18">
        <v>2290.12</v>
      </c>
      <c r="AL21" s="71" t="s">
        <v>661</v>
      </c>
      <c r="AM21" s="19" t="b">
        <f>AL21=O21</f>
        <v>1</v>
      </c>
      <c r="AN21" s="7">
        <f>VLOOKUP(A21,'base ZITRHR129'!$G$1:$H$628,2,0)</f>
        <v>30040672</v>
      </c>
      <c r="AO21" s="7" t="b">
        <f>AN21=R21</f>
        <v>1</v>
      </c>
      <c r="AP21" s="7">
        <f>VLOOKUP(A21,'base ZITRHR129'!G21:W647,17,0)</f>
        <v>2290.12</v>
      </c>
      <c r="AQ21" s="7" t="b">
        <f>AP21=AK21</f>
        <v>1</v>
      </c>
      <c r="AR21" s="69"/>
    </row>
    <row r="22" spans="1:44" s="7" customFormat="1" ht="12" x14ac:dyDescent="0.2">
      <c r="A22" s="7">
        <v>10015464</v>
      </c>
      <c r="B22" s="8" t="s">
        <v>46</v>
      </c>
      <c r="C22" s="8" t="s">
        <v>689</v>
      </c>
      <c r="D22" s="8" t="s">
        <v>717</v>
      </c>
      <c r="E22" s="8" t="s">
        <v>718</v>
      </c>
      <c r="F22" s="8" t="s">
        <v>1406</v>
      </c>
      <c r="G22" s="8" t="s">
        <v>750</v>
      </c>
      <c r="H22" s="9">
        <v>19</v>
      </c>
      <c r="I22" s="8" t="s">
        <v>662</v>
      </c>
      <c r="J22" s="8" t="s">
        <v>795</v>
      </c>
      <c r="K22" s="8" t="s">
        <v>16</v>
      </c>
      <c r="L22" s="8" t="s">
        <v>17</v>
      </c>
      <c r="M22" s="10" t="s">
        <v>689</v>
      </c>
      <c r="N22" s="10" t="s">
        <v>717</v>
      </c>
      <c r="O22" s="10" t="s">
        <v>662</v>
      </c>
      <c r="P22" s="1"/>
      <c r="Q22" s="11" t="b">
        <f>O22=P22</f>
        <v>0</v>
      </c>
      <c r="R22" s="30">
        <v>30040673</v>
      </c>
      <c r="S22" s="1"/>
      <c r="T22" s="11" t="b">
        <f>R22=S22</f>
        <v>0</v>
      </c>
      <c r="U22" s="10" t="s">
        <v>16</v>
      </c>
      <c r="V22" s="1"/>
      <c r="W22" s="11" t="b">
        <f>U22=V22</f>
        <v>0</v>
      </c>
      <c r="X22" s="13" t="s">
        <v>15</v>
      </c>
      <c r="Y22" s="1"/>
      <c r="Z22" s="1"/>
      <c r="AA22" s="59">
        <v>22003022</v>
      </c>
      <c r="AB22" s="10" t="s">
        <v>1409</v>
      </c>
      <c r="AD22" s="11" t="b">
        <f>AB22=AC22</f>
        <v>0</v>
      </c>
      <c r="AE22" s="10" t="s">
        <v>750</v>
      </c>
      <c r="AF22" s="1"/>
      <c r="AG22" s="11" t="b">
        <f>AE22=AF22</f>
        <v>0</v>
      </c>
      <c r="AH22" s="1">
        <v>19</v>
      </c>
      <c r="AI22" s="1">
        <v>18.62</v>
      </c>
      <c r="AJ22" s="16">
        <f>AI22*220/30*30.4375</f>
        <v>4156.1391666666668</v>
      </c>
      <c r="AK22" s="18">
        <v>4156.1400000000003</v>
      </c>
      <c r="AL22" s="71" t="s">
        <v>662</v>
      </c>
      <c r="AM22" s="19" t="b">
        <f>AL22=O22</f>
        <v>1</v>
      </c>
      <c r="AN22" s="7">
        <f>VLOOKUP(A22,'base ZITRHR129'!$G$1:$H$628,2,0)</f>
        <v>30040673</v>
      </c>
      <c r="AO22" s="7" t="b">
        <f>AN22=R22</f>
        <v>1</v>
      </c>
      <c r="AP22" s="7">
        <f>VLOOKUP(A22,'base ZITRHR129'!G20:W646,17,0)</f>
        <v>4156.1400000000003</v>
      </c>
      <c r="AQ22" s="7" t="b">
        <f>AP22=AK22</f>
        <v>1</v>
      </c>
      <c r="AR22" s="69"/>
    </row>
    <row r="23" spans="1:44" s="7" customFormat="1" ht="12" x14ac:dyDescent="0.2">
      <c r="A23" s="7">
        <v>10016441</v>
      </c>
      <c r="B23" s="8" t="s">
        <v>47</v>
      </c>
      <c r="C23" s="8" t="s">
        <v>690</v>
      </c>
      <c r="D23" s="8" t="s">
        <v>717</v>
      </c>
      <c r="E23" s="8" t="s">
        <v>726</v>
      </c>
      <c r="F23" s="8" t="s">
        <v>1406</v>
      </c>
      <c r="G23" s="8" t="s">
        <v>755</v>
      </c>
      <c r="H23" s="9">
        <v>15</v>
      </c>
      <c r="I23" s="8" t="s">
        <v>663</v>
      </c>
      <c r="J23" s="8" t="s">
        <v>796</v>
      </c>
      <c r="K23" s="8" t="s">
        <v>16</v>
      </c>
      <c r="L23" s="8" t="s">
        <v>17</v>
      </c>
      <c r="M23" s="10" t="s">
        <v>690</v>
      </c>
      <c r="N23" s="10" t="s">
        <v>717</v>
      </c>
      <c r="O23" s="10" t="s">
        <v>663</v>
      </c>
      <c r="P23" s="1"/>
      <c r="Q23" s="11" t="b">
        <f>O23=P23</f>
        <v>0</v>
      </c>
      <c r="R23" s="30">
        <v>30040674</v>
      </c>
      <c r="S23" s="1"/>
      <c r="T23" s="11" t="b">
        <f>R23=S23</f>
        <v>0</v>
      </c>
      <c r="U23" s="10" t="s">
        <v>16</v>
      </c>
      <c r="V23" s="1"/>
      <c r="W23" s="11" t="b">
        <f>U23=V23</f>
        <v>0</v>
      </c>
      <c r="X23" s="13" t="s">
        <v>15</v>
      </c>
      <c r="Y23" s="1"/>
      <c r="Z23" s="1"/>
      <c r="AA23" s="10">
        <v>22002617</v>
      </c>
      <c r="AB23" s="10" t="s">
        <v>1409</v>
      </c>
      <c r="AD23" s="11" t="b">
        <f>AB23=AC23</f>
        <v>0</v>
      </c>
      <c r="AE23" s="10" t="s">
        <v>755</v>
      </c>
      <c r="AF23" s="1"/>
      <c r="AG23" s="11" t="b">
        <f>AE23=AF23</f>
        <v>0</v>
      </c>
      <c r="AH23" s="1">
        <v>15</v>
      </c>
      <c r="AI23" s="1">
        <v>11.43</v>
      </c>
      <c r="AJ23" s="16">
        <f>AI23*220/30*30.4375</f>
        <v>2551.2712499999998</v>
      </c>
      <c r="AK23" s="18">
        <v>2551.27</v>
      </c>
      <c r="AL23" s="71" t="s">
        <v>663</v>
      </c>
      <c r="AM23" s="19" t="b">
        <f>AL23=O23</f>
        <v>1</v>
      </c>
      <c r="AN23" s="7">
        <f>VLOOKUP(A23,'base ZITRHR129'!$G$1:$H$628,2,0)</f>
        <v>30040674</v>
      </c>
      <c r="AO23" s="7" t="b">
        <f>AN23=R23</f>
        <v>1</v>
      </c>
      <c r="AP23" s="7">
        <f>VLOOKUP(A23,'base ZITRHR129'!G19:W645,17,0)</f>
        <v>2551.27</v>
      </c>
      <c r="AQ23" s="7" t="b">
        <f>AP23=AK23</f>
        <v>1</v>
      </c>
      <c r="AR23" s="69"/>
    </row>
    <row r="24" spans="1:44" s="7" customFormat="1" ht="12" x14ac:dyDescent="0.2">
      <c r="A24" s="7">
        <v>10016465</v>
      </c>
      <c r="B24" s="8" t="s">
        <v>48</v>
      </c>
      <c r="C24" s="8" t="s">
        <v>682</v>
      </c>
      <c r="D24" s="8" t="s">
        <v>717</v>
      </c>
      <c r="E24" s="8" t="s">
        <v>720</v>
      </c>
      <c r="F24" s="8" t="s">
        <v>1406</v>
      </c>
      <c r="G24" s="8" t="s">
        <v>751</v>
      </c>
      <c r="H24" s="9">
        <v>18</v>
      </c>
      <c r="I24" s="8" t="s">
        <v>655</v>
      </c>
      <c r="J24" s="8" t="s">
        <v>797</v>
      </c>
      <c r="K24" s="8" t="s">
        <v>16</v>
      </c>
      <c r="L24" s="8" t="s">
        <v>17</v>
      </c>
      <c r="M24" s="10" t="s">
        <v>682</v>
      </c>
      <c r="N24" s="10" t="s">
        <v>717</v>
      </c>
      <c r="O24" s="10" t="s">
        <v>655</v>
      </c>
      <c r="P24" s="1"/>
      <c r="Q24" s="11" t="b">
        <f>O24=P24</f>
        <v>0</v>
      </c>
      <c r="R24" s="30">
        <v>30040700</v>
      </c>
      <c r="S24" s="1"/>
      <c r="T24" s="11" t="b">
        <f>R24=S24</f>
        <v>0</v>
      </c>
      <c r="U24" s="10" t="s">
        <v>16</v>
      </c>
      <c r="V24" s="1"/>
      <c r="W24" s="11" t="b">
        <f>U24=V24</f>
        <v>0</v>
      </c>
      <c r="X24" s="13" t="s">
        <v>15</v>
      </c>
      <c r="Y24" s="1"/>
      <c r="Z24" s="1"/>
      <c r="AA24" s="10">
        <v>22003015</v>
      </c>
      <c r="AB24" s="10" t="s">
        <v>1409</v>
      </c>
      <c r="AD24" s="11" t="b">
        <f>AB24=AC24</f>
        <v>0</v>
      </c>
      <c r="AE24" s="10" t="s">
        <v>751</v>
      </c>
      <c r="AF24" s="1"/>
      <c r="AG24" s="11" t="b">
        <f>AE24=AF24</f>
        <v>0</v>
      </c>
      <c r="AH24" s="1">
        <v>18</v>
      </c>
      <c r="AI24" s="1">
        <v>17.73</v>
      </c>
      <c r="AJ24" s="16">
        <f>AI24*220/30*30.4375</f>
        <v>3957.4837500000003</v>
      </c>
      <c r="AK24" s="18">
        <v>3957.48</v>
      </c>
      <c r="AL24" s="71" t="s">
        <v>655</v>
      </c>
      <c r="AM24" s="19" t="b">
        <f>AL24=O24</f>
        <v>1</v>
      </c>
      <c r="AN24" s="7">
        <f>VLOOKUP(A24,'base ZITRHR129'!$G$1:$H$628,2,0)</f>
        <v>30040700</v>
      </c>
      <c r="AO24" s="7" t="b">
        <f>AN24=R24</f>
        <v>1</v>
      </c>
      <c r="AP24" s="7">
        <f>VLOOKUP(A24,'base ZITRHR129'!G18:W644,17,0)</f>
        <v>3957.48</v>
      </c>
      <c r="AQ24" s="7" t="b">
        <f>AP24=AK24</f>
        <v>1</v>
      </c>
      <c r="AR24" s="69"/>
    </row>
    <row r="25" spans="1:44" s="7" customFormat="1" ht="12" x14ac:dyDescent="0.2">
      <c r="A25" s="7">
        <v>10016495</v>
      </c>
      <c r="B25" s="8" t="s">
        <v>49</v>
      </c>
      <c r="C25" s="8" t="s">
        <v>679</v>
      </c>
      <c r="D25" s="8" t="s">
        <v>717</v>
      </c>
      <c r="E25" s="8" t="s">
        <v>720</v>
      </c>
      <c r="F25" s="8" t="s">
        <v>1406</v>
      </c>
      <c r="G25" s="8" t="s">
        <v>751</v>
      </c>
      <c r="H25" s="9">
        <v>18</v>
      </c>
      <c r="I25" s="8" t="s">
        <v>653</v>
      </c>
      <c r="J25" s="8" t="s">
        <v>798</v>
      </c>
      <c r="K25" s="8" t="s">
        <v>16</v>
      </c>
      <c r="L25" s="8" t="s">
        <v>17</v>
      </c>
      <c r="M25" s="10" t="s">
        <v>679</v>
      </c>
      <c r="N25" s="10" t="s">
        <v>717</v>
      </c>
      <c r="O25" s="10" t="s">
        <v>653</v>
      </c>
      <c r="P25" s="1"/>
      <c r="Q25" s="11" t="b">
        <f>O25=P25</f>
        <v>0</v>
      </c>
      <c r="R25" s="30">
        <v>30040701</v>
      </c>
      <c r="S25" s="1"/>
      <c r="T25" s="11" t="b">
        <f>R25=S25</f>
        <v>0</v>
      </c>
      <c r="U25" s="10" t="s">
        <v>16</v>
      </c>
      <c r="V25" s="1"/>
      <c r="W25" s="11" t="b">
        <f>U25=V25</f>
        <v>0</v>
      </c>
      <c r="X25" s="13" t="s">
        <v>15</v>
      </c>
      <c r="Y25" s="1"/>
      <c r="Z25" s="1"/>
      <c r="AA25" s="10">
        <v>22003015</v>
      </c>
      <c r="AB25" s="10" t="s">
        <v>1409</v>
      </c>
      <c r="AD25" s="11" t="b">
        <f>AB25=AC25</f>
        <v>0</v>
      </c>
      <c r="AE25" s="10" t="s">
        <v>751</v>
      </c>
      <c r="AF25" s="1"/>
      <c r="AG25" s="11" t="b">
        <f>AE25=AF25</f>
        <v>0</v>
      </c>
      <c r="AH25" s="1">
        <v>18</v>
      </c>
      <c r="AI25" s="1">
        <v>17.73</v>
      </c>
      <c r="AJ25" s="16">
        <f>AI25*220/30*30.4375</f>
        <v>3957.4837500000003</v>
      </c>
      <c r="AK25" s="18">
        <v>3957.48</v>
      </c>
      <c r="AL25" s="71" t="s">
        <v>653</v>
      </c>
      <c r="AM25" s="19" t="b">
        <f>AL25=O25</f>
        <v>1</v>
      </c>
      <c r="AN25" s="7">
        <f>VLOOKUP(A25,'base ZITRHR129'!$G$1:$H$628,2,0)</f>
        <v>30040701</v>
      </c>
      <c r="AO25" s="7" t="b">
        <f>AN25=R25</f>
        <v>1</v>
      </c>
      <c r="AP25" s="7">
        <f>VLOOKUP(A25,'base ZITRHR129'!G17:W643,17,0)</f>
        <v>3957.48</v>
      </c>
      <c r="AQ25" s="7" t="b">
        <f>AP25=AK25</f>
        <v>1</v>
      </c>
      <c r="AR25" s="69"/>
    </row>
    <row r="26" spans="1:44" s="7" customFormat="1" ht="12" x14ac:dyDescent="0.2">
      <c r="A26" s="7">
        <v>10016875</v>
      </c>
      <c r="B26" s="8" t="s">
        <v>50</v>
      </c>
      <c r="C26" s="8" t="s">
        <v>691</v>
      </c>
      <c r="D26" s="8" t="s">
        <v>717</v>
      </c>
      <c r="E26" s="8" t="s">
        <v>727</v>
      </c>
      <c r="F26" s="8" t="s">
        <v>1406</v>
      </c>
      <c r="G26" s="8" t="s">
        <v>756</v>
      </c>
      <c r="H26" s="9">
        <v>17</v>
      </c>
      <c r="I26" s="8" t="s">
        <v>664</v>
      </c>
      <c r="J26" s="8" t="s">
        <v>799</v>
      </c>
      <c r="K26" s="8" t="s">
        <v>16</v>
      </c>
      <c r="L26" s="8" t="s">
        <v>17</v>
      </c>
      <c r="M26" s="10" t="s">
        <v>691</v>
      </c>
      <c r="N26" s="10" t="s">
        <v>717</v>
      </c>
      <c r="O26" s="10" t="s">
        <v>664</v>
      </c>
      <c r="P26" s="1"/>
      <c r="Q26" s="11" t="b">
        <f>O26=P26</f>
        <v>0</v>
      </c>
      <c r="R26" s="30">
        <v>30040702</v>
      </c>
      <c r="S26" s="1"/>
      <c r="T26" s="11" t="b">
        <f>R26=S26</f>
        <v>0</v>
      </c>
      <c r="U26" s="10" t="s">
        <v>16</v>
      </c>
      <c r="V26" s="1"/>
      <c r="W26" s="11" t="b">
        <f>U26=V26</f>
        <v>0</v>
      </c>
      <c r="X26" s="13" t="s">
        <v>15</v>
      </c>
      <c r="Y26" s="1"/>
      <c r="Z26" s="1"/>
      <c r="AA26" s="10">
        <v>22003017</v>
      </c>
      <c r="AB26" s="10" t="s">
        <v>1409</v>
      </c>
      <c r="AD26" s="11" t="b">
        <f>AB26=AC26</f>
        <v>0</v>
      </c>
      <c r="AE26" s="10" t="s">
        <v>756</v>
      </c>
      <c r="AF26" s="1"/>
      <c r="AG26" s="11" t="b">
        <f>AE26=AF26</f>
        <v>0</v>
      </c>
      <c r="AH26" s="1">
        <v>17</v>
      </c>
      <c r="AI26" s="1">
        <v>14.04</v>
      </c>
      <c r="AJ26" s="16">
        <f>AI26*220/30*30.4375</f>
        <v>3133.8449999999998</v>
      </c>
      <c r="AK26" s="18">
        <v>3133.85</v>
      </c>
      <c r="AL26" s="71" t="s">
        <v>664</v>
      </c>
      <c r="AM26" s="19" t="b">
        <f>AL26=O26</f>
        <v>1</v>
      </c>
      <c r="AN26" s="7">
        <f>VLOOKUP(A26,'base ZITRHR129'!$G$1:$H$628,2,0)</f>
        <v>30040702</v>
      </c>
      <c r="AO26" s="7" t="b">
        <f>AN26=R26</f>
        <v>1</v>
      </c>
      <c r="AP26" s="7">
        <f>VLOOKUP(A26,'base ZITRHR129'!G16:W642,17,0)</f>
        <v>3133.85</v>
      </c>
      <c r="AQ26" s="7" t="b">
        <f>AP26=AK26</f>
        <v>1</v>
      </c>
      <c r="AR26" s="69"/>
    </row>
    <row r="27" spans="1:44" s="7" customFormat="1" ht="12" x14ac:dyDescent="0.2">
      <c r="A27" s="7">
        <v>10017236</v>
      </c>
      <c r="B27" s="8" t="s">
        <v>51</v>
      </c>
      <c r="C27" s="8" t="s">
        <v>681</v>
      </c>
      <c r="D27" s="8" t="s">
        <v>717</v>
      </c>
      <c r="E27" s="8" t="s">
        <v>720</v>
      </c>
      <c r="F27" s="8" t="s">
        <v>1406</v>
      </c>
      <c r="G27" s="8" t="s">
        <v>751</v>
      </c>
      <c r="H27" s="9">
        <v>18</v>
      </c>
      <c r="I27" s="8" t="s">
        <v>653</v>
      </c>
      <c r="J27" s="8" t="s">
        <v>800</v>
      </c>
      <c r="K27" s="8" t="s">
        <v>16</v>
      </c>
      <c r="L27" s="8" t="s">
        <v>17</v>
      </c>
      <c r="M27" s="10" t="s">
        <v>681</v>
      </c>
      <c r="N27" s="10" t="s">
        <v>717</v>
      </c>
      <c r="O27" s="10" t="s">
        <v>653</v>
      </c>
      <c r="P27" s="1"/>
      <c r="Q27" s="11" t="b">
        <f>O27=P27</f>
        <v>0</v>
      </c>
      <c r="R27" s="30">
        <v>30040703</v>
      </c>
      <c r="S27" s="1"/>
      <c r="T27" s="11" t="b">
        <f>R27=S27</f>
        <v>0</v>
      </c>
      <c r="U27" s="10" t="s">
        <v>16</v>
      </c>
      <c r="V27" s="1"/>
      <c r="W27" s="11" t="b">
        <f>U27=V27</f>
        <v>0</v>
      </c>
      <c r="X27" s="13" t="s">
        <v>15</v>
      </c>
      <c r="Y27" s="1"/>
      <c r="Z27" s="1"/>
      <c r="AA27" s="59">
        <v>22003015</v>
      </c>
      <c r="AB27" s="10" t="s">
        <v>1409</v>
      </c>
      <c r="AD27" s="11" t="b">
        <f>AB27=AC27</f>
        <v>0</v>
      </c>
      <c r="AE27" s="10" t="s">
        <v>751</v>
      </c>
      <c r="AF27" s="1"/>
      <c r="AG27" s="11" t="b">
        <f>AE27=AF27</f>
        <v>0</v>
      </c>
      <c r="AH27" s="1">
        <v>18</v>
      </c>
      <c r="AI27" s="1">
        <v>17.73</v>
      </c>
      <c r="AJ27" s="16">
        <f>AI27*220/30*30.4375</f>
        <v>3957.4837500000003</v>
      </c>
      <c r="AK27" s="18">
        <v>3957.48</v>
      </c>
      <c r="AL27" s="71" t="s">
        <v>653</v>
      </c>
      <c r="AM27" s="19" t="b">
        <f>AL27=O27</f>
        <v>1</v>
      </c>
      <c r="AN27" s="7">
        <f>VLOOKUP(A27,'base ZITRHR129'!$G$1:$H$628,2,0)</f>
        <v>30040703</v>
      </c>
      <c r="AO27" s="7" t="b">
        <f>AN27=R27</f>
        <v>1</v>
      </c>
      <c r="AP27" s="7">
        <f>VLOOKUP(A27,'base ZITRHR129'!G15:W641,17,0)</f>
        <v>3957.48</v>
      </c>
      <c r="AQ27" s="7" t="b">
        <f>AP27=AK27</f>
        <v>1</v>
      </c>
      <c r="AR27" s="69"/>
    </row>
    <row r="28" spans="1:44" s="7" customFormat="1" ht="12" x14ac:dyDescent="0.2">
      <c r="A28" s="7">
        <v>10017411</v>
      </c>
      <c r="B28" s="8" t="s">
        <v>52</v>
      </c>
      <c r="C28" s="8" t="s">
        <v>692</v>
      </c>
      <c r="D28" s="8" t="s">
        <v>717</v>
      </c>
      <c r="E28" s="8" t="s">
        <v>722</v>
      </c>
      <c r="F28" s="8" t="s">
        <v>1406</v>
      </c>
      <c r="G28" s="8" t="s">
        <v>753</v>
      </c>
      <c r="H28" s="9">
        <v>19</v>
      </c>
      <c r="I28" s="8" t="s">
        <v>665</v>
      </c>
      <c r="J28" s="8" t="s">
        <v>801</v>
      </c>
      <c r="K28" s="8" t="s">
        <v>6</v>
      </c>
      <c r="L28" s="8" t="s">
        <v>17</v>
      </c>
      <c r="M28" s="10" t="s">
        <v>692</v>
      </c>
      <c r="N28" s="10" t="s">
        <v>717</v>
      </c>
      <c r="O28" s="10" t="s">
        <v>665</v>
      </c>
      <c r="P28" s="1"/>
      <c r="Q28" s="11" t="b">
        <f>O28=P28</f>
        <v>0</v>
      </c>
      <c r="R28" s="30">
        <v>30040704</v>
      </c>
      <c r="S28" s="1"/>
      <c r="T28" s="11" t="b">
        <f>R28=S28</f>
        <v>0</v>
      </c>
      <c r="U28" s="10" t="s">
        <v>6</v>
      </c>
      <c r="V28" s="1"/>
      <c r="W28" s="11" t="b">
        <f>U28=V28</f>
        <v>0</v>
      </c>
      <c r="X28" s="13" t="s">
        <v>15</v>
      </c>
      <c r="Y28" s="1"/>
      <c r="Z28" s="1"/>
      <c r="AA28" s="59">
        <v>22002695</v>
      </c>
      <c r="AB28" s="10" t="s">
        <v>1409</v>
      </c>
      <c r="AD28" s="11" t="b">
        <f>AB28=AC28</f>
        <v>0</v>
      </c>
      <c r="AE28" s="10" t="s">
        <v>753</v>
      </c>
      <c r="AF28" s="1"/>
      <c r="AG28" s="11" t="b">
        <f>AE28=AF28</f>
        <v>0</v>
      </c>
      <c r="AH28" s="1">
        <v>19</v>
      </c>
      <c r="AI28" s="1">
        <v>18.510000000000002</v>
      </c>
      <c r="AJ28" s="16">
        <f>AI28*220/30*30.4375</f>
        <v>4131.5862500000003</v>
      </c>
      <c r="AK28" s="18">
        <v>4131.59</v>
      </c>
      <c r="AL28" s="71" t="s">
        <v>665</v>
      </c>
      <c r="AM28" s="19" t="b">
        <f>AL28=O28</f>
        <v>1</v>
      </c>
      <c r="AN28" s="7">
        <f>VLOOKUP(A28,'base ZITRHR129'!$G$1:$H$628,2,0)</f>
        <v>30040704</v>
      </c>
      <c r="AO28" s="7" t="b">
        <f>AN28=R28</f>
        <v>1</v>
      </c>
      <c r="AP28" s="7">
        <f>VLOOKUP(A28,'base ZITRHR129'!G14:W640,17,0)</f>
        <v>4131.59</v>
      </c>
      <c r="AQ28" s="7" t="b">
        <f>AP28=AK28</f>
        <v>1</v>
      </c>
      <c r="AR28" s="69"/>
    </row>
    <row r="29" spans="1:44" s="7" customFormat="1" ht="12" x14ac:dyDescent="0.2">
      <c r="A29" s="7">
        <v>10017451</v>
      </c>
      <c r="B29" s="8" t="s">
        <v>53</v>
      </c>
      <c r="C29" s="8" t="s">
        <v>681</v>
      </c>
      <c r="D29" s="8" t="s">
        <v>717</v>
      </c>
      <c r="E29" s="8" t="s">
        <v>720</v>
      </c>
      <c r="F29" s="8" t="s">
        <v>1406</v>
      </c>
      <c r="G29" s="8" t="s">
        <v>751</v>
      </c>
      <c r="H29" s="9">
        <v>18</v>
      </c>
      <c r="I29" s="8" t="s">
        <v>653</v>
      </c>
      <c r="J29" s="8" t="s">
        <v>802</v>
      </c>
      <c r="K29" s="8" t="s">
        <v>16</v>
      </c>
      <c r="L29" s="8" t="s">
        <v>17</v>
      </c>
      <c r="M29" s="10" t="s">
        <v>681</v>
      </c>
      <c r="N29" s="10" t="s">
        <v>717</v>
      </c>
      <c r="O29" s="10" t="s">
        <v>653</v>
      </c>
      <c r="P29" s="1"/>
      <c r="Q29" s="11" t="b">
        <f>O29=P29</f>
        <v>0</v>
      </c>
      <c r="R29" s="30">
        <v>30040705</v>
      </c>
      <c r="S29" s="1"/>
      <c r="T29" s="11" t="b">
        <f>R29=S29</f>
        <v>0</v>
      </c>
      <c r="U29" s="10" t="s">
        <v>16</v>
      </c>
      <c r="V29" s="1"/>
      <c r="W29" s="11" t="b">
        <f>U29=V29</f>
        <v>0</v>
      </c>
      <c r="X29" s="13" t="s">
        <v>15</v>
      </c>
      <c r="Y29" s="1"/>
      <c r="Z29" s="1"/>
      <c r="AA29" s="59">
        <v>22003015</v>
      </c>
      <c r="AB29" s="10" t="s">
        <v>1409</v>
      </c>
      <c r="AD29" s="11" t="b">
        <f>AB29=AC29</f>
        <v>0</v>
      </c>
      <c r="AE29" s="10" t="s">
        <v>751</v>
      </c>
      <c r="AF29" s="1"/>
      <c r="AG29" s="11" t="b">
        <f>AE29=AF29</f>
        <v>0</v>
      </c>
      <c r="AH29" s="1">
        <v>18</v>
      </c>
      <c r="AI29" s="1">
        <v>17.73</v>
      </c>
      <c r="AJ29" s="16">
        <f>AI29*220/30*30.4375</f>
        <v>3957.4837500000003</v>
      </c>
      <c r="AK29" s="18">
        <v>3957.48</v>
      </c>
      <c r="AL29" s="71" t="s">
        <v>653</v>
      </c>
      <c r="AM29" s="19" t="b">
        <f>AL29=O29</f>
        <v>1</v>
      </c>
      <c r="AN29" s="7">
        <f>VLOOKUP(A29,'base ZITRHR129'!$G$1:$H$628,2,0)</f>
        <v>30040705</v>
      </c>
      <c r="AO29" s="7" t="b">
        <f>AN29=R29</f>
        <v>1</v>
      </c>
      <c r="AP29" s="7">
        <f>VLOOKUP(A29,'base ZITRHR129'!G13:W639,17,0)</f>
        <v>3957.48</v>
      </c>
      <c r="AQ29" s="7" t="b">
        <f>AP29=AK29</f>
        <v>1</v>
      </c>
      <c r="AR29" s="69"/>
    </row>
    <row r="30" spans="1:44" s="7" customFormat="1" ht="12" x14ac:dyDescent="0.2">
      <c r="A30" s="7">
        <v>10017730</v>
      </c>
      <c r="B30" s="8" t="s">
        <v>54</v>
      </c>
      <c r="C30" s="8" t="s">
        <v>693</v>
      </c>
      <c r="D30" s="8" t="s">
        <v>717</v>
      </c>
      <c r="E30" s="8" t="s">
        <v>728</v>
      </c>
      <c r="F30" s="8" t="s">
        <v>1406</v>
      </c>
      <c r="G30" s="8" t="s">
        <v>757</v>
      </c>
      <c r="H30" s="9">
        <v>13</v>
      </c>
      <c r="I30" s="8" t="s">
        <v>666</v>
      </c>
      <c r="J30" s="8" t="s">
        <v>803</v>
      </c>
      <c r="K30" s="8" t="s">
        <v>16</v>
      </c>
      <c r="L30" s="8" t="s">
        <v>17</v>
      </c>
      <c r="M30" s="10" t="s">
        <v>693</v>
      </c>
      <c r="N30" s="10" t="s">
        <v>717</v>
      </c>
      <c r="O30" s="10" t="s">
        <v>666</v>
      </c>
      <c r="P30" s="1"/>
      <c r="Q30" s="11" t="b">
        <f>O30=P30</f>
        <v>0</v>
      </c>
      <c r="R30" s="30">
        <v>30040706</v>
      </c>
      <c r="S30" s="1"/>
      <c r="T30" s="11" t="b">
        <f>R30=S30</f>
        <v>0</v>
      </c>
      <c r="U30" s="10" t="s">
        <v>16</v>
      </c>
      <c r="V30" s="1"/>
      <c r="W30" s="11" t="b">
        <f>U30=V30</f>
        <v>0</v>
      </c>
      <c r="X30" s="13" t="s">
        <v>15</v>
      </c>
      <c r="Y30" s="1"/>
      <c r="Z30" s="1"/>
      <c r="AA30" s="14">
        <v>22000878</v>
      </c>
      <c r="AB30" s="10" t="s">
        <v>1409</v>
      </c>
      <c r="AD30" s="11" t="b">
        <f>AB30=AC30</f>
        <v>0</v>
      </c>
      <c r="AE30" s="10" t="s">
        <v>757</v>
      </c>
      <c r="AF30" s="1"/>
      <c r="AG30" s="11" t="b">
        <f>AE30=AF30</f>
        <v>0</v>
      </c>
      <c r="AH30" s="1">
        <v>13</v>
      </c>
      <c r="AI30" s="1">
        <v>7.37</v>
      </c>
      <c r="AJ30" s="16">
        <f>AI30*220/30*30.4375</f>
        <v>1645.0454166666666</v>
      </c>
      <c r="AK30" s="18">
        <v>1645.05</v>
      </c>
      <c r="AL30" s="71" t="s">
        <v>666</v>
      </c>
      <c r="AM30" s="19" t="b">
        <f>AL30=O30</f>
        <v>1</v>
      </c>
      <c r="AN30" s="7">
        <f>VLOOKUP(A30,'base ZITRHR129'!$G$1:$H$628,2,0)</f>
        <v>30040706</v>
      </c>
      <c r="AO30" s="7" t="b">
        <f>AN30=R30</f>
        <v>1</v>
      </c>
      <c r="AP30" s="7">
        <f>VLOOKUP(A30,'base ZITRHR129'!G12:W638,17,0)</f>
        <v>1645.05</v>
      </c>
      <c r="AQ30" s="7" t="b">
        <f>AP30=AK30</f>
        <v>1</v>
      </c>
      <c r="AR30" s="69"/>
    </row>
    <row r="31" spans="1:44" s="7" customFormat="1" ht="12" x14ac:dyDescent="0.2">
      <c r="A31" s="7">
        <v>10018175</v>
      </c>
      <c r="B31" s="8" t="s">
        <v>55</v>
      </c>
      <c r="C31" s="8" t="s">
        <v>692</v>
      </c>
      <c r="D31" s="8" t="s">
        <v>717</v>
      </c>
      <c r="E31" s="8" t="s">
        <v>722</v>
      </c>
      <c r="F31" s="8" t="s">
        <v>1406</v>
      </c>
      <c r="G31" s="8" t="s">
        <v>753</v>
      </c>
      <c r="H31" s="9">
        <v>19</v>
      </c>
      <c r="I31" s="8" t="s">
        <v>665</v>
      </c>
      <c r="J31" s="8" t="s">
        <v>804</v>
      </c>
      <c r="K31" s="8" t="s">
        <v>6</v>
      </c>
      <c r="L31" s="8" t="s">
        <v>17</v>
      </c>
      <c r="M31" s="10" t="s">
        <v>692</v>
      </c>
      <c r="N31" s="10" t="s">
        <v>717</v>
      </c>
      <c r="O31" s="10" t="s">
        <v>665</v>
      </c>
      <c r="P31" s="1"/>
      <c r="Q31" s="11" t="b">
        <f>O31=P31</f>
        <v>0</v>
      </c>
      <c r="R31" s="30">
        <v>30040707</v>
      </c>
      <c r="S31" s="1"/>
      <c r="T31" s="11" t="b">
        <f>R31=S31</f>
        <v>0</v>
      </c>
      <c r="U31" s="10" t="s">
        <v>6</v>
      </c>
      <c r="V31" s="1"/>
      <c r="W31" s="11" t="b">
        <f>U31=V31</f>
        <v>0</v>
      </c>
      <c r="X31" s="13" t="s">
        <v>15</v>
      </c>
      <c r="Y31" s="1"/>
      <c r="Z31" s="1"/>
      <c r="AA31" s="59">
        <v>22002695</v>
      </c>
      <c r="AB31" s="10" t="s">
        <v>1409</v>
      </c>
      <c r="AD31" s="11" t="b">
        <f>AB31=AC31</f>
        <v>0</v>
      </c>
      <c r="AE31" s="10" t="s">
        <v>753</v>
      </c>
      <c r="AF31" s="1"/>
      <c r="AG31" s="11" t="b">
        <f>AE31=AF31</f>
        <v>0</v>
      </c>
      <c r="AH31" s="1">
        <v>19</v>
      </c>
      <c r="AI31" s="1">
        <v>21.73</v>
      </c>
      <c r="AJ31" s="16">
        <f>AI31*220/30*30.4375</f>
        <v>4850.3170833333343</v>
      </c>
      <c r="AK31" s="18">
        <v>4850.32</v>
      </c>
      <c r="AL31" s="71" t="s">
        <v>665</v>
      </c>
      <c r="AM31" s="19" t="b">
        <f>AL31=O31</f>
        <v>1</v>
      </c>
      <c r="AN31" s="7">
        <f>VLOOKUP(A31,'base ZITRHR129'!$G$1:$H$628,2,0)</f>
        <v>30040707</v>
      </c>
      <c r="AO31" s="7" t="b">
        <f>AN31=R31</f>
        <v>1</v>
      </c>
      <c r="AP31" s="7">
        <f>VLOOKUP(A31,'base ZITRHR129'!G11:W637,17,0)</f>
        <v>4850.32</v>
      </c>
      <c r="AQ31" s="7" t="b">
        <f>AP31=AK31</f>
        <v>1</v>
      </c>
      <c r="AR31" s="69"/>
    </row>
    <row r="32" spans="1:44" s="7" customFormat="1" ht="12" x14ac:dyDescent="0.2">
      <c r="A32" s="7">
        <v>10018179</v>
      </c>
      <c r="B32" s="8" t="s">
        <v>56</v>
      </c>
      <c r="C32" s="8" t="s">
        <v>694</v>
      </c>
      <c r="D32" s="8" t="s">
        <v>717</v>
      </c>
      <c r="E32" s="8" t="s">
        <v>718</v>
      </c>
      <c r="F32" s="8" t="s">
        <v>1406</v>
      </c>
      <c r="G32" s="8" t="s">
        <v>750</v>
      </c>
      <c r="H32" s="9">
        <v>19</v>
      </c>
      <c r="I32" s="8" t="s">
        <v>667</v>
      </c>
      <c r="J32" s="8" t="s">
        <v>805</v>
      </c>
      <c r="K32" s="8" t="s">
        <v>16</v>
      </c>
      <c r="L32" s="8" t="s">
        <v>17</v>
      </c>
      <c r="M32" s="10" t="s">
        <v>694</v>
      </c>
      <c r="N32" s="10" t="s">
        <v>717</v>
      </c>
      <c r="O32" s="10" t="s">
        <v>667</v>
      </c>
      <c r="P32" s="1"/>
      <c r="Q32" s="11" t="b">
        <f>O32=P32</f>
        <v>0</v>
      </c>
      <c r="R32" s="30">
        <v>30040708</v>
      </c>
      <c r="S32" s="1"/>
      <c r="T32" s="11" t="b">
        <f>R32=S32</f>
        <v>0</v>
      </c>
      <c r="U32" s="10" t="s">
        <v>16</v>
      </c>
      <c r="V32" s="1"/>
      <c r="W32" s="11" t="b">
        <f>U32=V32</f>
        <v>0</v>
      </c>
      <c r="X32" s="13" t="s">
        <v>15</v>
      </c>
      <c r="Y32" s="1"/>
      <c r="Z32" s="1"/>
      <c r="AA32" s="59">
        <v>22003022</v>
      </c>
      <c r="AB32" s="10" t="s">
        <v>1409</v>
      </c>
      <c r="AD32" s="11" t="b">
        <f>AB32=AC32</f>
        <v>0</v>
      </c>
      <c r="AE32" s="10" t="s">
        <v>750</v>
      </c>
      <c r="AF32" s="1"/>
      <c r="AG32" s="11" t="b">
        <f>AE32=AF32</f>
        <v>0</v>
      </c>
      <c r="AH32" s="1">
        <v>19</v>
      </c>
      <c r="AI32" s="1">
        <v>18.62</v>
      </c>
      <c r="AJ32" s="16">
        <f>AI32*220/30*30.4375</f>
        <v>4156.1391666666668</v>
      </c>
      <c r="AK32" s="18">
        <v>4156.1400000000003</v>
      </c>
      <c r="AL32" s="71" t="s">
        <v>667</v>
      </c>
      <c r="AM32" s="19" t="b">
        <f>AL32=O32</f>
        <v>1</v>
      </c>
      <c r="AN32" s="7">
        <f>VLOOKUP(A32,'base ZITRHR129'!$G$1:$H$628,2,0)</f>
        <v>30040708</v>
      </c>
      <c r="AO32" s="7" t="b">
        <f>AN32=R32</f>
        <v>1</v>
      </c>
      <c r="AP32" s="7">
        <f>VLOOKUP(A32,'base ZITRHR129'!G10:W636,17,0)</f>
        <v>4156.1400000000003</v>
      </c>
      <c r="AQ32" s="7" t="b">
        <f>AP32=AK32</f>
        <v>1</v>
      </c>
      <c r="AR32" s="69"/>
    </row>
    <row r="33" spans="1:44" s="7" customFormat="1" ht="12" x14ac:dyDescent="0.2">
      <c r="A33" s="7">
        <v>10018357</v>
      </c>
      <c r="B33" s="8" t="s">
        <v>57</v>
      </c>
      <c r="C33" s="8" t="s">
        <v>681</v>
      </c>
      <c r="D33" s="8" t="s">
        <v>717</v>
      </c>
      <c r="E33" s="8" t="s">
        <v>720</v>
      </c>
      <c r="F33" s="8" t="s">
        <v>1406</v>
      </c>
      <c r="G33" s="8" t="s">
        <v>751</v>
      </c>
      <c r="H33" s="9">
        <v>18</v>
      </c>
      <c r="I33" s="8" t="s">
        <v>653</v>
      </c>
      <c r="J33" s="8" t="s">
        <v>806</v>
      </c>
      <c r="K33" s="8" t="s">
        <v>16</v>
      </c>
      <c r="L33" s="8" t="s">
        <v>17</v>
      </c>
      <c r="M33" s="10" t="s">
        <v>681</v>
      </c>
      <c r="N33" s="10" t="s">
        <v>717</v>
      </c>
      <c r="O33" s="10" t="s">
        <v>653</v>
      </c>
      <c r="P33" s="1"/>
      <c r="Q33" s="11" t="b">
        <f>O33=P33</f>
        <v>0</v>
      </c>
      <c r="R33" s="30">
        <v>30040709</v>
      </c>
      <c r="S33" s="1"/>
      <c r="T33" s="11" t="b">
        <f>R33=S33</f>
        <v>0</v>
      </c>
      <c r="U33" s="10" t="s">
        <v>16</v>
      </c>
      <c r="V33" s="1"/>
      <c r="W33" s="11" t="b">
        <f>U33=V33</f>
        <v>0</v>
      </c>
      <c r="X33" s="13" t="s">
        <v>15</v>
      </c>
      <c r="Y33" s="1"/>
      <c r="Z33" s="1"/>
      <c r="AA33" s="59">
        <v>22003015</v>
      </c>
      <c r="AB33" s="10" t="s">
        <v>1409</v>
      </c>
      <c r="AD33" s="11" t="b">
        <f>AB33=AC33</f>
        <v>0</v>
      </c>
      <c r="AE33" s="10" t="s">
        <v>751</v>
      </c>
      <c r="AF33" s="1"/>
      <c r="AG33" s="11" t="b">
        <f>AE33=AF33</f>
        <v>0</v>
      </c>
      <c r="AH33" s="1">
        <v>18</v>
      </c>
      <c r="AI33" s="1">
        <v>17.73</v>
      </c>
      <c r="AJ33" s="16">
        <f>AI33*220/30*30.4375</f>
        <v>3957.4837500000003</v>
      </c>
      <c r="AK33" s="18">
        <v>3957.48</v>
      </c>
      <c r="AL33" s="71" t="s">
        <v>653</v>
      </c>
      <c r="AM33" s="19" t="b">
        <f>AL33=O33</f>
        <v>1</v>
      </c>
      <c r="AN33" s="7">
        <f>VLOOKUP(A33,'base ZITRHR129'!$G$1:$H$628,2,0)</f>
        <v>30040709</v>
      </c>
      <c r="AO33" s="7" t="b">
        <f>AN33=R33</f>
        <v>1</v>
      </c>
      <c r="AP33" s="7">
        <f>VLOOKUP(A33,'base ZITRHR129'!G9:W635,17,0)</f>
        <v>3957.48</v>
      </c>
      <c r="AQ33" s="7" t="b">
        <f>AP33=AK33</f>
        <v>1</v>
      </c>
      <c r="AR33" s="69"/>
    </row>
    <row r="34" spans="1:44" s="7" customFormat="1" ht="12" x14ac:dyDescent="0.2">
      <c r="A34" s="7">
        <v>10018364</v>
      </c>
      <c r="B34" s="8" t="s">
        <v>58</v>
      </c>
      <c r="C34" s="8" t="s">
        <v>679</v>
      </c>
      <c r="D34" s="8" t="s">
        <v>717</v>
      </c>
      <c r="E34" s="8" t="s">
        <v>720</v>
      </c>
      <c r="F34" s="8" t="s">
        <v>1406</v>
      </c>
      <c r="G34" s="8" t="s">
        <v>751</v>
      </c>
      <c r="H34" s="9">
        <v>18</v>
      </c>
      <c r="I34" s="8" t="s">
        <v>653</v>
      </c>
      <c r="J34" s="8" t="s">
        <v>807</v>
      </c>
      <c r="K34" s="8" t="s">
        <v>16</v>
      </c>
      <c r="L34" s="8" t="s">
        <v>17</v>
      </c>
      <c r="M34" s="10" t="s">
        <v>679</v>
      </c>
      <c r="N34" s="10" t="s">
        <v>717</v>
      </c>
      <c r="O34" s="10" t="s">
        <v>653</v>
      </c>
      <c r="P34" s="1"/>
      <c r="Q34" s="11" t="b">
        <f>O34=P34</f>
        <v>0</v>
      </c>
      <c r="R34" s="30">
        <v>30040710</v>
      </c>
      <c r="S34" s="1"/>
      <c r="T34" s="11" t="b">
        <f>R34=S34</f>
        <v>0</v>
      </c>
      <c r="U34" s="10" t="s">
        <v>16</v>
      </c>
      <c r="V34" s="1"/>
      <c r="W34" s="11" t="b">
        <f>U34=V34</f>
        <v>0</v>
      </c>
      <c r="X34" s="13" t="s">
        <v>15</v>
      </c>
      <c r="Y34" s="1"/>
      <c r="Z34" s="1"/>
      <c r="AA34" s="59">
        <v>22003015</v>
      </c>
      <c r="AB34" s="10" t="s">
        <v>1409</v>
      </c>
      <c r="AD34" s="11" t="b">
        <f>AB34=AC34</f>
        <v>0</v>
      </c>
      <c r="AE34" s="10" t="s">
        <v>751</v>
      </c>
      <c r="AF34" s="1"/>
      <c r="AG34" s="11" t="b">
        <f>AE34=AF34</f>
        <v>0</v>
      </c>
      <c r="AH34" s="1">
        <v>18</v>
      </c>
      <c r="AI34" s="1">
        <v>17.73</v>
      </c>
      <c r="AJ34" s="16">
        <f>AI34*220/30*30.4375</f>
        <v>3957.4837500000003</v>
      </c>
      <c r="AK34" s="18">
        <v>3957.48</v>
      </c>
      <c r="AL34" s="71" t="s">
        <v>653</v>
      </c>
      <c r="AM34" s="19" t="b">
        <f>AL34=O34</f>
        <v>1</v>
      </c>
      <c r="AN34" s="7">
        <f>VLOOKUP(A34,'base ZITRHR129'!$G$1:$H$628,2,0)</f>
        <v>30040710</v>
      </c>
      <c r="AO34" s="7" t="b">
        <f>AN34=R34</f>
        <v>1</v>
      </c>
      <c r="AP34" s="7">
        <f>VLOOKUP(A34,'base ZITRHR129'!G8:W634,17,0)</f>
        <v>3957.48</v>
      </c>
      <c r="AQ34" s="7" t="b">
        <f>AP34=AK34</f>
        <v>1</v>
      </c>
      <c r="AR34" s="69"/>
    </row>
    <row r="35" spans="1:44" s="7" customFormat="1" ht="12" x14ac:dyDescent="0.2">
      <c r="A35" s="7">
        <v>10018829</v>
      </c>
      <c r="B35" s="8" t="s">
        <v>59</v>
      </c>
      <c r="C35" s="8" t="s">
        <v>682</v>
      </c>
      <c r="D35" s="8" t="s">
        <v>717</v>
      </c>
      <c r="E35" s="8" t="s">
        <v>720</v>
      </c>
      <c r="F35" s="8" t="s">
        <v>1406</v>
      </c>
      <c r="G35" s="8" t="s">
        <v>751</v>
      </c>
      <c r="H35" s="9">
        <v>18</v>
      </c>
      <c r="I35" s="8" t="s">
        <v>655</v>
      </c>
      <c r="J35" s="8" t="s">
        <v>808</v>
      </c>
      <c r="K35" s="8" t="s">
        <v>16</v>
      </c>
      <c r="L35" s="8" t="s">
        <v>17</v>
      </c>
      <c r="M35" s="10" t="s">
        <v>682</v>
      </c>
      <c r="N35" s="10" t="s">
        <v>717</v>
      </c>
      <c r="O35" s="10" t="s">
        <v>655</v>
      </c>
      <c r="P35" s="1"/>
      <c r="Q35" s="11" t="b">
        <f>O35=P35</f>
        <v>0</v>
      </c>
      <c r="R35" s="30">
        <v>30040711</v>
      </c>
      <c r="S35" s="1"/>
      <c r="T35" s="11" t="b">
        <f>R35=S35</f>
        <v>0</v>
      </c>
      <c r="U35" s="10" t="s">
        <v>16</v>
      </c>
      <c r="V35" s="1"/>
      <c r="W35" s="11" t="b">
        <f>U35=V35</f>
        <v>0</v>
      </c>
      <c r="X35" s="13" t="s">
        <v>15</v>
      </c>
      <c r="Y35" s="1"/>
      <c r="Z35" s="1"/>
      <c r="AA35" s="59">
        <v>22003015</v>
      </c>
      <c r="AB35" s="10" t="s">
        <v>1409</v>
      </c>
      <c r="AD35" s="11" t="b">
        <f>AB35=AC35</f>
        <v>0</v>
      </c>
      <c r="AE35" s="10" t="s">
        <v>751</v>
      </c>
      <c r="AF35" s="1"/>
      <c r="AG35" s="11" t="b">
        <f>AE35=AF35</f>
        <v>0</v>
      </c>
      <c r="AH35" s="1">
        <v>18</v>
      </c>
      <c r="AI35" s="1">
        <v>17.73</v>
      </c>
      <c r="AJ35" s="16">
        <f>AI35*220/30*30.4375</f>
        <v>3957.4837500000003</v>
      </c>
      <c r="AK35" s="18">
        <v>3957.48</v>
      </c>
      <c r="AL35" s="71" t="s">
        <v>655</v>
      </c>
      <c r="AM35" s="19" t="b">
        <f>AL35=O35</f>
        <v>1</v>
      </c>
      <c r="AN35" s="7">
        <f>VLOOKUP(A35,'base ZITRHR129'!$G$1:$H$628,2,0)</f>
        <v>30040711</v>
      </c>
      <c r="AO35" s="7" t="b">
        <f>AN35=R35</f>
        <v>1</v>
      </c>
      <c r="AP35" s="7">
        <f>VLOOKUP(A35,'base ZITRHR129'!G7:W633,17,0)</f>
        <v>3957.48</v>
      </c>
      <c r="AQ35" s="7" t="b">
        <f>AP35=AK35</f>
        <v>1</v>
      </c>
      <c r="AR35" s="69"/>
    </row>
    <row r="36" spans="1:44" s="7" customFormat="1" ht="12" x14ac:dyDescent="0.2">
      <c r="A36" s="7">
        <v>10018940</v>
      </c>
      <c r="B36" s="8" t="s">
        <v>60</v>
      </c>
      <c r="C36" s="8" t="s">
        <v>695</v>
      </c>
      <c r="D36" s="8" t="s">
        <v>717</v>
      </c>
      <c r="E36" s="8" t="s">
        <v>724</v>
      </c>
      <c r="F36" s="8" t="s">
        <v>1406</v>
      </c>
      <c r="G36" s="8" t="s">
        <v>21</v>
      </c>
      <c r="H36" s="9">
        <v>16</v>
      </c>
      <c r="I36" s="8" t="s">
        <v>660</v>
      </c>
      <c r="J36" s="8" t="s">
        <v>809</v>
      </c>
      <c r="K36" s="8" t="s">
        <v>16</v>
      </c>
      <c r="L36" s="8" t="s">
        <v>17</v>
      </c>
      <c r="M36" s="10" t="s">
        <v>695</v>
      </c>
      <c r="N36" s="10" t="s">
        <v>717</v>
      </c>
      <c r="O36" s="10" t="s">
        <v>660</v>
      </c>
      <c r="P36" s="1"/>
      <c r="Q36" s="11" t="b">
        <f>O36=P36</f>
        <v>0</v>
      </c>
      <c r="R36" s="30">
        <v>30040712</v>
      </c>
      <c r="S36" s="1"/>
      <c r="T36" s="11" t="b">
        <f>R36=S36</f>
        <v>0</v>
      </c>
      <c r="U36" s="10" t="s">
        <v>16</v>
      </c>
      <c r="V36" s="1"/>
      <c r="W36" s="11" t="b">
        <f>U36=V36</f>
        <v>0</v>
      </c>
      <c r="X36" s="13" t="s">
        <v>15</v>
      </c>
      <c r="Y36" s="1"/>
      <c r="Z36" s="1"/>
      <c r="AA36" s="59">
        <v>22002616</v>
      </c>
      <c r="AB36" s="10" t="s">
        <v>1409</v>
      </c>
      <c r="AD36" s="11" t="b">
        <f>AB36=AC36</f>
        <v>0</v>
      </c>
      <c r="AE36" s="10" t="s">
        <v>21</v>
      </c>
      <c r="AF36" s="1"/>
      <c r="AG36" s="11" t="b">
        <f>AE36=AF36</f>
        <v>0</v>
      </c>
      <c r="AH36" s="1">
        <v>16</v>
      </c>
      <c r="AI36" s="1">
        <v>11.71</v>
      </c>
      <c r="AJ36" s="16">
        <f>AI36*220/30*30.4375</f>
        <v>2613.7695833333337</v>
      </c>
      <c r="AK36" s="18">
        <v>2613.77</v>
      </c>
      <c r="AL36" s="71" t="s">
        <v>660</v>
      </c>
      <c r="AM36" s="19" t="b">
        <f>AL36=O36</f>
        <v>1</v>
      </c>
      <c r="AN36" s="7">
        <f>VLOOKUP(A36,'base ZITRHR129'!$G$1:$H$628,2,0)</f>
        <v>30040712</v>
      </c>
      <c r="AO36" s="7" t="b">
        <f>AN36=R36</f>
        <v>1</v>
      </c>
      <c r="AP36" s="7">
        <f>VLOOKUP(A36,'base ZITRHR129'!G6:W632,17,0)</f>
        <v>2613.77</v>
      </c>
      <c r="AQ36" s="7" t="b">
        <f>AP36=AK36</f>
        <v>1</v>
      </c>
      <c r="AR36" s="69"/>
    </row>
    <row r="37" spans="1:44" s="7" customFormat="1" ht="12" x14ac:dyDescent="0.2">
      <c r="A37" s="7">
        <v>10019554</v>
      </c>
      <c r="B37" s="8" t="s">
        <v>61</v>
      </c>
      <c r="C37" s="8" t="s">
        <v>680</v>
      </c>
      <c r="D37" s="8" t="s">
        <v>717</v>
      </c>
      <c r="E37" s="8" t="s">
        <v>729</v>
      </c>
      <c r="F37" s="8" t="s">
        <v>1406</v>
      </c>
      <c r="G37" s="8" t="s">
        <v>758</v>
      </c>
      <c r="H37" s="9">
        <v>17</v>
      </c>
      <c r="I37" s="8" t="s">
        <v>654</v>
      </c>
      <c r="J37" s="8" t="s">
        <v>810</v>
      </c>
      <c r="K37" s="8" t="s">
        <v>16</v>
      </c>
      <c r="L37" s="8" t="s">
        <v>17</v>
      </c>
      <c r="M37" s="10" t="s">
        <v>680</v>
      </c>
      <c r="N37" s="10" t="s">
        <v>717</v>
      </c>
      <c r="O37" s="10" t="s">
        <v>654</v>
      </c>
      <c r="P37" s="1"/>
      <c r="Q37" s="11" t="b">
        <f>O37=P37</f>
        <v>0</v>
      </c>
      <c r="R37" s="30">
        <v>30040713</v>
      </c>
      <c r="S37" s="1"/>
      <c r="T37" s="11" t="b">
        <f>R37=S37</f>
        <v>0</v>
      </c>
      <c r="U37" s="10" t="s">
        <v>16</v>
      </c>
      <c r="V37" s="1"/>
      <c r="W37" s="11" t="b">
        <f>U37=V37</f>
        <v>0</v>
      </c>
      <c r="X37" s="13" t="s">
        <v>15</v>
      </c>
      <c r="Y37" s="1"/>
      <c r="Z37" s="1"/>
      <c r="AA37" s="59">
        <v>22002447</v>
      </c>
      <c r="AB37" s="10" t="s">
        <v>1409</v>
      </c>
      <c r="AD37" s="11" t="b">
        <f>AB37=AC37</f>
        <v>0</v>
      </c>
      <c r="AE37" s="10" t="s">
        <v>758</v>
      </c>
      <c r="AF37" s="1"/>
      <c r="AG37" s="11" t="b">
        <f>AE37=AF37</f>
        <v>0</v>
      </c>
      <c r="AH37" s="1">
        <v>17</v>
      </c>
      <c r="AI37" s="1">
        <v>14.48</v>
      </c>
      <c r="AJ37" s="16">
        <f>AI37*220/30*30.4375</f>
        <v>3232.0566666666668</v>
      </c>
      <c r="AK37" s="18">
        <v>3232.06</v>
      </c>
      <c r="AL37" s="71" t="s">
        <v>654</v>
      </c>
      <c r="AM37" s="19" t="b">
        <f>AL37=O37</f>
        <v>1</v>
      </c>
      <c r="AN37" s="7">
        <f>VLOOKUP(A37,'base ZITRHR129'!$G$1:$H$628,2,0)</f>
        <v>30040713</v>
      </c>
      <c r="AO37" s="7" t="b">
        <f>AN37=R37</f>
        <v>1</v>
      </c>
      <c r="AP37" s="7">
        <f>VLOOKUP(A37,'base ZITRHR129'!G5:W631,17,0)</f>
        <v>3232.06</v>
      </c>
      <c r="AQ37" s="7" t="b">
        <f>AP37=AK37</f>
        <v>1</v>
      </c>
      <c r="AR37" s="69"/>
    </row>
    <row r="38" spans="1:44" s="7" customFormat="1" ht="12" x14ac:dyDescent="0.2">
      <c r="A38" s="7">
        <v>10019666</v>
      </c>
      <c r="B38" s="8" t="s">
        <v>62</v>
      </c>
      <c r="C38" s="8" t="s">
        <v>692</v>
      </c>
      <c r="D38" s="8" t="s">
        <v>717</v>
      </c>
      <c r="E38" s="8" t="s">
        <v>722</v>
      </c>
      <c r="F38" s="8" t="s">
        <v>1406</v>
      </c>
      <c r="G38" s="8" t="s">
        <v>753</v>
      </c>
      <c r="H38" s="9">
        <v>19</v>
      </c>
      <c r="I38" s="8" t="s">
        <v>665</v>
      </c>
      <c r="J38" s="8" t="s">
        <v>811</v>
      </c>
      <c r="K38" s="8" t="s">
        <v>6</v>
      </c>
      <c r="L38" s="8" t="s">
        <v>17</v>
      </c>
      <c r="M38" s="10" t="s">
        <v>692</v>
      </c>
      <c r="N38" s="10" t="s">
        <v>717</v>
      </c>
      <c r="O38" s="10" t="s">
        <v>665</v>
      </c>
      <c r="P38" s="1"/>
      <c r="Q38" s="11" t="b">
        <f>O38=P38</f>
        <v>0</v>
      </c>
      <c r="R38" s="30">
        <v>30040714</v>
      </c>
      <c r="S38" s="1"/>
      <c r="T38" s="11" t="b">
        <f>R38=S38</f>
        <v>0</v>
      </c>
      <c r="U38" s="10" t="s">
        <v>6</v>
      </c>
      <c r="V38" s="1"/>
      <c r="W38" s="11" t="b">
        <f>U38=V38</f>
        <v>0</v>
      </c>
      <c r="X38" s="13" t="s">
        <v>15</v>
      </c>
      <c r="Y38" s="1"/>
      <c r="Z38" s="1"/>
      <c r="AA38" s="59">
        <v>22002695</v>
      </c>
      <c r="AB38" s="10" t="s">
        <v>1409</v>
      </c>
      <c r="AD38" s="11" t="b">
        <f>AB38=AC38</f>
        <v>0</v>
      </c>
      <c r="AE38" s="10" t="s">
        <v>753</v>
      </c>
      <c r="AF38" s="1"/>
      <c r="AG38" s="11" t="b">
        <f>AE38=AF38</f>
        <v>0</v>
      </c>
      <c r="AH38" s="1">
        <v>19</v>
      </c>
      <c r="AI38" s="1">
        <v>20.49</v>
      </c>
      <c r="AJ38" s="16">
        <f>AI38*220/30*30.4375</f>
        <v>4573.5387499999988</v>
      </c>
      <c r="AK38" s="18">
        <v>4573.54</v>
      </c>
      <c r="AL38" s="71" t="s">
        <v>665</v>
      </c>
      <c r="AM38" s="19" t="b">
        <f>AL38=O38</f>
        <v>1</v>
      </c>
      <c r="AN38" s="7">
        <f>VLOOKUP(A38,'base ZITRHR129'!$G$1:$H$628,2,0)</f>
        <v>30040714</v>
      </c>
      <c r="AO38" s="7" t="b">
        <f>AN38=R38</f>
        <v>1</v>
      </c>
      <c r="AP38" s="7">
        <f>VLOOKUP(A38,'base ZITRHR129'!G4:W630,17,0)</f>
        <v>4573.54</v>
      </c>
      <c r="AQ38" s="7" t="b">
        <f>AP38=AK38</f>
        <v>1</v>
      </c>
      <c r="AR38" s="69"/>
    </row>
    <row r="39" spans="1:44" s="7" customFormat="1" ht="12" x14ac:dyDescent="0.2">
      <c r="A39" s="7">
        <v>10019732</v>
      </c>
      <c r="B39" s="8" t="s">
        <v>63</v>
      </c>
      <c r="C39" s="8" t="s">
        <v>689</v>
      </c>
      <c r="D39" s="8" t="s">
        <v>717</v>
      </c>
      <c r="E39" s="8" t="s">
        <v>730</v>
      </c>
      <c r="F39" s="8" t="s">
        <v>1406</v>
      </c>
      <c r="G39" s="8" t="s">
        <v>759</v>
      </c>
      <c r="H39" s="9">
        <v>17</v>
      </c>
      <c r="I39" s="8" t="s">
        <v>662</v>
      </c>
      <c r="J39" s="8" t="s">
        <v>812</v>
      </c>
      <c r="K39" s="8" t="s">
        <v>16</v>
      </c>
      <c r="L39" s="8" t="s">
        <v>17</v>
      </c>
      <c r="M39" s="10" t="s">
        <v>689</v>
      </c>
      <c r="N39" s="10" t="s">
        <v>717</v>
      </c>
      <c r="O39" s="10" t="s">
        <v>662</v>
      </c>
      <c r="P39" s="1"/>
      <c r="Q39" s="11" t="b">
        <f>O39=P39</f>
        <v>0</v>
      </c>
      <c r="R39" s="30">
        <v>30040715</v>
      </c>
      <c r="S39" s="1"/>
      <c r="T39" s="11" t="b">
        <f>R39=S39</f>
        <v>0</v>
      </c>
      <c r="U39" s="10" t="s">
        <v>16</v>
      </c>
      <c r="V39" s="1"/>
      <c r="W39" s="11" t="b">
        <f>U39=V39</f>
        <v>0</v>
      </c>
      <c r="X39" s="13" t="s">
        <v>15</v>
      </c>
      <c r="Y39" s="1"/>
      <c r="Z39" s="1"/>
      <c r="AA39" s="59">
        <v>22002605</v>
      </c>
      <c r="AB39" s="10" t="s">
        <v>1409</v>
      </c>
      <c r="AD39" s="11" t="b">
        <f>AB39=AC39</f>
        <v>0</v>
      </c>
      <c r="AE39" s="10" t="s">
        <v>759</v>
      </c>
      <c r="AF39" s="1"/>
      <c r="AG39" s="11" t="b">
        <f>AE39=AF39</f>
        <v>0</v>
      </c>
      <c r="AH39" s="1">
        <v>17</v>
      </c>
      <c r="AI39" s="1">
        <v>14.04</v>
      </c>
      <c r="AJ39" s="16">
        <f>AI39*220/30*30.4375</f>
        <v>3133.8449999999998</v>
      </c>
      <c r="AK39" s="18">
        <v>3133.85</v>
      </c>
      <c r="AL39" s="71" t="s">
        <v>662</v>
      </c>
      <c r="AM39" s="19" t="b">
        <f>AL39=O39</f>
        <v>1</v>
      </c>
      <c r="AN39" s="7">
        <f>VLOOKUP(A39,'base ZITRHR129'!$G$1:$H$628,2,0)</f>
        <v>30040715</v>
      </c>
      <c r="AO39" s="7" t="b">
        <f>AN39=R39</f>
        <v>1</v>
      </c>
      <c r="AP39" s="7">
        <f>VLOOKUP(A39,'base ZITRHR129'!G3:W629,17,0)</f>
        <v>3133.85</v>
      </c>
      <c r="AQ39" s="7" t="b">
        <f>AP39=AK39</f>
        <v>1</v>
      </c>
      <c r="AR39" s="69"/>
    </row>
    <row r="40" spans="1:44" s="7" customFormat="1" ht="12" x14ac:dyDescent="0.2">
      <c r="A40" s="7">
        <v>10019981</v>
      </c>
      <c r="B40" s="8" t="s">
        <v>64</v>
      </c>
      <c r="C40" s="8" t="s">
        <v>687</v>
      </c>
      <c r="D40" s="8" t="s">
        <v>717</v>
      </c>
      <c r="E40" s="8" t="s">
        <v>724</v>
      </c>
      <c r="F40" s="8" t="s">
        <v>1406</v>
      </c>
      <c r="G40" s="8" t="s">
        <v>21</v>
      </c>
      <c r="H40" s="9">
        <v>16</v>
      </c>
      <c r="I40" s="8" t="s">
        <v>660</v>
      </c>
      <c r="J40" s="8" t="s">
        <v>813</v>
      </c>
      <c r="K40" s="8" t="s">
        <v>16</v>
      </c>
      <c r="L40" s="8" t="s">
        <v>17</v>
      </c>
      <c r="M40" s="10" t="s">
        <v>687</v>
      </c>
      <c r="N40" s="10" t="s">
        <v>717</v>
      </c>
      <c r="O40" s="10" t="s">
        <v>660</v>
      </c>
      <c r="P40" s="1"/>
      <c r="Q40" s="11" t="b">
        <f>O40=P40</f>
        <v>0</v>
      </c>
      <c r="R40" s="30">
        <v>30040716</v>
      </c>
      <c r="S40" s="1"/>
      <c r="T40" s="11" t="b">
        <f>R40=S40</f>
        <v>0</v>
      </c>
      <c r="U40" s="10" t="s">
        <v>16</v>
      </c>
      <c r="V40" s="1"/>
      <c r="W40" s="11" t="b">
        <f>U40=V40</f>
        <v>0</v>
      </c>
      <c r="X40" s="13" t="s">
        <v>15</v>
      </c>
      <c r="Y40" s="1"/>
      <c r="Z40" s="1"/>
      <c r="AA40" s="59">
        <v>22002616</v>
      </c>
      <c r="AB40" s="10" t="s">
        <v>1409</v>
      </c>
      <c r="AD40" s="11" t="b">
        <f>AB40=AC40</f>
        <v>0</v>
      </c>
      <c r="AE40" s="10" t="s">
        <v>21</v>
      </c>
      <c r="AF40" s="1"/>
      <c r="AG40" s="11" t="b">
        <f>AE40=AF40</f>
        <v>0</v>
      </c>
      <c r="AH40" s="1">
        <v>16</v>
      </c>
      <c r="AI40" s="1">
        <v>11.71</v>
      </c>
      <c r="AJ40" s="16">
        <f>AI40*220/30*30.4375</f>
        <v>2613.7695833333337</v>
      </c>
      <c r="AK40" s="18">
        <v>2613.77</v>
      </c>
      <c r="AL40" s="71" t="s">
        <v>660</v>
      </c>
      <c r="AM40" s="19" t="b">
        <f>AL40=O40</f>
        <v>1</v>
      </c>
      <c r="AN40" s="7">
        <f>VLOOKUP(A40,'base ZITRHR129'!$G$1:$H$628,2,0)</f>
        <v>30040716</v>
      </c>
      <c r="AO40" s="7" t="b">
        <f>AN40=R40</f>
        <v>1</v>
      </c>
      <c r="AP40" s="7">
        <f>VLOOKUP(A40,'base ZITRHR129'!G2:W628,17,0)</f>
        <v>2613.77</v>
      </c>
      <c r="AQ40" s="7" t="b">
        <f>AP40=AK40</f>
        <v>1</v>
      </c>
      <c r="AR40" s="69"/>
    </row>
    <row r="41" spans="1:44" s="7" customFormat="1" ht="12" x14ac:dyDescent="0.2">
      <c r="A41" s="7">
        <v>10020256</v>
      </c>
      <c r="B41" s="8" t="s">
        <v>65</v>
      </c>
      <c r="C41" s="8" t="s">
        <v>684</v>
      </c>
      <c r="D41" s="8" t="s">
        <v>717</v>
      </c>
      <c r="E41" s="8" t="s">
        <v>720</v>
      </c>
      <c r="F41" s="8" t="s">
        <v>1406</v>
      </c>
      <c r="G41" s="8" t="s">
        <v>751</v>
      </c>
      <c r="H41" s="9">
        <v>18</v>
      </c>
      <c r="I41" s="8" t="s">
        <v>657</v>
      </c>
      <c r="J41" s="8" t="s">
        <v>814</v>
      </c>
      <c r="K41" s="8" t="s">
        <v>16</v>
      </c>
      <c r="L41" s="8" t="s">
        <v>17</v>
      </c>
      <c r="M41" s="10" t="s">
        <v>684</v>
      </c>
      <c r="N41" s="10" t="s">
        <v>717</v>
      </c>
      <c r="O41" s="10" t="s">
        <v>657</v>
      </c>
      <c r="P41" s="1"/>
      <c r="Q41" s="11" t="b">
        <f>O41=P41</f>
        <v>0</v>
      </c>
      <c r="R41" s="30">
        <v>30040717</v>
      </c>
      <c r="S41" s="1"/>
      <c r="T41" s="11" t="b">
        <f>R41=S41</f>
        <v>0</v>
      </c>
      <c r="U41" s="10" t="s">
        <v>16</v>
      </c>
      <c r="V41" s="1"/>
      <c r="W41" s="11" t="b">
        <f>U41=V41</f>
        <v>0</v>
      </c>
      <c r="X41" s="13" t="s">
        <v>15</v>
      </c>
      <c r="Y41" s="1"/>
      <c r="Z41" s="1"/>
      <c r="AA41" s="59">
        <v>22003015</v>
      </c>
      <c r="AB41" s="10" t="s">
        <v>1409</v>
      </c>
      <c r="AD41" s="11" t="b">
        <f>AB41=AC41</f>
        <v>0</v>
      </c>
      <c r="AE41" s="10" t="s">
        <v>751</v>
      </c>
      <c r="AF41" s="1"/>
      <c r="AG41" s="11" t="b">
        <f>AE41=AF41</f>
        <v>0</v>
      </c>
      <c r="AH41" s="1">
        <v>18</v>
      </c>
      <c r="AI41" s="1">
        <v>17.73</v>
      </c>
      <c r="AJ41" s="16">
        <f>AI41*220/30*30.4375</f>
        <v>3957.4837500000003</v>
      </c>
      <c r="AK41" s="18">
        <v>3957.48</v>
      </c>
      <c r="AL41" s="71" t="s">
        <v>657</v>
      </c>
      <c r="AM41" s="19" t="b">
        <f>AL41=O41</f>
        <v>1</v>
      </c>
      <c r="AN41" s="7">
        <f>VLOOKUP(A41,'base ZITRHR129'!$G$1:$H$628,2,0)</f>
        <v>30040717</v>
      </c>
      <c r="AO41" s="7" t="b">
        <f>AN41=R41</f>
        <v>1</v>
      </c>
      <c r="AP41" s="7">
        <f>VLOOKUP(A41,'base ZITRHR129'!G40:W666,17,0)</f>
        <v>3957.48</v>
      </c>
      <c r="AQ41" s="7" t="b">
        <f>AP41=AK41</f>
        <v>1</v>
      </c>
      <c r="AR41" s="69"/>
    </row>
    <row r="42" spans="1:44" s="7" customFormat="1" ht="12" x14ac:dyDescent="0.2">
      <c r="A42" s="7">
        <v>10020317</v>
      </c>
      <c r="B42" s="8" t="s">
        <v>66</v>
      </c>
      <c r="C42" s="8" t="s">
        <v>680</v>
      </c>
      <c r="D42" s="8" t="s">
        <v>717</v>
      </c>
      <c r="E42" s="8" t="s">
        <v>729</v>
      </c>
      <c r="F42" s="8" t="s">
        <v>1406</v>
      </c>
      <c r="G42" s="8" t="s">
        <v>758</v>
      </c>
      <c r="H42" s="9">
        <v>17</v>
      </c>
      <c r="I42" s="8" t="s">
        <v>654</v>
      </c>
      <c r="J42" s="8" t="s">
        <v>815</v>
      </c>
      <c r="K42" s="8" t="s">
        <v>16</v>
      </c>
      <c r="L42" s="8" t="s">
        <v>17</v>
      </c>
      <c r="M42" s="10" t="s">
        <v>680</v>
      </c>
      <c r="N42" s="10" t="s">
        <v>717</v>
      </c>
      <c r="O42" s="10" t="s">
        <v>654</v>
      </c>
      <c r="P42" s="1"/>
      <c r="Q42" s="11" t="b">
        <f>O42=P42</f>
        <v>0</v>
      </c>
      <c r="R42" s="30">
        <v>30040718</v>
      </c>
      <c r="S42" s="1"/>
      <c r="T42" s="11" t="b">
        <f>R42=S42</f>
        <v>0</v>
      </c>
      <c r="U42" s="10" t="s">
        <v>16</v>
      </c>
      <c r="V42" s="1"/>
      <c r="W42" s="11" t="b">
        <f>U42=V42</f>
        <v>0</v>
      </c>
      <c r="X42" s="13" t="s">
        <v>15</v>
      </c>
      <c r="Y42" s="1"/>
      <c r="Z42" s="1"/>
      <c r="AA42" s="59">
        <v>22002447</v>
      </c>
      <c r="AB42" s="10" t="s">
        <v>1409</v>
      </c>
      <c r="AD42" s="11" t="b">
        <f>AB42=AC42</f>
        <v>0</v>
      </c>
      <c r="AE42" s="10" t="s">
        <v>758</v>
      </c>
      <c r="AF42" s="1"/>
      <c r="AG42" s="11" t="b">
        <f>AE42=AF42</f>
        <v>0</v>
      </c>
      <c r="AH42" s="1">
        <v>17</v>
      </c>
      <c r="AI42" s="1">
        <v>14.48</v>
      </c>
      <c r="AJ42" s="16">
        <f>AI42*220/30*30.4375</f>
        <v>3232.0566666666668</v>
      </c>
      <c r="AK42" s="18">
        <v>3232.06</v>
      </c>
      <c r="AL42" s="71" t="s">
        <v>654</v>
      </c>
      <c r="AM42" s="19" t="b">
        <f>AL42=O42</f>
        <v>1</v>
      </c>
      <c r="AN42" s="7">
        <f>VLOOKUP(A42,'base ZITRHR129'!$G$1:$H$628,2,0)</f>
        <v>30040718</v>
      </c>
      <c r="AO42" s="7" t="b">
        <f>AN42=R42</f>
        <v>1</v>
      </c>
      <c r="AP42" s="7">
        <f>VLOOKUP(A42,'base ZITRHR129'!G39:W665,17,0)</f>
        <v>3232.06</v>
      </c>
      <c r="AQ42" s="7" t="b">
        <f>AP42=AK42</f>
        <v>1</v>
      </c>
      <c r="AR42" s="69"/>
    </row>
    <row r="43" spans="1:44" s="7" customFormat="1" ht="12" x14ac:dyDescent="0.2">
      <c r="A43" s="7">
        <v>10020924</v>
      </c>
      <c r="B43" s="8" t="s">
        <v>67</v>
      </c>
      <c r="C43" s="8" t="s">
        <v>679</v>
      </c>
      <c r="D43" s="8" t="s">
        <v>717</v>
      </c>
      <c r="E43" s="8" t="s">
        <v>720</v>
      </c>
      <c r="F43" s="8" t="s">
        <v>1406</v>
      </c>
      <c r="G43" s="8" t="s">
        <v>751</v>
      </c>
      <c r="H43" s="9">
        <v>18</v>
      </c>
      <c r="I43" s="8" t="s">
        <v>653</v>
      </c>
      <c r="J43" s="8" t="s">
        <v>816</v>
      </c>
      <c r="K43" s="8" t="s">
        <v>16</v>
      </c>
      <c r="L43" s="8" t="s">
        <v>17</v>
      </c>
      <c r="M43" s="10" t="s">
        <v>679</v>
      </c>
      <c r="N43" s="10" t="s">
        <v>717</v>
      </c>
      <c r="O43" s="10" t="s">
        <v>653</v>
      </c>
      <c r="P43" s="1"/>
      <c r="Q43" s="11" t="b">
        <f>O43=P43</f>
        <v>0</v>
      </c>
      <c r="R43" s="30">
        <v>30040719</v>
      </c>
      <c r="S43" s="1"/>
      <c r="T43" s="11" t="b">
        <f>R43=S43</f>
        <v>0</v>
      </c>
      <c r="U43" s="10" t="s">
        <v>16</v>
      </c>
      <c r="V43" s="1"/>
      <c r="W43" s="11" t="b">
        <f>U43=V43</f>
        <v>0</v>
      </c>
      <c r="X43" s="13" t="s">
        <v>15</v>
      </c>
      <c r="Y43" s="1"/>
      <c r="Z43" s="1"/>
      <c r="AA43" s="59">
        <v>22003015</v>
      </c>
      <c r="AB43" s="10" t="s">
        <v>1409</v>
      </c>
      <c r="AD43" s="11" t="b">
        <f>AB43=AC43</f>
        <v>0</v>
      </c>
      <c r="AE43" s="10" t="s">
        <v>751</v>
      </c>
      <c r="AF43" s="1"/>
      <c r="AG43" s="11" t="b">
        <f>AE43=AF43</f>
        <v>0</v>
      </c>
      <c r="AH43" s="1">
        <v>18</v>
      </c>
      <c r="AI43" s="1">
        <v>17.73</v>
      </c>
      <c r="AJ43" s="16">
        <f>AI43*220/30*30.4375</f>
        <v>3957.4837500000003</v>
      </c>
      <c r="AK43" s="18">
        <v>3957.48</v>
      </c>
      <c r="AL43" s="71" t="s">
        <v>653</v>
      </c>
      <c r="AM43" s="19" t="b">
        <f>AL43=O43</f>
        <v>1</v>
      </c>
      <c r="AN43" s="7">
        <f>VLOOKUP(A43,'base ZITRHR129'!$G$1:$H$628,2,0)</f>
        <v>30040719</v>
      </c>
      <c r="AO43" s="7" t="b">
        <f>AN43=R43</f>
        <v>1</v>
      </c>
      <c r="AP43" s="7">
        <f>VLOOKUP(A43,'base ZITRHR129'!G38:W664,17,0)</f>
        <v>3957.48</v>
      </c>
      <c r="AQ43" s="7" t="b">
        <f>AP43=AK43</f>
        <v>1</v>
      </c>
      <c r="AR43" s="69"/>
    </row>
    <row r="44" spans="1:44" s="7" customFormat="1" ht="12" x14ac:dyDescent="0.2">
      <c r="A44" s="7">
        <v>10021237</v>
      </c>
      <c r="B44" s="8" t="s">
        <v>68</v>
      </c>
      <c r="C44" s="8" t="s">
        <v>689</v>
      </c>
      <c r="D44" s="8" t="s">
        <v>717</v>
      </c>
      <c r="E44" s="8" t="s">
        <v>730</v>
      </c>
      <c r="F44" s="8" t="s">
        <v>1406</v>
      </c>
      <c r="G44" s="8" t="s">
        <v>759</v>
      </c>
      <c r="H44" s="9">
        <v>17</v>
      </c>
      <c r="I44" s="8" t="s">
        <v>662</v>
      </c>
      <c r="J44" s="8" t="s">
        <v>817</v>
      </c>
      <c r="K44" s="8" t="s">
        <v>16</v>
      </c>
      <c r="L44" s="8" t="s">
        <v>17</v>
      </c>
      <c r="M44" s="10" t="s">
        <v>689</v>
      </c>
      <c r="N44" s="10" t="s">
        <v>717</v>
      </c>
      <c r="O44" s="10" t="s">
        <v>662</v>
      </c>
      <c r="P44" s="1"/>
      <c r="Q44" s="11" t="b">
        <f>O44=P44</f>
        <v>0</v>
      </c>
      <c r="R44" s="30">
        <v>30040720</v>
      </c>
      <c r="S44" s="1"/>
      <c r="T44" s="11" t="b">
        <f>R44=S44</f>
        <v>0</v>
      </c>
      <c r="U44" s="10" t="s">
        <v>16</v>
      </c>
      <c r="V44" s="1"/>
      <c r="W44" s="11" t="b">
        <f>U44=V44</f>
        <v>0</v>
      </c>
      <c r="X44" s="13" t="s">
        <v>15</v>
      </c>
      <c r="Y44" s="1"/>
      <c r="Z44" s="1"/>
      <c r="AA44" s="59">
        <v>22002605</v>
      </c>
      <c r="AB44" s="10" t="s">
        <v>1409</v>
      </c>
      <c r="AD44" s="11" t="b">
        <f>AB44=AC44</f>
        <v>0</v>
      </c>
      <c r="AE44" s="10" t="s">
        <v>759</v>
      </c>
      <c r="AF44" s="1"/>
      <c r="AG44" s="11" t="b">
        <f>AE44=AF44</f>
        <v>0</v>
      </c>
      <c r="AH44" s="1">
        <v>17</v>
      </c>
      <c r="AI44" s="1">
        <v>14.04</v>
      </c>
      <c r="AJ44" s="16">
        <f>AI44*220/30*30.4375</f>
        <v>3133.8449999999998</v>
      </c>
      <c r="AK44" s="18">
        <v>3133.85</v>
      </c>
      <c r="AL44" s="71" t="s">
        <v>662</v>
      </c>
      <c r="AM44" s="19" t="b">
        <f>AL44=O44</f>
        <v>1</v>
      </c>
      <c r="AN44" s="7">
        <f>VLOOKUP(A44,'base ZITRHR129'!$G$1:$H$628,2,0)</f>
        <v>30040720</v>
      </c>
      <c r="AO44" s="7" t="b">
        <f>AN44=R44</f>
        <v>1</v>
      </c>
      <c r="AP44" s="7">
        <f>VLOOKUP(A44,'base ZITRHR129'!G37:W663,17,0)</f>
        <v>3133.85</v>
      </c>
      <c r="AQ44" s="7" t="b">
        <f>AP44=AK44</f>
        <v>1</v>
      </c>
      <c r="AR44" s="69"/>
    </row>
    <row r="45" spans="1:44" s="7" customFormat="1" ht="12" x14ac:dyDescent="0.2">
      <c r="A45" s="7">
        <v>10021848</v>
      </c>
      <c r="B45" s="8" t="s">
        <v>69</v>
      </c>
      <c r="C45" s="8" t="s">
        <v>684</v>
      </c>
      <c r="D45" s="8" t="s">
        <v>717</v>
      </c>
      <c r="E45" s="8" t="s">
        <v>720</v>
      </c>
      <c r="F45" s="8" t="s">
        <v>1406</v>
      </c>
      <c r="G45" s="8" t="s">
        <v>751</v>
      </c>
      <c r="H45" s="9">
        <v>18</v>
      </c>
      <c r="I45" s="8" t="s">
        <v>658</v>
      </c>
      <c r="J45" s="8" t="s">
        <v>818</v>
      </c>
      <c r="K45" s="8" t="s">
        <v>6</v>
      </c>
      <c r="L45" s="8" t="s">
        <v>17</v>
      </c>
      <c r="M45" s="10" t="s">
        <v>684</v>
      </c>
      <c r="N45" s="10" t="s">
        <v>717</v>
      </c>
      <c r="O45" s="10" t="s">
        <v>658</v>
      </c>
      <c r="P45" s="1"/>
      <c r="Q45" s="11" t="b">
        <f>O45=P45</f>
        <v>0</v>
      </c>
      <c r="R45" s="30">
        <v>30040721</v>
      </c>
      <c r="S45" s="1"/>
      <c r="T45" s="11" t="b">
        <f>R45=S45</f>
        <v>0</v>
      </c>
      <c r="U45" s="10" t="s">
        <v>6</v>
      </c>
      <c r="V45" s="1"/>
      <c r="W45" s="11" t="b">
        <f>U45=V45</f>
        <v>0</v>
      </c>
      <c r="X45" s="13" t="s">
        <v>15</v>
      </c>
      <c r="Y45" s="1"/>
      <c r="Z45" s="1"/>
      <c r="AA45" s="59">
        <v>22003015</v>
      </c>
      <c r="AB45" s="10" t="s">
        <v>1409</v>
      </c>
      <c r="AD45" s="11" t="b">
        <f>AB45=AC45</f>
        <v>0</v>
      </c>
      <c r="AE45" s="10" t="s">
        <v>751</v>
      </c>
      <c r="AF45" s="1"/>
      <c r="AG45" s="11" t="b">
        <f>AE45=AF45</f>
        <v>0</v>
      </c>
      <c r="AH45" s="1">
        <v>18</v>
      </c>
      <c r="AI45" s="1">
        <v>17.73</v>
      </c>
      <c r="AJ45" s="16">
        <f>AI45*220/30*30.4375</f>
        <v>3957.4837500000003</v>
      </c>
      <c r="AK45" s="18">
        <v>3957.48</v>
      </c>
      <c r="AL45" s="72" t="s">
        <v>657</v>
      </c>
      <c r="AM45" s="48" t="b">
        <f>AL45=O45</f>
        <v>0</v>
      </c>
      <c r="AN45" s="7">
        <f>VLOOKUP(A45,'base ZITRHR129'!$G$1:$H$628,2,0)</f>
        <v>30040721</v>
      </c>
      <c r="AO45" s="7" t="b">
        <f>AN45=R45</f>
        <v>1</v>
      </c>
      <c r="AP45" s="7">
        <f>VLOOKUP(A45,'base ZITRHR129'!G36:W662,17,0)</f>
        <v>3957.48</v>
      </c>
      <c r="AQ45" s="7" t="b">
        <f>AP45=AK45</f>
        <v>1</v>
      </c>
      <c r="AR45" s="69" t="s">
        <v>1517</v>
      </c>
    </row>
    <row r="46" spans="1:44" s="7" customFormat="1" ht="12" x14ac:dyDescent="0.2">
      <c r="A46" s="7">
        <v>10022000</v>
      </c>
      <c r="B46" s="8" t="s">
        <v>70</v>
      </c>
      <c r="C46" s="8" t="s">
        <v>679</v>
      </c>
      <c r="D46" s="8" t="s">
        <v>717</v>
      </c>
      <c r="E46" s="8" t="s">
        <v>720</v>
      </c>
      <c r="F46" s="8" t="s">
        <v>1406</v>
      </c>
      <c r="G46" s="8" t="s">
        <v>751</v>
      </c>
      <c r="H46" s="9">
        <v>18</v>
      </c>
      <c r="I46" s="8" t="s">
        <v>653</v>
      </c>
      <c r="J46" s="8" t="s">
        <v>819</v>
      </c>
      <c r="K46" s="8" t="s">
        <v>16</v>
      </c>
      <c r="L46" s="8" t="s">
        <v>17</v>
      </c>
      <c r="M46" s="10" t="s">
        <v>679</v>
      </c>
      <c r="N46" s="10" t="s">
        <v>717</v>
      </c>
      <c r="O46" s="10" t="s">
        <v>653</v>
      </c>
      <c r="P46" s="1"/>
      <c r="Q46" s="11" t="b">
        <f>O46=P46</f>
        <v>0</v>
      </c>
      <c r="R46" s="30">
        <v>30040722</v>
      </c>
      <c r="S46" s="1"/>
      <c r="T46" s="11" t="b">
        <f>R46=S46</f>
        <v>0</v>
      </c>
      <c r="U46" s="10" t="s">
        <v>16</v>
      </c>
      <c r="V46" s="1"/>
      <c r="W46" s="11" t="b">
        <f>U46=V46</f>
        <v>0</v>
      </c>
      <c r="X46" s="13" t="s">
        <v>15</v>
      </c>
      <c r="Y46" s="1"/>
      <c r="Z46" s="1"/>
      <c r="AA46" s="59">
        <v>22003015</v>
      </c>
      <c r="AB46" s="10" t="s">
        <v>1409</v>
      </c>
      <c r="AD46" s="11" t="b">
        <f>AB46=AC46</f>
        <v>0</v>
      </c>
      <c r="AE46" s="10" t="s">
        <v>751</v>
      </c>
      <c r="AF46" s="1"/>
      <c r="AG46" s="11" t="b">
        <f>AE46=AF46</f>
        <v>0</v>
      </c>
      <c r="AH46" s="1">
        <v>18</v>
      </c>
      <c r="AI46" s="1">
        <v>17.73</v>
      </c>
      <c r="AJ46" s="16">
        <f>AI46*220/30*30.4375</f>
        <v>3957.4837500000003</v>
      </c>
      <c r="AK46" s="18">
        <v>3957.48</v>
      </c>
      <c r="AL46" s="71" t="s">
        <v>653</v>
      </c>
      <c r="AM46" s="19" t="b">
        <f>AL46=O46</f>
        <v>1</v>
      </c>
      <c r="AN46" s="7">
        <f>VLOOKUP(A46,'base ZITRHR129'!$G$1:$H$628,2,0)</f>
        <v>30040722</v>
      </c>
      <c r="AO46" s="7" t="b">
        <f>AN46=R46</f>
        <v>1</v>
      </c>
      <c r="AP46" s="7">
        <f>VLOOKUP(A46,'base ZITRHR129'!G35:W661,17,0)</f>
        <v>3957.48</v>
      </c>
      <c r="AQ46" s="7" t="b">
        <f>AP46=AK46</f>
        <v>1</v>
      </c>
      <c r="AR46" s="69"/>
    </row>
    <row r="47" spans="1:44" s="7" customFormat="1" ht="12" x14ac:dyDescent="0.2">
      <c r="A47" s="7">
        <v>10022082</v>
      </c>
      <c r="B47" s="8" t="s">
        <v>71</v>
      </c>
      <c r="C47" s="8" t="s">
        <v>680</v>
      </c>
      <c r="D47" s="8" t="s">
        <v>717</v>
      </c>
      <c r="E47" s="8" t="s">
        <v>729</v>
      </c>
      <c r="F47" s="8" t="s">
        <v>1406</v>
      </c>
      <c r="G47" s="8" t="s">
        <v>758</v>
      </c>
      <c r="H47" s="9">
        <v>17</v>
      </c>
      <c r="I47" s="8" t="s">
        <v>654</v>
      </c>
      <c r="J47" s="8" t="s">
        <v>820</v>
      </c>
      <c r="K47" s="8" t="s">
        <v>16</v>
      </c>
      <c r="L47" s="8" t="s">
        <v>17</v>
      </c>
      <c r="M47" s="10" t="s">
        <v>680</v>
      </c>
      <c r="N47" s="10" t="s">
        <v>717</v>
      </c>
      <c r="O47" s="10" t="s">
        <v>654</v>
      </c>
      <c r="P47" s="1"/>
      <c r="Q47" s="11" t="b">
        <f>O47=P47</f>
        <v>0</v>
      </c>
      <c r="R47" s="30">
        <v>30040723</v>
      </c>
      <c r="S47" s="1"/>
      <c r="T47" s="11" t="b">
        <f>R47=S47</f>
        <v>0</v>
      </c>
      <c r="U47" s="10" t="s">
        <v>16</v>
      </c>
      <c r="V47" s="1"/>
      <c r="W47" s="11" t="b">
        <f>U47=V47</f>
        <v>0</v>
      </c>
      <c r="X47" s="13" t="s">
        <v>15</v>
      </c>
      <c r="Y47" s="1"/>
      <c r="Z47" s="1"/>
      <c r="AA47" s="59">
        <v>22002447</v>
      </c>
      <c r="AB47" s="10" t="s">
        <v>1409</v>
      </c>
      <c r="AD47" s="11" t="b">
        <f>AB47=AC47</f>
        <v>0</v>
      </c>
      <c r="AE47" s="10" t="s">
        <v>758</v>
      </c>
      <c r="AF47" s="1"/>
      <c r="AG47" s="11" t="b">
        <f>AE47=AF47</f>
        <v>0</v>
      </c>
      <c r="AH47" s="1">
        <v>17</v>
      </c>
      <c r="AI47" s="1">
        <v>14.48</v>
      </c>
      <c r="AJ47" s="16">
        <f>AI47*220/30*30.4375</f>
        <v>3232.0566666666668</v>
      </c>
      <c r="AK47" s="18">
        <v>3232.06</v>
      </c>
      <c r="AL47" s="71" t="s">
        <v>654</v>
      </c>
      <c r="AM47" s="19" t="b">
        <f>AL47=O47</f>
        <v>1</v>
      </c>
      <c r="AN47" s="7">
        <f>VLOOKUP(A47,'base ZITRHR129'!$G$1:$H$628,2,0)</f>
        <v>30040723</v>
      </c>
      <c r="AO47" s="7" t="b">
        <f>AN47=R47</f>
        <v>1</v>
      </c>
      <c r="AP47" s="7">
        <f>VLOOKUP(A47,'base ZITRHR129'!G34:W660,17,0)</f>
        <v>3232.06</v>
      </c>
      <c r="AQ47" s="7" t="b">
        <f>AP47=AK47</f>
        <v>1</v>
      </c>
      <c r="AR47" s="69"/>
    </row>
    <row r="48" spans="1:44" s="7" customFormat="1" ht="12" x14ac:dyDescent="0.2">
      <c r="A48" s="7">
        <v>10022105</v>
      </c>
      <c r="B48" s="8" t="s">
        <v>72</v>
      </c>
      <c r="C48" s="8" t="s">
        <v>695</v>
      </c>
      <c r="D48" s="8" t="s">
        <v>717</v>
      </c>
      <c r="E48" s="8" t="s">
        <v>724</v>
      </c>
      <c r="F48" s="8" t="s">
        <v>1406</v>
      </c>
      <c r="G48" s="8" t="s">
        <v>21</v>
      </c>
      <c r="H48" s="9">
        <v>16</v>
      </c>
      <c r="I48" s="8" t="s">
        <v>660</v>
      </c>
      <c r="J48" s="8" t="s">
        <v>821</v>
      </c>
      <c r="K48" s="8" t="s">
        <v>16</v>
      </c>
      <c r="L48" s="8" t="s">
        <v>17</v>
      </c>
      <c r="M48" s="10" t="s">
        <v>695</v>
      </c>
      <c r="N48" s="10" t="s">
        <v>717</v>
      </c>
      <c r="O48" s="10" t="s">
        <v>660</v>
      </c>
      <c r="P48" s="1"/>
      <c r="Q48" s="11" t="b">
        <f>O48=P48</f>
        <v>0</v>
      </c>
      <c r="R48" s="30">
        <v>30040724</v>
      </c>
      <c r="S48" s="1"/>
      <c r="T48" s="11" t="b">
        <f>R48=S48</f>
        <v>0</v>
      </c>
      <c r="U48" s="10" t="s">
        <v>16</v>
      </c>
      <c r="V48" s="1"/>
      <c r="W48" s="11" t="b">
        <f>U48=V48</f>
        <v>0</v>
      </c>
      <c r="X48" s="13" t="s">
        <v>15</v>
      </c>
      <c r="Y48" s="1"/>
      <c r="Z48" s="1"/>
      <c r="AA48" s="59">
        <v>22002616</v>
      </c>
      <c r="AB48" s="10" t="s">
        <v>1409</v>
      </c>
      <c r="AD48" s="11" t="b">
        <f>AB48=AC48</f>
        <v>0</v>
      </c>
      <c r="AE48" s="10" t="s">
        <v>21</v>
      </c>
      <c r="AF48" s="1"/>
      <c r="AG48" s="11" t="b">
        <f>AE48=AF48</f>
        <v>0</v>
      </c>
      <c r="AH48" s="1">
        <v>16</v>
      </c>
      <c r="AI48" s="1">
        <v>11.71</v>
      </c>
      <c r="AJ48" s="16">
        <f>AI48*220/30*30.4375</f>
        <v>2613.7695833333337</v>
      </c>
      <c r="AK48" s="18">
        <v>2613.77</v>
      </c>
      <c r="AL48" s="71" t="s">
        <v>660</v>
      </c>
      <c r="AM48" s="19" t="b">
        <f>AL48=O48</f>
        <v>1</v>
      </c>
      <c r="AN48" s="7">
        <f>VLOOKUP(A48,'base ZITRHR129'!$G$1:$H$628,2,0)</f>
        <v>30040724</v>
      </c>
      <c r="AO48" s="7" t="b">
        <f>AN48=R48</f>
        <v>1</v>
      </c>
      <c r="AP48" s="7">
        <f>VLOOKUP(A48,'base ZITRHR129'!G33:W659,17,0)</f>
        <v>2613.77</v>
      </c>
      <c r="AQ48" s="7" t="b">
        <f>AP48=AK48</f>
        <v>1</v>
      </c>
      <c r="AR48" s="69"/>
    </row>
    <row r="49" spans="1:44" s="7" customFormat="1" ht="12" x14ac:dyDescent="0.2">
      <c r="A49" s="7">
        <v>10022125</v>
      </c>
      <c r="B49" s="8" t="s">
        <v>73</v>
      </c>
      <c r="C49" s="8" t="s">
        <v>689</v>
      </c>
      <c r="D49" s="8" t="s">
        <v>717</v>
      </c>
      <c r="E49" s="8" t="s">
        <v>730</v>
      </c>
      <c r="F49" s="8" t="s">
        <v>1406</v>
      </c>
      <c r="G49" s="8" t="s">
        <v>759</v>
      </c>
      <c r="H49" s="9">
        <v>17</v>
      </c>
      <c r="I49" s="8" t="s">
        <v>662</v>
      </c>
      <c r="J49" s="8" t="s">
        <v>822</v>
      </c>
      <c r="K49" s="8" t="s">
        <v>16</v>
      </c>
      <c r="L49" s="8" t="s">
        <v>17</v>
      </c>
      <c r="M49" s="10" t="s">
        <v>689</v>
      </c>
      <c r="N49" s="10" t="s">
        <v>717</v>
      </c>
      <c r="O49" s="10" t="s">
        <v>662</v>
      </c>
      <c r="P49" s="1"/>
      <c r="Q49" s="11" t="b">
        <f>O49=P49</f>
        <v>0</v>
      </c>
      <c r="R49" s="30">
        <v>30040725</v>
      </c>
      <c r="S49" s="1"/>
      <c r="T49" s="11" t="b">
        <f>R49=S49</f>
        <v>0</v>
      </c>
      <c r="U49" s="10" t="s">
        <v>16</v>
      </c>
      <c r="V49" s="1"/>
      <c r="W49" s="11" t="b">
        <f>U49=V49</f>
        <v>0</v>
      </c>
      <c r="X49" s="13" t="s">
        <v>15</v>
      </c>
      <c r="Y49" s="1"/>
      <c r="Z49" s="1"/>
      <c r="AA49" s="59">
        <v>22002605</v>
      </c>
      <c r="AB49" s="10" t="s">
        <v>1409</v>
      </c>
      <c r="AD49" s="11" t="b">
        <f>AB49=AC49</f>
        <v>0</v>
      </c>
      <c r="AE49" s="10" t="s">
        <v>759</v>
      </c>
      <c r="AF49" s="1"/>
      <c r="AG49" s="11" t="b">
        <f>AE49=AF49</f>
        <v>0</v>
      </c>
      <c r="AH49" s="1">
        <v>17</v>
      </c>
      <c r="AI49" s="1">
        <v>14.04</v>
      </c>
      <c r="AJ49" s="16">
        <f>AI49*220/30*30.4375</f>
        <v>3133.8449999999998</v>
      </c>
      <c r="AK49" s="18">
        <v>3133.85</v>
      </c>
      <c r="AL49" s="71" t="s">
        <v>662</v>
      </c>
      <c r="AM49" s="19" t="b">
        <f>AL49=O49</f>
        <v>1</v>
      </c>
      <c r="AN49" s="7">
        <f>VLOOKUP(A49,'base ZITRHR129'!$G$1:$H$628,2,0)</f>
        <v>30040725</v>
      </c>
      <c r="AO49" s="7" t="b">
        <f>AN49=R49</f>
        <v>1</v>
      </c>
      <c r="AP49" s="7">
        <f>VLOOKUP(A49,'base ZITRHR129'!G32:W658,17,0)</f>
        <v>3133.85</v>
      </c>
      <c r="AQ49" s="7" t="b">
        <f>AP49=AK49</f>
        <v>1</v>
      </c>
      <c r="AR49" s="69"/>
    </row>
    <row r="50" spans="1:44" s="7" customFormat="1" ht="12" x14ac:dyDescent="0.2">
      <c r="A50" s="7">
        <v>10022129</v>
      </c>
      <c r="B50" s="8" t="s">
        <v>74</v>
      </c>
      <c r="C50" s="8" t="s">
        <v>696</v>
      </c>
      <c r="D50" s="8" t="s">
        <v>717</v>
      </c>
      <c r="E50" s="8" t="s">
        <v>731</v>
      </c>
      <c r="F50" s="8" t="s">
        <v>1406</v>
      </c>
      <c r="G50" s="8" t="s">
        <v>760</v>
      </c>
      <c r="H50" s="9">
        <v>19</v>
      </c>
      <c r="I50" s="8" t="s">
        <v>658</v>
      </c>
      <c r="J50" s="8" t="s">
        <v>823</v>
      </c>
      <c r="K50" s="8" t="s">
        <v>6</v>
      </c>
      <c r="L50" s="8" t="s">
        <v>17</v>
      </c>
      <c r="M50" s="10" t="s">
        <v>696</v>
      </c>
      <c r="N50" s="10" t="s">
        <v>717</v>
      </c>
      <c r="O50" s="10" t="s">
        <v>658</v>
      </c>
      <c r="P50" s="1"/>
      <c r="Q50" s="11" t="b">
        <f>O50=P50</f>
        <v>0</v>
      </c>
      <c r="R50" s="30">
        <v>30040726</v>
      </c>
      <c r="S50" s="1"/>
      <c r="T50" s="11" t="b">
        <f>R50=S50</f>
        <v>0</v>
      </c>
      <c r="U50" s="10" t="s">
        <v>6</v>
      </c>
      <c r="V50" s="1"/>
      <c r="W50" s="11" t="b">
        <f>U50=V50</f>
        <v>0</v>
      </c>
      <c r="X50" s="13" t="s">
        <v>15</v>
      </c>
      <c r="Y50" s="1"/>
      <c r="Z50" s="1"/>
      <c r="AA50" s="59">
        <v>22002451</v>
      </c>
      <c r="AB50" s="10" t="s">
        <v>1409</v>
      </c>
      <c r="AD50" s="11" t="b">
        <f>AB50=AC50</f>
        <v>0</v>
      </c>
      <c r="AE50" s="10" t="s">
        <v>760</v>
      </c>
      <c r="AF50" s="1"/>
      <c r="AG50" s="11" t="b">
        <f>AE50=AF50</f>
        <v>0</v>
      </c>
      <c r="AH50" s="1">
        <v>19</v>
      </c>
      <c r="AI50" s="1">
        <v>18.62</v>
      </c>
      <c r="AJ50" s="16">
        <f>AI50*220/30*30.4375</f>
        <v>4156.1391666666668</v>
      </c>
      <c r="AK50" s="18">
        <v>4156.1400000000003</v>
      </c>
      <c r="AL50" s="72" t="s">
        <v>676</v>
      </c>
      <c r="AM50" s="48" t="b">
        <f>AL50=O50</f>
        <v>0</v>
      </c>
      <c r="AN50" s="7">
        <f>VLOOKUP(A50,'base ZITRHR129'!$G$1:$H$628,2,0)</f>
        <v>30040726</v>
      </c>
      <c r="AO50" s="7" t="b">
        <f>AN50=R50</f>
        <v>1</v>
      </c>
      <c r="AP50" s="7">
        <f>VLOOKUP(A50,'base ZITRHR129'!G31:W657,17,0)</f>
        <v>4156.1400000000003</v>
      </c>
      <c r="AQ50" s="7" t="b">
        <f>AP50=AK50</f>
        <v>1</v>
      </c>
      <c r="AR50" s="69" t="s">
        <v>1517</v>
      </c>
    </row>
    <row r="51" spans="1:44" s="7" customFormat="1" ht="12" x14ac:dyDescent="0.2">
      <c r="A51" s="7">
        <v>10022253</v>
      </c>
      <c r="B51" s="8" t="s">
        <v>75</v>
      </c>
      <c r="C51" s="8" t="s">
        <v>691</v>
      </c>
      <c r="D51" s="8" t="s">
        <v>717</v>
      </c>
      <c r="E51" s="8" t="s">
        <v>728</v>
      </c>
      <c r="F51" s="8" t="s">
        <v>1406</v>
      </c>
      <c r="G51" s="8" t="s">
        <v>757</v>
      </c>
      <c r="H51" s="9">
        <v>13</v>
      </c>
      <c r="I51" s="8" t="s">
        <v>658</v>
      </c>
      <c r="J51" s="8" t="s">
        <v>824</v>
      </c>
      <c r="K51" s="8" t="s">
        <v>6</v>
      </c>
      <c r="L51" s="8" t="s">
        <v>17</v>
      </c>
      <c r="M51" s="10" t="s">
        <v>691</v>
      </c>
      <c r="N51" s="10" t="s">
        <v>717</v>
      </c>
      <c r="O51" s="10" t="s">
        <v>658</v>
      </c>
      <c r="P51" s="1"/>
      <c r="Q51" s="11" t="b">
        <f>O51=P51</f>
        <v>0</v>
      </c>
      <c r="R51" s="30">
        <v>30040727</v>
      </c>
      <c r="S51" s="1"/>
      <c r="T51" s="11" t="b">
        <f>R51=S51</f>
        <v>0</v>
      </c>
      <c r="U51" s="10" t="s">
        <v>6</v>
      </c>
      <c r="V51" s="1"/>
      <c r="W51" s="11" t="b">
        <f>U51=V51</f>
        <v>0</v>
      </c>
      <c r="X51" s="13" t="s">
        <v>15</v>
      </c>
      <c r="Y51" s="1"/>
      <c r="Z51" s="1"/>
      <c r="AA51" s="14">
        <v>22000878</v>
      </c>
      <c r="AB51" s="10" t="s">
        <v>1409</v>
      </c>
      <c r="AD51" s="11" t="b">
        <f>AB51=AC51</f>
        <v>0</v>
      </c>
      <c r="AE51" s="10" t="s">
        <v>757</v>
      </c>
      <c r="AF51" s="1"/>
      <c r="AG51" s="11" t="b">
        <f>AE51=AF51</f>
        <v>0</v>
      </c>
      <c r="AH51" s="1">
        <v>13</v>
      </c>
      <c r="AI51" s="1">
        <v>7.37</v>
      </c>
      <c r="AJ51" s="16">
        <f>AI51*220/30*30.4375</f>
        <v>1645.0454166666666</v>
      </c>
      <c r="AK51" s="18">
        <v>1645.05</v>
      </c>
      <c r="AL51" s="72" t="s">
        <v>664</v>
      </c>
      <c r="AM51" s="48" t="b">
        <f>AL51=O51</f>
        <v>0</v>
      </c>
      <c r="AN51" s="7">
        <f>VLOOKUP(A51,'base ZITRHR129'!$G$1:$H$628,2,0)</f>
        <v>30040727</v>
      </c>
      <c r="AO51" s="7" t="b">
        <f>AN51=R51</f>
        <v>1</v>
      </c>
      <c r="AP51" s="7">
        <f>VLOOKUP(A51,'base ZITRHR129'!G30:W656,17,0)</f>
        <v>1645.05</v>
      </c>
      <c r="AQ51" s="7" t="b">
        <f>AP51=AK51</f>
        <v>1</v>
      </c>
      <c r="AR51" s="69" t="s">
        <v>1517</v>
      </c>
    </row>
    <row r="52" spans="1:44" s="7" customFormat="1" ht="12" x14ac:dyDescent="0.2">
      <c r="A52" s="7">
        <v>10022283</v>
      </c>
      <c r="B52" s="8" t="s">
        <v>76</v>
      </c>
      <c r="C52" s="8" t="s">
        <v>697</v>
      </c>
      <c r="D52" s="8" t="s">
        <v>717</v>
      </c>
      <c r="E52" s="8" t="s">
        <v>720</v>
      </c>
      <c r="F52" s="8" t="s">
        <v>1406</v>
      </c>
      <c r="G52" s="8" t="s">
        <v>751</v>
      </c>
      <c r="H52" s="9">
        <v>18</v>
      </c>
      <c r="I52" s="8" t="s">
        <v>658</v>
      </c>
      <c r="J52" s="8" t="s">
        <v>825</v>
      </c>
      <c r="K52" s="8" t="s">
        <v>6</v>
      </c>
      <c r="L52" s="8" t="s">
        <v>17</v>
      </c>
      <c r="M52" s="10" t="s">
        <v>697</v>
      </c>
      <c r="N52" s="10" t="s">
        <v>717</v>
      </c>
      <c r="O52" s="10" t="s">
        <v>658</v>
      </c>
      <c r="P52" s="1"/>
      <c r="Q52" s="11" t="b">
        <f>O52=P52</f>
        <v>0</v>
      </c>
      <c r="R52" s="30">
        <v>30040728</v>
      </c>
      <c r="S52" s="1"/>
      <c r="T52" s="11" t="b">
        <f>R52=S52</f>
        <v>0</v>
      </c>
      <c r="U52" s="10" t="s">
        <v>6</v>
      </c>
      <c r="V52" s="1"/>
      <c r="W52" s="11" t="b">
        <f>U52=V52</f>
        <v>0</v>
      </c>
      <c r="X52" s="13" t="s">
        <v>15</v>
      </c>
      <c r="Y52" s="1"/>
      <c r="Z52" s="1"/>
      <c r="AA52" s="10">
        <v>22003015</v>
      </c>
      <c r="AB52" s="10" t="s">
        <v>1409</v>
      </c>
      <c r="AD52" s="11" t="b">
        <f>AB52=AC52</f>
        <v>0</v>
      </c>
      <c r="AE52" s="10" t="s">
        <v>751</v>
      </c>
      <c r="AF52" s="1"/>
      <c r="AG52" s="11" t="b">
        <f>AE52=AF52</f>
        <v>0</v>
      </c>
      <c r="AH52" s="1">
        <v>18</v>
      </c>
      <c r="AI52" s="1">
        <v>17.73</v>
      </c>
      <c r="AJ52" s="16">
        <f>AI52*220/30*30.4375</f>
        <v>3957.4837500000003</v>
      </c>
      <c r="AK52" s="18">
        <v>3957.48</v>
      </c>
      <c r="AL52" s="71" t="s">
        <v>658</v>
      </c>
      <c r="AM52" s="19" t="b">
        <f>AL52=O52</f>
        <v>1</v>
      </c>
      <c r="AN52" s="7">
        <f>VLOOKUP(A52,'base ZITRHR129'!$G$1:$H$628,2,0)</f>
        <v>30040728</v>
      </c>
      <c r="AO52" s="7" t="b">
        <f>AN52=R52</f>
        <v>1</v>
      </c>
      <c r="AP52" s="7">
        <f>VLOOKUP(A52,'base ZITRHR129'!G29:W655,17,0)</f>
        <v>3957.48</v>
      </c>
      <c r="AQ52" s="7" t="b">
        <f>AP52=AK52</f>
        <v>1</v>
      </c>
      <c r="AR52" s="69"/>
    </row>
    <row r="53" spans="1:44" s="7" customFormat="1" ht="12" x14ac:dyDescent="0.2">
      <c r="A53" s="7">
        <v>10022445</v>
      </c>
      <c r="B53" s="8" t="s">
        <v>77</v>
      </c>
      <c r="C53" s="8" t="s">
        <v>681</v>
      </c>
      <c r="D53" s="8" t="s">
        <v>717</v>
      </c>
      <c r="E53" s="8" t="s">
        <v>718</v>
      </c>
      <c r="F53" s="8" t="s">
        <v>1406</v>
      </c>
      <c r="G53" s="8" t="s">
        <v>750</v>
      </c>
      <c r="H53" s="9">
        <v>19</v>
      </c>
      <c r="I53" s="8" t="s">
        <v>653</v>
      </c>
      <c r="J53" s="8" t="s">
        <v>826</v>
      </c>
      <c r="K53" s="8" t="s">
        <v>16</v>
      </c>
      <c r="L53" s="8" t="s">
        <v>17</v>
      </c>
      <c r="M53" s="10" t="s">
        <v>681</v>
      </c>
      <c r="N53" s="10" t="s">
        <v>717</v>
      </c>
      <c r="O53" s="10" t="s">
        <v>653</v>
      </c>
      <c r="P53" s="1"/>
      <c r="Q53" s="11" t="b">
        <f>O53=P53</f>
        <v>0</v>
      </c>
      <c r="R53" s="30">
        <v>30040729</v>
      </c>
      <c r="S53" s="1"/>
      <c r="T53" s="11" t="b">
        <f>R53=S53</f>
        <v>0</v>
      </c>
      <c r="U53" s="10" t="s">
        <v>16</v>
      </c>
      <c r="V53" s="1"/>
      <c r="W53" s="11" t="b">
        <f>U53=V53</f>
        <v>0</v>
      </c>
      <c r="X53" s="13" t="s">
        <v>15</v>
      </c>
      <c r="Y53" s="1"/>
      <c r="Z53" s="1"/>
      <c r="AA53" s="59">
        <v>22003022</v>
      </c>
      <c r="AB53" s="10" t="s">
        <v>1409</v>
      </c>
      <c r="AD53" s="11" t="b">
        <f>AB53=AC53</f>
        <v>0</v>
      </c>
      <c r="AE53" s="10" t="s">
        <v>750</v>
      </c>
      <c r="AF53" s="1"/>
      <c r="AG53" s="11" t="b">
        <f>AE53=AF53</f>
        <v>0</v>
      </c>
      <c r="AH53" s="1">
        <v>19</v>
      </c>
      <c r="AI53" s="1">
        <v>18.62</v>
      </c>
      <c r="AJ53" s="16">
        <f>AI53*220/30*30.4375</f>
        <v>4156.1391666666668</v>
      </c>
      <c r="AK53" s="18">
        <v>4156.1400000000003</v>
      </c>
      <c r="AL53" s="71" t="s">
        <v>653</v>
      </c>
      <c r="AM53" s="19" t="b">
        <f>AL53=O53</f>
        <v>1</v>
      </c>
      <c r="AN53" s="7">
        <f>VLOOKUP(A53,'base ZITRHR129'!$G$1:$H$628,2,0)</f>
        <v>30040729</v>
      </c>
      <c r="AO53" s="7" t="b">
        <f>AN53=R53</f>
        <v>1</v>
      </c>
      <c r="AP53" s="7">
        <f>VLOOKUP(A53,'base ZITRHR129'!G28:W654,17,0)</f>
        <v>4156.1400000000003</v>
      </c>
      <c r="AQ53" s="7" t="b">
        <f>AP53=AK53</f>
        <v>1</v>
      </c>
      <c r="AR53" s="69"/>
    </row>
    <row r="54" spans="1:44" s="7" customFormat="1" ht="12" x14ac:dyDescent="0.2">
      <c r="A54" s="7">
        <v>10023214</v>
      </c>
      <c r="B54" s="8" t="s">
        <v>78</v>
      </c>
      <c r="C54" s="8" t="s">
        <v>680</v>
      </c>
      <c r="D54" s="8" t="s">
        <v>717</v>
      </c>
      <c r="E54" s="8" t="s">
        <v>729</v>
      </c>
      <c r="F54" s="8" t="s">
        <v>1406</v>
      </c>
      <c r="G54" s="8" t="s">
        <v>758</v>
      </c>
      <c r="H54" s="9">
        <v>17</v>
      </c>
      <c r="I54" s="8" t="s">
        <v>654</v>
      </c>
      <c r="J54" s="8" t="s">
        <v>827</v>
      </c>
      <c r="K54" s="8" t="s">
        <v>16</v>
      </c>
      <c r="L54" s="8" t="s">
        <v>17</v>
      </c>
      <c r="M54" s="10" t="s">
        <v>680</v>
      </c>
      <c r="N54" s="10" t="s">
        <v>717</v>
      </c>
      <c r="O54" s="10" t="s">
        <v>654</v>
      </c>
      <c r="P54" s="1"/>
      <c r="Q54" s="11" t="b">
        <f>O54=P54</f>
        <v>0</v>
      </c>
      <c r="R54" s="30">
        <v>30040730</v>
      </c>
      <c r="S54" s="1"/>
      <c r="T54" s="11" t="b">
        <f>R54=S54</f>
        <v>0</v>
      </c>
      <c r="U54" s="10" t="s">
        <v>16</v>
      </c>
      <c r="V54" s="1"/>
      <c r="W54" s="11" t="b">
        <f>U54=V54</f>
        <v>0</v>
      </c>
      <c r="X54" s="13" t="s">
        <v>15</v>
      </c>
      <c r="Y54" s="1"/>
      <c r="Z54" s="1"/>
      <c r="AA54" s="59">
        <v>22002447</v>
      </c>
      <c r="AB54" s="10" t="s">
        <v>1409</v>
      </c>
      <c r="AD54" s="11" t="b">
        <f>AB54=AC54</f>
        <v>0</v>
      </c>
      <c r="AE54" s="10" t="s">
        <v>758</v>
      </c>
      <c r="AF54" s="1"/>
      <c r="AG54" s="11" t="b">
        <f>AE54=AF54</f>
        <v>0</v>
      </c>
      <c r="AH54" s="1">
        <v>17</v>
      </c>
      <c r="AI54" s="1">
        <v>14.48</v>
      </c>
      <c r="AJ54" s="16">
        <f>AI54*220/30*30.4375</f>
        <v>3232.0566666666668</v>
      </c>
      <c r="AK54" s="18">
        <v>3232.06</v>
      </c>
      <c r="AL54" s="71" t="s">
        <v>654</v>
      </c>
      <c r="AM54" s="19" t="b">
        <f>AL54=O54</f>
        <v>1</v>
      </c>
      <c r="AN54" s="7">
        <f>VLOOKUP(A54,'base ZITRHR129'!$G$1:$H$628,2,0)</f>
        <v>30040730</v>
      </c>
      <c r="AO54" s="7" t="b">
        <f>AN54=R54</f>
        <v>1</v>
      </c>
      <c r="AP54" s="7">
        <f>VLOOKUP(A54,'base ZITRHR129'!G27:W653,17,0)</f>
        <v>3232.06</v>
      </c>
      <c r="AQ54" s="7" t="b">
        <f>AP54=AK54</f>
        <v>1</v>
      </c>
      <c r="AR54" s="69"/>
    </row>
    <row r="55" spans="1:44" s="7" customFormat="1" ht="12" x14ac:dyDescent="0.2">
      <c r="A55" s="7">
        <v>10023588</v>
      </c>
      <c r="B55" s="8" t="s">
        <v>79</v>
      </c>
      <c r="C55" s="8" t="s">
        <v>679</v>
      </c>
      <c r="D55" s="8" t="s">
        <v>717</v>
      </c>
      <c r="E55" s="8" t="s">
        <v>720</v>
      </c>
      <c r="F55" s="8" t="s">
        <v>1406</v>
      </c>
      <c r="G55" s="8" t="s">
        <v>751</v>
      </c>
      <c r="H55" s="9">
        <v>18</v>
      </c>
      <c r="I55" s="8" t="s">
        <v>653</v>
      </c>
      <c r="J55" s="8" t="s">
        <v>828</v>
      </c>
      <c r="K55" s="8" t="s">
        <v>16</v>
      </c>
      <c r="L55" s="8" t="s">
        <v>17</v>
      </c>
      <c r="M55" s="10" t="s">
        <v>679</v>
      </c>
      <c r="N55" s="10" t="s">
        <v>717</v>
      </c>
      <c r="O55" s="10" t="s">
        <v>653</v>
      </c>
      <c r="P55" s="1"/>
      <c r="Q55" s="11" t="b">
        <f>O55=P55</f>
        <v>0</v>
      </c>
      <c r="R55" s="30">
        <v>30040731</v>
      </c>
      <c r="S55" s="1"/>
      <c r="T55" s="11" t="b">
        <f>R55=S55</f>
        <v>0</v>
      </c>
      <c r="U55" s="10" t="s">
        <v>16</v>
      </c>
      <c r="V55" s="1"/>
      <c r="W55" s="11" t="b">
        <f>U55=V55</f>
        <v>0</v>
      </c>
      <c r="X55" s="13" t="s">
        <v>15</v>
      </c>
      <c r="Y55" s="1"/>
      <c r="Z55" s="1"/>
      <c r="AA55" s="59">
        <v>22003015</v>
      </c>
      <c r="AB55" s="10" t="s">
        <v>1409</v>
      </c>
      <c r="AD55" s="11" t="b">
        <f>AB55=AC55</f>
        <v>0</v>
      </c>
      <c r="AE55" s="10" t="s">
        <v>751</v>
      </c>
      <c r="AF55" s="1"/>
      <c r="AG55" s="11" t="b">
        <f>AE55=AF55</f>
        <v>0</v>
      </c>
      <c r="AH55" s="1">
        <v>18</v>
      </c>
      <c r="AI55" s="1">
        <v>17.73</v>
      </c>
      <c r="AJ55" s="16">
        <f>AI55*220/30*30.4375</f>
        <v>3957.4837500000003</v>
      </c>
      <c r="AK55" s="18">
        <v>3957.48</v>
      </c>
      <c r="AL55" s="71" t="s">
        <v>653</v>
      </c>
      <c r="AM55" s="19" t="b">
        <f>AL55=O55</f>
        <v>1</v>
      </c>
      <c r="AN55" s="7">
        <f>VLOOKUP(A55,'base ZITRHR129'!$G$1:$H$628,2,0)</f>
        <v>30040731</v>
      </c>
      <c r="AO55" s="7" t="b">
        <f>AN55=R55</f>
        <v>1</v>
      </c>
      <c r="AP55" s="7">
        <f>VLOOKUP(A55,'base ZITRHR129'!G26:W652,17,0)</f>
        <v>3957.48</v>
      </c>
      <c r="AQ55" s="7" t="b">
        <f>AP55=AK55</f>
        <v>1</v>
      </c>
      <c r="AR55" s="69"/>
    </row>
    <row r="56" spans="1:44" s="7" customFormat="1" ht="12" x14ac:dyDescent="0.2">
      <c r="A56" s="7">
        <v>10023605</v>
      </c>
      <c r="B56" s="8" t="s">
        <v>80</v>
      </c>
      <c r="C56" s="8" t="s">
        <v>698</v>
      </c>
      <c r="D56" s="8" t="s">
        <v>717</v>
      </c>
      <c r="E56" s="8" t="s">
        <v>727</v>
      </c>
      <c r="F56" s="8" t="s">
        <v>1406</v>
      </c>
      <c r="G56" s="8" t="s">
        <v>756</v>
      </c>
      <c r="H56" s="9">
        <v>17</v>
      </c>
      <c r="I56" s="8" t="s">
        <v>664</v>
      </c>
      <c r="J56" s="8" t="s">
        <v>829</v>
      </c>
      <c r="K56" s="8" t="s">
        <v>16</v>
      </c>
      <c r="L56" s="8" t="s">
        <v>17</v>
      </c>
      <c r="M56" s="10" t="s">
        <v>698</v>
      </c>
      <c r="N56" s="10" t="s">
        <v>717</v>
      </c>
      <c r="O56" s="10" t="s">
        <v>664</v>
      </c>
      <c r="P56" s="1"/>
      <c r="Q56" s="11" t="b">
        <f>O56=P56</f>
        <v>0</v>
      </c>
      <c r="R56" s="30">
        <v>30040732</v>
      </c>
      <c r="S56" s="1"/>
      <c r="T56" s="11" t="b">
        <f>R56=S56</f>
        <v>0</v>
      </c>
      <c r="U56" s="10" t="s">
        <v>16</v>
      </c>
      <c r="V56" s="1"/>
      <c r="W56" s="11" t="b">
        <f>U56=V56</f>
        <v>0</v>
      </c>
      <c r="X56" s="13" t="s">
        <v>15</v>
      </c>
      <c r="Y56" s="1"/>
      <c r="Z56" s="1"/>
      <c r="AA56" s="59">
        <v>22003017</v>
      </c>
      <c r="AB56" s="10" t="s">
        <v>1409</v>
      </c>
      <c r="AD56" s="11" t="b">
        <f>AB56=AC56</f>
        <v>0</v>
      </c>
      <c r="AE56" s="10" t="s">
        <v>756</v>
      </c>
      <c r="AF56" s="1"/>
      <c r="AG56" s="11" t="b">
        <f>AE56=AF56</f>
        <v>0</v>
      </c>
      <c r="AH56" s="1">
        <v>17</v>
      </c>
      <c r="AI56" s="1">
        <v>14.04</v>
      </c>
      <c r="AJ56" s="16">
        <f>AI56*220/30*30.4375</f>
        <v>3133.8449999999998</v>
      </c>
      <c r="AK56" s="18">
        <v>3133.85</v>
      </c>
      <c r="AL56" s="71" t="s">
        <v>664</v>
      </c>
      <c r="AM56" s="19" t="b">
        <f>AL56=O56</f>
        <v>1</v>
      </c>
      <c r="AN56" s="7">
        <f>VLOOKUP(A56,'base ZITRHR129'!$G$1:$H$628,2,0)</f>
        <v>30040732</v>
      </c>
      <c r="AO56" s="7" t="b">
        <f>AN56=R56</f>
        <v>1</v>
      </c>
      <c r="AP56" s="7">
        <f>VLOOKUP(A56,'base ZITRHR129'!G25:W651,17,0)</f>
        <v>3133.85</v>
      </c>
      <c r="AQ56" s="7" t="b">
        <f>AP56=AK56</f>
        <v>1</v>
      </c>
      <c r="AR56" s="69"/>
    </row>
    <row r="57" spans="1:44" s="7" customFormat="1" ht="12" x14ac:dyDescent="0.2">
      <c r="A57" s="7">
        <v>10023645</v>
      </c>
      <c r="B57" s="8" t="s">
        <v>81</v>
      </c>
      <c r="C57" s="8" t="s">
        <v>695</v>
      </c>
      <c r="D57" s="8" t="s">
        <v>717</v>
      </c>
      <c r="E57" s="8" t="s">
        <v>719</v>
      </c>
      <c r="F57" s="8" t="s">
        <v>1406</v>
      </c>
      <c r="G57" s="8" t="s">
        <v>20</v>
      </c>
      <c r="H57" s="9">
        <v>19</v>
      </c>
      <c r="I57" s="8" t="s">
        <v>660</v>
      </c>
      <c r="J57" s="8" t="s">
        <v>830</v>
      </c>
      <c r="K57" s="8" t="s">
        <v>16</v>
      </c>
      <c r="L57" s="8" t="s">
        <v>17</v>
      </c>
      <c r="M57" s="10" t="s">
        <v>695</v>
      </c>
      <c r="N57" s="10" t="s">
        <v>717</v>
      </c>
      <c r="O57" s="10" t="s">
        <v>660</v>
      </c>
      <c r="P57" s="1"/>
      <c r="Q57" s="11" t="b">
        <f>O57=P57</f>
        <v>0</v>
      </c>
      <c r="R57" s="30">
        <v>30040733</v>
      </c>
      <c r="S57" s="1"/>
      <c r="T57" s="11" t="b">
        <f>R57=S57</f>
        <v>0</v>
      </c>
      <c r="U57" s="10" t="s">
        <v>16</v>
      </c>
      <c r="V57" s="1"/>
      <c r="W57" s="11" t="b">
        <f>U57=V57</f>
        <v>0</v>
      </c>
      <c r="X57" s="13" t="s">
        <v>15</v>
      </c>
      <c r="Y57" s="1"/>
      <c r="Z57" s="1"/>
      <c r="AA57" s="59">
        <v>22002723</v>
      </c>
      <c r="AB57" s="10" t="s">
        <v>1409</v>
      </c>
      <c r="AD57" s="11" t="b">
        <f>AB57=AC57</f>
        <v>0</v>
      </c>
      <c r="AE57" s="10" t="s">
        <v>20</v>
      </c>
      <c r="AF57" s="1"/>
      <c r="AG57" s="11" t="b">
        <f>AE57=AF57</f>
        <v>0</v>
      </c>
      <c r="AH57" s="1">
        <v>19</v>
      </c>
      <c r="AI57" s="1">
        <v>13.39</v>
      </c>
      <c r="AJ57" s="16">
        <f>AI57*220/30*30.4375</f>
        <v>2988.7595833333335</v>
      </c>
      <c r="AK57" s="18">
        <v>2988.76</v>
      </c>
      <c r="AL57" s="71" t="s">
        <v>660</v>
      </c>
      <c r="AM57" s="19" t="b">
        <f>AL57=O57</f>
        <v>1</v>
      </c>
      <c r="AN57" s="7">
        <f>VLOOKUP(A57,'base ZITRHR129'!$G$1:$H$628,2,0)</f>
        <v>30040733</v>
      </c>
      <c r="AO57" s="7" t="b">
        <f>AN57=R57</f>
        <v>1</v>
      </c>
      <c r="AP57" s="7">
        <f>VLOOKUP(A57,'base ZITRHR129'!G24:W650,17,0)</f>
        <v>2988.76</v>
      </c>
      <c r="AQ57" s="7" t="b">
        <f>AP57=AK57</f>
        <v>1</v>
      </c>
      <c r="AR57" s="69"/>
    </row>
    <row r="58" spans="1:44" s="49" customFormat="1" ht="12.75" customHeight="1" x14ac:dyDescent="0.2">
      <c r="A58" s="49">
        <v>10023650</v>
      </c>
      <c r="B58" s="50" t="s">
        <v>82</v>
      </c>
      <c r="C58" s="50" t="s">
        <v>679</v>
      </c>
      <c r="D58" s="50" t="s">
        <v>717</v>
      </c>
      <c r="E58" s="50" t="s">
        <v>720</v>
      </c>
      <c r="F58" s="50" t="s">
        <v>1406</v>
      </c>
      <c r="G58" s="50" t="s">
        <v>751</v>
      </c>
      <c r="H58" s="51">
        <v>18</v>
      </c>
      <c r="I58" s="50" t="s">
        <v>653</v>
      </c>
      <c r="J58" s="50" t="s">
        <v>831</v>
      </c>
      <c r="K58" s="50" t="s">
        <v>16</v>
      </c>
      <c r="L58" s="50" t="s">
        <v>17</v>
      </c>
      <c r="M58" s="50" t="s">
        <v>679</v>
      </c>
      <c r="N58" s="50" t="s">
        <v>717</v>
      </c>
      <c r="O58" s="50" t="s">
        <v>653</v>
      </c>
      <c r="P58" s="52"/>
      <c r="Q58" s="53" t="b">
        <f>O58=P58</f>
        <v>0</v>
      </c>
      <c r="R58" s="54">
        <v>30040734</v>
      </c>
      <c r="S58" s="52"/>
      <c r="T58" s="53" t="b">
        <f>R58=S58</f>
        <v>0</v>
      </c>
      <c r="U58" s="50" t="s">
        <v>16</v>
      </c>
      <c r="V58" s="52"/>
      <c r="W58" s="53" t="b">
        <f>U58=V58</f>
        <v>0</v>
      </c>
      <c r="X58" s="55" t="s">
        <v>15</v>
      </c>
      <c r="Y58" s="52"/>
      <c r="Z58" s="52"/>
      <c r="AA58" s="79">
        <v>22003015</v>
      </c>
      <c r="AB58" s="50" t="s">
        <v>1409</v>
      </c>
      <c r="AD58" s="53" t="b">
        <f>AB58=AC58</f>
        <v>0</v>
      </c>
      <c r="AE58" s="50" t="s">
        <v>751</v>
      </c>
      <c r="AF58" s="52"/>
      <c r="AG58" s="53" t="b">
        <f>AE58=AF58</f>
        <v>0</v>
      </c>
      <c r="AH58" s="52">
        <v>18</v>
      </c>
      <c r="AI58" s="52">
        <v>17.73</v>
      </c>
      <c r="AJ58" s="56">
        <f>AI58*220/30*30.4375</f>
        <v>3957.4837500000003</v>
      </c>
      <c r="AK58" s="57">
        <v>3957.48</v>
      </c>
      <c r="AL58" s="74" t="s">
        <v>653</v>
      </c>
      <c r="AM58" s="58" t="b">
        <f>AL58=O58</f>
        <v>1</v>
      </c>
      <c r="AN58" s="49">
        <f>VLOOKUP(A58,'base ZITRHR129'!$G$1:$H$628,2,0)</f>
        <v>30040734</v>
      </c>
      <c r="AO58" s="49" t="b">
        <f>AN58=R58</f>
        <v>1</v>
      </c>
      <c r="AP58" s="49">
        <f>VLOOKUP(A58,'base ZITRHR129'!G23:W649,17,0)</f>
        <v>3957.48</v>
      </c>
      <c r="AQ58" s="49" t="b">
        <f>AP58=AK58</f>
        <v>1</v>
      </c>
      <c r="AR58" s="75"/>
    </row>
    <row r="59" spans="1:44" s="7" customFormat="1" ht="12" x14ac:dyDescent="0.2">
      <c r="A59" s="7">
        <v>10023653</v>
      </c>
      <c r="B59" s="8" t="s">
        <v>83</v>
      </c>
      <c r="C59" s="8" t="s">
        <v>679</v>
      </c>
      <c r="D59" s="8" t="s">
        <v>717</v>
      </c>
      <c r="E59" s="8" t="s">
        <v>720</v>
      </c>
      <c r="F59" s="8" t="s">
        <v>1406</v>
      </c>
      <c r="G59" s="8" t="s">
        <v>751</v>
      </c>
      <c r="H59" s="9">
        <v>18</v>
      </c>
      <c r="I59" s="8" t="s">
        <v>653</v>
      </c>
      <c r="J59" s="8" t="s">
        <v>832</v>
      </c>
      <c r="K59" s="8" t="s">
        <v>16</v>
      </c>
      <c r="L59" s="8" t="s">
        <v>17</v>
      </c>
      <c r="M59" s="10" t="s">
        <v>679</v>
      </c>
      <c r="N59" s="10" t="s">
        <v>717</v>
      </c>
      <c r="O59" s="10" t="s">
        <v>653</v>
      </c>
      <c r="P59" s="1"/>
      <c r="Q59" s="11" t="b">
        <f>O59=P59</f>
        <v>0</v>
      </c>
      <c r="R59" s="30">
        <v>30040735</v>
      </c>
      <c r="S59" s="1"/>
      <c r="T59" s="11" t="b">
        <f>R59=S59</f>
        <v>0</v>
      </c>
      <c r="U59" s="10" t="s">
        <v>16</v>
      </c>
      <c r="V59" s="1"/>
      <c r="W59" s="11" t="b">
        <f>U59=V59</f>
        <v>0</v>
      </c>
      <c r="X59" s="13" t="s">
        <v>15</v>
      </c>
      <c r="Y59" s="1"/>
      <c r="Z59" s="1"/>
      <c r="AA59" s="59">
        <v>22003015</v>
      </c>
      <c r="AB59" s="10" t="s">
        <v>1409</v>
      </c>
      <c r="AD59" s="11" t="b">
        <f>AB59=AC59</f>
        <v>0</v>
      </c>
      <c r="AE59" s="10" t="s">
        <v>751</v>
      </c>
      <c r="AF59" s="1"/>
      <c r="AG59" s="11" t="b">
        <f>AE59=AF59</f>
        <v>0</v>
      </c>
      <c r="AH59" s="1">
        <v>18</v>
      </c>
      <c r="AI59" s="1">
        <v>17.73</v>
      </c>
      <c r="AJ59" s="16">
        <f>AI59*220/30*30.4375</f>
        <v>3957.4837500000003</v>
      </c>
      <c r="AK59" s="18">
        <v>3957.48</v>
      </c>
      <c r="AL59" s="71" t="s">
        <v>653</v>
      </c>
      <c r="AM59" s="19" t="b">
        <f>AL59=O59</f>
        <v>1</v>
      </c>
      <c r="AN59" s="7">
        <f>VLOOKUP(A59,'base ZITRHR129'!$G$1:$H$628,2,0)</f>
        <v>30040735</v>
      </c>
      <c r="AO59" s="7" t="b">
        <f>AN59=R59</f>
        <v>1</v>
      </c>
      <c r="AP59" s="7">
        <f>VLOOKUP(A59,'base ZITRHR129'!G22:W648,17,0)</f>
        <v>3957.48</v>
      </c>
      <c r="AQ59" s="7" t="b">
        <f>AP59=AK59</f>
        <v>1</v>
      </c>
      <c r="AR59" s="69"/>
    </row>
    <row r="60" spans="1:44" s="7" customFormat="1" ht="12" x14ac:dyDescent="0.2">
      <c r="A60" s="7">
        <v>10023664</v>
      </c>
      <c r="B60" s="8" t="s">
        <v>84</v>
      </c>
      <c r="C60" s="8" t="s">
        <v>680</v>
      </c>
      <c r="D60" s="8" t="s">
        <v>717</v>
      </c>
      <c r="E60" s="8" t="s">
        <v>729</v>
      </c>
      <c r="F60" s="8" t="s">
        <v>1406</v>
      </c>
      <c r="G60" s="8" t="s">
        <v>758</v>
      </c>
      <c r="H60" s="9">
        <v>17</v>
      </c>
      <c r="I60" s="8" t="s">
        <v>654</v>
      </c>
      <c r="J60" s="8" t="s">
        <v>833</v>
      </c>
      <c r="K60" s="8" t="s">
        <v>16</v>
      </c>
      <c r="L60" s="8" t="s">
        <v>17</v>
      </c>
      <c r="M60" s="10" t="s">
        <v>680</v>
      </c>
      <c r="N60" s="10" t="s">
        <v>717</v>
      </c>
      <c r="O60" s="10" t="s">
        <v>654</v>
      </c>
      <c r="P60" s="1"/>
      <c r="Q60" s="11" t="b">
        <f>O60=P60</f>
        <v>0</v>
      </c>
      <c r="R60" s="30">
        <v>30040736</v>
      </c>
      <c r="S60" s="1"/>
      <c r="T60" s="11" t="b">
        <f>R60=S60</f>
        <v>0</v>
      </c>
      <c r="U60" s="10" t="s">
        <v>16</v>
      </c>
      <c r="V60" s="1"/>
      <c r="W60" s="11" t="b">
        <f>U60=V60</f>
        <v>0</v>
      </c>
      <c r="X60" s="13" t="s">
        <v>15</v>
      </c>
      <c r="Y60" s="1"/>
      <c r="Z60" s="1"/>
      <c r="AA60" s="10">
        <v>22002447</v>
      </c>
      <c r="AB60" s="10" t="s">
        <v>1409</v>
      </c>
      <c r="AD60" s="11" t="b">
        <f>AB60=AC60</f>
        <v>0</v>
      </c>
      <c r="AE60" s="10" t="s">
        <v>758</v>
      </c>
      <c r="AF60" s="1"/>
      <c r="AG60" s="11" t="b">
        <f>AE60=AF60</f>
        <v>0</v>
      </c>
      <c r="AH60" s="1">
        <v>17</v>
      </c>
      <c r="AI60" s="1">
        <v>14.48</v>
      </c>
      <c r="AJ60" s="16">
        <f>AI60*220/30*30.4375</f>
        <v>3232.0566666666668</v>
      </c>
      <c r="AK60" s="18">
        <v>3232.06</v>
      </c>
      <c r="AL60" s="71" t="s">
        <v>654</v>
      </c>
      <c r="AM60" s="19" t="b">
        <f>AL60=O60</f>
        <v>1</v>
      </c>
      <c r="AN60" s="7">
        <f>VLOOKUP(A60,'base ZITRHR129'!$G$1:$H$628,2,0)</f>
        <v>30040736</v>
      </c>
      <c r="AO60" s="7" t="b">
        <f>AN60=R60</f>
        <v>1</v>
      </c>
      <c r="AP60" s="7">
        <f>VLOOKUP(A60,'base ZITRHR129'!G21:W647,17,0)</f>
        <v>3232.06</v>
      </c>
      <c r="AQ60" s="7" t="b">
        <f>AP60=AK60</f>
        <v>1</v>
      </c>
      <c r="AR60" s="69"/>
    </row>
    <row r="61" spans="1:44" s="7" customFormat="1" ht="12" x14ac:dyDescent="0.2">
      <c r="A61" s="7">
        <v>10023721</v>
      </c>
      <c r="B61" s="8" t="s">
        <v>85</v>
      </c>
      <c r="C61" s="8" t="s">
        <v>682</v>
      </c>
      <c r="D61" s="8" t="s">
        <v>717</v>
      </c>
      <c r="E61" s="8" t="s">
        <v>720</v>
      </c>
      <c r="F61" s="8" t="s">
        <v>1406</v>
      </c>
      <c r="G61" s="8" t="s">
        <v>751</v>
      </c>
      <c r="H61" s="9">
        <v>18</v>
      </c>
      <c r="I61" s="8" t="s">
        <v>655</v>
      </c>
      <c r="J61" s="8" t="s">
        <v>834</v>
      </c>
      <c r="K61" s="8" t="s">
        <v>16</v>
      </c>
      <c r="L61" s="8" t="s">
        <v>17</v>
      </c>
      <c r="M61" s="10" t="s">
        <v>682</v>
      </c>
      <c r="N61" s="10" t="s">
        <v>717</v>
      </c>
      <c r="O61" s="10" t="s">
        <v>655</v>
      </c>
      <c r="P61" s="1"/>
      <c r="Q61" s="11" t="b">
        <f>O61=P61</f>
        <v>0</v>
      </c>
      <c r="R61" s="30">
        <v>30040737</v>
      </c>
      <c r="S61" s="1"/>
      <c r="T61" s="11" t="b">
        <f>R61=S61</f>
        <v>0</v>
      </c>
      <c r="U61" s="10" t="s">
        <v>16</v>
      </c>
      <c r="V61" s="1"/>
      <c r="W61" s="11" t="b">
        <f>U61=V61</f>
        <v>0</v>
      </c>
      <c r="X61" s="13" t="s">
        <v>15</v>
      </c>
      <c r="Y61" s="1"/>
      <c r="Z61" s="1"/>
      <c r="AA61" s="10">
        <v>22003015</v>
      </c>
      <c r="AB61" s="10" t="s">
        <v>1409</v>
      </c>
      <c r="AD61" s="11" t="b">
        <f>AB61=AC61</f>
        <v>0</v>
      </c>
      <c r="AE61" s="10" t="s">
        <v>751</v>
      </c>
      <c r="AF61" s="1"/>
      <c r="AG61" s="11" t="b">
        <f>AE61=AF61</f>
        <v>0</v>
      </c>
      <c r="AH61" s="1">
        <v>18</v>
      </c>
      <c r="AI61" s="1">
        <v>17.73</v>
      </c>
      <c r="AJ61" s="16">
        <f>AI61*220/30*30.4375</f>
        <v>3957.4837500000003</v>
      </c>
      <c r="AK61" s="18">
        <v>3957.48</v>
      </c>
      <c r="AL61" s="71" t="s">
        <v>655</v>
      </c>
      <c r="AM61" s="19" t="b">
        <f>AL61=O61</f>
        <v>1</v>
      </c>
      <c r="AN61" s="7">
        <f>VLOOKUP(A61,'base ZITRHR129'!$G$1:$H$628,2,0)</f>
        <v>30040737</v>
      </c>
      <c r="AO61" s="7" t="b">
        <f>AN61=R61</f>
        <v>1</v>
      </c>
      <c r="AP61" s="7">
        <f>VLOOKUP(A61,'base ZITRHR129'!G20:W646,17,0)</f>
        <v>3957.48</v>
      </c>
      <c r="AQ61" s="7" t="b">
        <f>AP61=AK61</f>
        <v>1</v>
      </c>
      <c r="AR61" s="69"/>
    </row>
    <row r="62" spans="1:44" s="7" customFormat="1" ht="12" x14ac:dyDescent="0.2">
      <c r="A62" s="7">
        <v>10023726</v>
      </c>
      <c r="B62" s="8" t="s">
        <v>86</v>
      </c>
      <c r="C62" s="8" t="s">
        <v>699</v>
      </c>
      <c r="D62" s="8" t="s">
        <v>717</v>
      </c>
      <c r="E62" s="8" t="s">
        <v>720</v>
      </c>
      <c r="F62" s="8" t="s">
        <v>1406</v>
      </c>
      <c r="G62" s="8" t="s">
        <v>751</v>
      </c>
      <c r="H62" s="9">
        <v>18</v>
      </c>
      <c r="I62" s="8" t="s">
        <v>658</v>
      </c>
      <c r="J62" s="8" t="s">
        <v>835</v>
      </c>
      <c r="K62" s="8" t="s">
        <v>6</v>
      </c>
      <c r="L62" s="8" t="s">
        <v>17</v>
      </c>
      <c r="M62" s="10" t="s">
        <v>699</v>
      </c>
      <c r="N62" s="10" t="s">
        <v>717</v>
      </c>
      <c r="O62" s="10" t="s">
        <v>658</v>
      </c>
      <c r="P62" s="1"/>
      <c r="Q62" s="11" t="b">
        <f>O62=P62</f>
        <v>0</v>
      </c>
      <c r="R62" s="30">
        <v>30040738</v>
      </c>
      <c r="S62" s="1"/>
      <c r="T62" s="11" t="b">
        <f>R62=S62</f>
        <v>0</v>
      </c>
      <c r="U62" s="10" t="s">
        <v>6</v>
      </c>
      <c r="V62" s="1"/>
      <c r="W62" s="11" t="b">
        <f>U62=V62</f>
        <v>0</v>
      </c>
      <c r="X62" s="13" t="s">
        <v>15</v>
      </c>
      <c r="Y62" s="1"/>
      <c r="Z62" s="1"/>
      <c r="AA62" s="59">
        <v>22003015</v>
      </c>
      <c r="AB62" s="10" t="s">
        <v>1409</v>
      </c>
      <c r="AD62" s="11" t="b">
        <f>AB62=AC62</f>
        <v>0</v>
      </c>
      <c r="AE62" s="10" t="s">
        <v>751</v>
      </c>
      <c r="AF62" s="1"/>
      <c r="AG62" s="11" t="b">
        <f>AE62=AF62</f>
        <v>0</v>
      </c>
      <c r="AH62" s="1">
        <v>18</v>
      </c>
      <c r="AI62" s="1">
        <v>17.73</v>
      </c>
      <c r="AJ62" s="16">
        <f>AI62*220/30*30.4375</f>
        <v>3957.4837500000003</v>
      </c>
      <c r="AK62" s="18">
        <v>3957.48</v>
      </c>
      <c r="AL62" s="72" t="s">
        <v>1411</v>
      </c>
      <c r="AM62" s="48" t="b">
        <f>AL62=O62</f>
        <v>0</v>
      </c>
      <c r="AN62" s="7">
        <f>VLOOKUP(A62,'base ZITRHR129'!$G$1:$H$628,2,0)</f>
        <v>30040738</v>
      </c>
      <c r="AO62" s="7" t="b">
        <f>AN62=R62</f>
        <v>1</v>
      </c>
      <c r="AP62" s="7">
        <f>VLOOKUP(A62,'base ZITRHR129'!G19:W645,17,0)</f>
        <v>3957.48</v>
      </c>
      <c r="AQ62" s="7" t="b">
        <f>AP62=AK62</f>
        <v>1</v>
      </c>
      <c r="AR62" s="69" t="s">
        <v>1517</v>
      </c>
    </row>
    <row r="63" spans="1:44" s="7" customFormat="1" ht="12" x14ac:dyDescent="0.2">
      <c r="A63" s="7">
        <v>10023740</v>
      </c>
      <c r="B63" s="8" t="s">
        <v>87</v>
      </c>
      <c r="C63" s="8" t="s">
        <v>679</v>
      </c>
      <c r="D63" s="8" t="s">
        <v>717</v>
      </c>
      <c r="E63" s="8" t="s">
        <v>720</v>
      </c>
      <c r="F63" s="8" t="s">
        <v>1406</v>
      </c>
      <c r="G63" s="8" t="s">
        <v>751</v>
      </c>
      <c r="H63" s="9">
        <v>18</v>
      </c>
      <c r="I63" s="8" t="s">
        <v>653</v>
      </c>
      <c r="J63" s="8" t="s">
        <v>836</v>
      </c>
      <c r="K63" s="8" t="s">
        <v>16</v>
      </c>
      <c r="L63" s="8" t="s">
        <v>17</v>
      </c>
      <c r="M63" s="10" t="s">
        <v>679</v>
      </c>
      <c r="N63" s="10" t="s">
        <v>717</v>
      </c>
      <c r="O63" s="10" t="s">
        <v>653</v>
      </c>
      <c r="P63" s="1"/>
      <c r="Q63" s="11" t="b">
        <f>O63=P63</f>
        <v>0</v>
      </c>
      <c r="R63" s="30">
        <v>30040739</v>
      </c>
      <c r="S63" s="1"/>
      <c r="T63" s="11" t="b">
        <f>R63=S63</f>
        <v>0</v>
      </c>
      <c r="U63" s="10" t="s">
        <v>16</v>
      </c>
      <c r="V63" s="1"/>
      <c r="W63" s="11" t="b">
        <f>U63=V63</f>
        <v>0</v>
      </c>
      <c r="X63" s="13" t="s">
        <v>15</v>
      </c>
      <c r="Y63" s="1"/>
      <c r="Z63" s="1"/>
      <c r="AA63" s="59">
        <v>22003015</v>
      </c>
      <c r="AB63" s="10" t="s">
        <v>1409</v>
      </c>
      <c r="AD63" s="11" t="b">
        <f>AB63=AC63</f>
        <v>0</v>
      </c>
      <c r="AE63" s="10" t="s">
        <v>751</v>
      </c>
      <c r="AF63" s="1"/>
      <c r="AG63" s="11" t="b">
        <f>AE63=AF63</f>
        <v>0</v>
      </c>
      <c r="AH63" s="1">
        <v>18</v>
      </c>
      <c r="AI63" s="1">
        <v>17.73</v>
      </c>
      <c r="AJ63" s="16">
        <f>AI63*220/30*30.4375</f>
        <v>3957.4837500000003</v>
      </c>
      <c r="AK63" s="18">
        <v>3957.48</v>
      </c>
      <c r="AL63" s="71" t="s">
        <v>653</v>
      </c>
      <c r="AM63" s="19" t="b">
        <f>AL63=O63</f>
        <v>1</v>
      </c>
      <c r="AN63" s="7">
        <f>VLOOKUP(A63,'base ZITRHR129'!$G$1:$H$628,2,0)</f>
        <v>30040739</v>
      </c>
      <c r="AO63" s="7" t="b">
        <f>AN63=R63</f>
        <v>1</v>
      </c>
      <c r="AP63" s="7">
        <f>VLOOKUP(A63,'base ZITRHR129'!G18:W644,17,0)</f>
        <v>3957.48</v>
      </c>
      <c r="AQ63" s="7" t="b">
        <f>AP63=AK63</f>
        <v>1</v>
      </c>
      <c r="AR63" s="69"/>
    </row>
    <row r="64" spans="1:44" s="7" customFormat="1" ht="12" x14ac:dyDescent="0.2">
      <c r="A64" s="7">
        <v>10024640</v>
      </c>
      <c r="B64" s="8" t="s">
        <v>88</v>
      </c>
      <c r="C64" s="8" t="s">
        <v>698</v>
      </c>
      <c r="D64" s="8" t="s">
        <v>717</v>
      </c>
      <c r="E64" s="8" t="s">
        <v>719</v>
      </c>
      <c r="F64" s="8" t="s">
        <v>1406</v>
      </c>
      <c r="G64" s="8" t="s">
        <v>20</v>
      </c>
      <c r="H64" s="9">
        <v>19</v>
      </c>
      <c r="I64" s="8" t="s">
        <v>664</v>
      </c>
      <c r="J64" s="8" t="s">
        <v>837</v>
      </c>
      <c r="K64" s="8" t="s">
        <v>16</v>
      </c>
      <c r="L64" s="8" t="s">
        <v>17</v>
      </c>
      <c r="M64" s="10" t="s">
        <v>698</v>
      </c>
      <c r="N64" s="10" t="s">
        <v>717</v>
      </c>
      <c r="O64" s="10" t="s">
        <v>664</v>
      </c>
      <c r="P64" s="1"/>
      <c r="Q64" s="11" t="b">
        <f>O64=P64</f>
        <v>0</v>
      </c>
      <c r="R64" s="30">
        <v>30040740</v>
      </c>
      <c r="S64" s="1"/>
      <c r="T64" s="11" t="b">
        <f>R64=S64</f>
        <v>0</v>
      </c>
      <c r="U64" s="10" t="s">
        <v>16</v>
      </c>
      <c r="V64" s="1"/>
      <c r="W64" s="11" t="b">
        <f>U64=V64</f>
        <v>0</v>
      </c>
      <c r="X64" s="13" t="s">
        <v>15</v>
      </c>
      <c r="Y64" s="1"/>
      <c r="Z64" s="1"/>
      <c r="AA64" s="59">
        <v>22002723</v>
      </c>
      <c r="AB64" s="10" t="s">
        <v>1409</v>
      </c>
      <c r="AD64" s="11" t="b">
        <f>AB64=AC64</f>
        <v>0</v>
      </c>
      <c r="AE64" s="10" t="s">
        <v>20</v>
      </c>
      <c r="AF64" s="1"/>
      <c r="AG64" s="11" t="b">
        <f>AE64=AF64</f>
        <v>0</v>
      </c>
      <c r="AH64" s="1">
        <v>19</v>
      </c>
      <c r="AI64" s="1">
        <v>17.73</v>
      </c>
      <c r="AJ64" s="16">
        <f>AI64*220/30*30.4375</f>
        <v>3957.4837500000003</v>
      </c>
      <c r="AK64" s="18">
        <v>3957.48</v>
      </c>
      <c r="AL64" s="71" t="s">
        <v>664</v>
      </c>
      <c r="AM64" s="19" t="b">
        <f>AL64=O64</f>
        <v>1</v>
      </c>
      <c r="AN64" s="7">
        <f>VLOOKUP(A64,'base ZITRHR129'!$G$1:$H$628,2,0)</f>
        <v>30040740</v>
      </c>
      <c r="AO64" s="7" t="b">
        <f>AN64=R64</f>
        <v>1</v>
      </c>
      <c r="AP64" s="7">
        <f>VLOOKUP(A64,'base ZITRHR129'!G17:W643,17,0)</f>
        <v>3957.48</v>
      </c>
      <c r="AQ64" s="7" t="b">
        <f>AP64=AK64</f>
        <v>1</v>
      </c>
      <c r="AR64" s="69"/>
    </row>
    <row r="65" spans="1:44" s="7" customFormat="1" ht="12" x14ac:dyDescent="0.2">
      <c r="A65" s="7">
        <v>10024696</v>
      </c>
      <c r="B65" s="8" t="s">
        <v>89</v>
      </c>
      <c r="C65" s="8" t="s">
        <v>700</v>
      </c>
      <c r="D65" s="8" t="s">
        <v>717</v>
      </c>
      <c r="E65" s="8" t="s">
        <v>732</v>
      </c>
      <c r="F65" s="8" t="s">
        <v>1407</v>
      </c>
      <c r="G65" s="8" t="s">
        <v>761</v>
      </c>
      <c r="H65" s="9">
        <v>15</v>
      </c>
      <c r="I65" s="8" t="s">
        <v>666</v>
      </c>
      <c r="J65" s="8" t="s">
        <v>838</v>
      </c>
      <c r="K65" s="8" t="s">
        <v>16</v>
      </c>
      <c r="L65" s="8" t="s">
        <v>17</v>
      </c>
      <c r="M65" s="10" t="s">
        <v>700</v>
      </c>
      <c r="N65" s="10" t="s">
        <v>717</v>
      </c>
      <c r="O65" s="10" t="s">
        <v>666</v>
      </c>
      <c r="P65" s="1"/>
      <c r="Q65" s="11" t="b">
        <f>O65=P65</f>
        <v>0</v>
      </c>
      <c r="R65" s="30">
        <v>30041326</v>
      </c>
      <c r="S65" s="1"/>
      <c r="T65" s="11" t="b">
        <f>R65=S65</f>
        <v>0</v>
      </c>
      <c r="U65" s="10" t="s">
        <v>16</v>
      </c>
      <c r="V65" s="1"/>
      <c r="W65" s="11" t="b">
        <f>U65=V65</f>
        <v>0</v>
      </c>
      <c r="X65" s="13" t="s">
        <v>15</v>
      </c>
      <c r="Y65" s="1"/>
      <c r="Z65" s="1"/>
      <c r="AA65" s="15">
        <v>22003423</v>
      </c>
      <c r="AB65" s="10" t="s">
        <v>1410</v>
      </c>
      <c r="AD65" s="11" t="b">
        <f>AB65=AC65</f>
        <v>0</v>
      </c>
      <c r="AE65" s="10" t="s">
        <v>761</v>
      </c>
      <c r="AF65" s="1"/>
      <c r="AG65" s="11" t="b">
        <f>AE65=AF65</f>
        <v>0</v>
      </c>
      <c r="AH65" s="1">
        <v>15</v>
      </c>
      <c r="AI65" s="1">
        <v>11.71</v>
      </c>
      <c r="AJ65" s="16">
        <f>AI65*180/30*30.4375</f>
        <v>2138.5387500000002</v>
      </c>
      <c r="AK65" s="18">
        <v>2138.54</v>
      </c>
      <c r="AL65" s="71" t="s">
        <v>666</v>
      </c>
      <c r="AM65" s="19" t="b">
        <f>AL65=O65</f>
        <v>1</v>
      </c>
      <c r="AN65" s="7">
        <f>VLOOKUP(A65,'base ZITRHR129'!$G$1:$H$628,2,0)</f>
        <v>30041326</v>
      </c>
      <c r="AO65" s="7" t="b">
        <f>AN65=R65</f>
        <v>1</v>
      </c>
      <c r="AP65" s="7">
        <f>VLOOKUP(A65,'base ZITRHR129'!G16:W642,17,0)</f>
        <v>2138.54</v>
      </c>
      <c r="AQ65" s="7" t="b">
        <f>AP65=AK65</f>
        <v>1</v>
      </c>
      <c r="AR65" s="69"/>
    </row>
    <row r="66" spans="1:44" s="7" customFormat="1" ht="12" x14ac:dyDescent="0.2">
      <c r="A66" s="7">
        <v>10024707</v>
      </c>
      <c r="B66" s="8" t="s">
        <v>90</v>
      </c>
      <c r="C66" s="8" t="s">
        <v>695</v>
      </c>
      <c r="D66" s="8" t="s">
        <v>717</v>
      </c>
      <c r="E66" s="8" t="s">
        <v>724</v>
      </c>
      <c r="F66" s="8" t="s">
        <v>1406</v>
      </c>
      <c r="G66" s="8" t="s">
        <v>21</v>
      </c>
      <c r="H66" s="9">
        <v>16</v>
      </c>
      <c r="I66" s="8" t="s">
        <v>660</v>
      </c>
      <c r="J66" s="8" t="s">
        <v>839</v>
      </c>
      <c r="K66" s="8" t="s">
        <v>16</v>
      </c>
      <c r="L66" s="8" t="s">
        <v>17</v>
      </c>
      <c r="M66" s="10" t="s">
        <v>695</v>
      </c>
      <c r="N66" s="10" t="s">
        <v>717</v>
      </c>
      <c r="O66" s="10" t="s">
        <v>660</v>
      </c>
      <c r="P66" s="1"/>
      <c r="Q66" s="11" t="b">
        <f>O66=P66</f>
        <v>0</v>
      </c>
      <c r="R66" s="30">
        <v>30040742</v>
      </c>
      <c r="S66" s="1"/>
      <c r="T66" s="11" t="b">
        <f>R66=S66</f>
        <v>0</v>
      </c>
      <c r="U66" s="10" t="s">
        <v>16</v>
      </c>
      <c r="V66" s="1"/>
      <c r="W66" s="11" t="b">
        <f>U66=V66</f>
        <v>0</v>
      </c>
      <c r="X66" s="13" t="s">
        <v>15</v>
      </c>
      <c r="Y66" s="1"/>
      <c r="Z66" s="1"/>
      <c r="AA66" s="10">
        <v>22002616</v>
      </c>
      <c r="AB66" s="10" t="s">
        <v>1409</v>
      </c>
      <c r="AD66" s="11" t="b">
        <f>AB66=AC66</f>
        <v>0</v>
      </c>
      <c r="AE66" s="10" t="s">
        <v>21</v>
      </c>
      <c r="AF66" s="1"/>
      <c r="AG66" s="11" t="b">
        <f>AE66=AF66</f>
        <v>0</v>
      </c>
      <c r="AH66" s="1">
        <v>16</v>
      </c>
      <c r="AI66" s="1">
        <v>11.71</v>
      </c>
      <c r="AJ66" s="16">
        <f>AI66*220/30*30.4375</f>
        <v>2613.7695833333337</v>
      </c>
      <c r="AK66" s="18">
        <v>2613.77</v>
      </c>
      <c r="AL66" s="71" t="s">
        <v>660</v>
      </c>
      <c r="AM66" s="19" t="b">
        <f>AL66=O66</f>
        <v>1</v>
      </c>
      <c r="AN66" s="7">
        <f>VLOOKUP(A66,'base ZITRHR129'!$G$1:$H$628,2,0)</f>
        <v>30040742</v>
      </c>
      <c r="AO66" s="7" t="b">
        <f>AN66=R66</f>
        <v>1</v>
      </c>
      <c r="AP66" s="7">
        <f>VLOOKUP(A66,'base ZITRHR129'!G15:W641,17,0)</f>
        <v>2613.77</v>
      </c>
      <c r="AQ66" s="7" t="b">
        <f>AP66=AK66</f>
        <v>1</v>
      </c>
      <c r="AR66" s="69"/>
    </row>
    <row r="67" spans="1:44" s="7" customFormat="1" ht="12" x14ac:dyDescent="0.2">
      <c r="A67" s="7">
        <v>10024750</v>
      </c>
      <c r="B67" s="8" t="s">
        <v>91</v>
      </c>
      <c r="C67" s="8" t="s">
        <v>684</v>
      </c>
      <c r="D67" s="8" t="s">
        <v>717</v>
      </c>
      <c r="E67" s="8" t="s">
        <v>718</v>
      </c>
      <c r="F67" s="8" t="s">
        <v>1406</v>
      </c>
      <c r="G67" s="8" t="s">
        <v>750</v>
      </c>
      <c r="H67" s="9">
        <v>19</v>
      </c>
      <c r="I67" s="8" t="s">
        <v>657</v>
      </c>
      <c r="J67" s="8" t="s">
        <v>840</v>
      </c>
      <c r="K67" s="8" t="s">
        <v>16</v>
      </c>
      <c r="L67" s="8" t="s">
        <v>17</v>
      </c>
      <c r="M67" s="10" t="s">
        <v>684</v>
      </c>
      <c r="N67" s="10" t="s">
        <v>717</v>
      </c>
      <c r="O67" s="10" t="s">
        <v>657</v>
      </c>
      <c r="P67" s="1"/>
      <c r="Q67" s="11" t="b">
        <f>O67=P67</f>
        <v>0</v>
      </c>
      <c r="R67" s="30">
        <v>30040743</v>
      </c>
      <c r="S67" s="1"/>
      <c r="T67" s="11" t="b">
        <f>R67=S67</f>
        <v>0</v>
      </c>
      <c r="U67" s="10" t="s">
        <v>16</v>
      </c>
      <c r="V67" s="1"/>
      <c r="W67" s="11" t="b">
        <f>U67=V67</f>
        <v>0</v>
      </c>
      <c r="X67" s="13" t="s">
        <v>15</v>
      </c>
      <c r="Y67" s="1"/>
      <c r="Z67" s="1"/>
      <c r="AA67" s="10">
        <v>22003022</v>
      </c>
      <c r="AB67" s="10" t="s">
        <v>1409</v>
      </c>
      <c r="AD67" s="11" t="b">
        <f>AB67=AC67</f>
        <v>0</v>
      </c>
      <c r="AE67" s="10" t="s">
        <v>750</v>
      </c>
      <c r="AF67" s="1"/>
      <c r="AG67" s="11" t="b">
        <f>AE67=AF67</f>
        <v>0</v>
      </c>
      <c r="AH67" s="1">
        <v>19</v>
      </c>
      <c r="AI67" s="1">
        <v>18.62</v>
      </c>
      <c r="AJ67" s="16">
        <f>AI67*220/30*30.4375</f>
        <v>4156.1391666666668</v>
      </c>
      <c r="AK67" s="18">
        <v>4156.1400000000003</v>
      </c>
      <c r="AL67" s="71" t="s">
        <v>657</v>
      </c>
      <c r="AM67" s="19" t="b">
        <f>AL67=O67</f>
        <v>1</v>
      </c>
      <c r="AN67" s="7">
        <f>VLOOKUP(A67,'base ZITRHR129'!$G$1:$H$628,2,0)</f>
        <v>30040743</v>
      </c>
      <c r="AO67" s="7" t="b">
        <f>AN67=R67</f>
        <v>1</v>
      </c>
      <c r="AP67" s="7">
        <f>VLOOKUP(A67,'base ZITRHR129'!G14:W640,17,0)</f>
        <v>4156.1400000000003</v>
      </c>
      <c r="AQ67" s="7" t="b">
        <f>AP67=AK67</f>
        <v>1</v>
      </c>
      <c r="AR67" s="69"/>
    </row>
    <row r="68" spans="1:44" s="7" customFormat="1" ht="12" x14ac:dyDescent="0.2">
      <c r="A68" s="7">
        <v>10024753</v>
      </c>
      <c r="B68" s="8" t="s">
        <v>92</v>
      </c>
      <c r="C68" s="8" t="s">
        <v>679</v>
      </c>
      <c r="D68" s="8" t="s">
        <v>717</v>
      </c>
      <c r="E68" s="8" t="s">
        <v>720</v>
      </c>
      <c r="F68" s="8" t="s">
        <v>1406</v>
      </c>
      <c r="G68" s="8" t="s">
        <v>751</v>
      </c>
      <c r="H68" s="9">
        <v>18</v>
      </c>
      <c r="I68" s="8" t="s">
        <v>653</v>
      </c>
      <c r="J68" s="8" t="s">
        <v>841</v>
      </c>
      <c r="K68" s="8" t="s">
        <v>16</v>
      </c>
      <c r="L68" s="8" t="s">
        <v>17</v>
      </c>
      <c r="M68" s="10" t="s">
        <v>679</v>
      </c>
      <c r="N68" s="10" t="s">
        <v>717</v>
      </c>
      <c r="O68" s="10" t="s">
        <v>653</v>
      </c>
      <c r="P68" s="1"/>
      <c r="Q68" s="11" t="b">
        <f>O68=P68</f>
        <v>0</v>
      </c>
      <c r="R68" s="30">
        <v>30040744</v>
      </c>
      <c r="S68" s="1"/>
      <c r="T68" s="11" t="b">
        <f>R68=S68</f>
        <v>0</v>
      </c>
      <c r="U68" s="10" t="s">
        <v>16</v>
      </c>
      <c r="V68" s="1"/>
      <c r="W68" s="11" t="b">
        <f>U68=V68</f>
        <v>0</v>
      </c>
      <c r="X68" s="13" t="s">
        <v>15</v>
      </c>
      <c r="Y68" s="1"/>
      <c r="Z68" s="1"/>
      <c r="AA68" s="59">
        <v>22003015</v>
      </c>
      <c r="AB68" s="10" t="s">
        <v>1409</v>
      </c>
      <c r="AD68" s="11" t="b">
        <f>AB68=AC68</f>
        <v>0</v>
      </c>
      <c r="AE68" s="10" t="s">
        <v>751</v>
      </c>
      <c r="AF68" s="1"/>
      <c r="AG68" s="11" t="b">
        <f>AE68=AF68</f>
        <v>0</v>
      </c>
      <c r="AH68" s="1">
        <v>18</v>
      </c>
      <c r="AI68" s="1">
        <v>17.73</v>
      </c>
      <c r="AJ68" s="16">
        <f>AI68*220/30*30.4375</f>
        <v>3957.4837500000003</v>
      </c>
      <c r="AK68" s="18">
        <v>3957.48</v>
      </c>
      <c r="AL68" s="71" t="s">
        <v>653</v>
      </c>
      <c r="AM68" s="19" t="b">
        <f>AL68=O68</f>
        <v>1</v>
      </c>
      <c r="AN68" s="7">
        <f>VLOOKUP(A68,'base ZITRHR129'!$G$1:$H$628,2,0)</f>
        <v>30040744</v>
      </c>
      <c r="AO68" s="7" t="b">
        <f>AN68=R68</f>
        <v>1</v>
      </c>
      <c r="AP68" s="7">
        <f>VLOOKUP(A68,'base ZITRHR129'!G13:W639,17,0)</f>
        <v>3957.48</v>
      </c>
      <c r="AQ68" s="7" t="b">
        <f>AP68=AK68</f>
        <v>1</v>
      </c>
      <c r="AR68" s="69"/>
    </row>
    <row r="69" spans="1:44" s="7" customFormat="1" ht="12" x14ac:dyDescent="0.2">
      <c r="A69" s="7">
        <v>10024833</v>
      </c>
      <c r="B69" s="8" t="s">
        <v>93</v>
      </c>
      <c r="C69" s="8" t="s">
        <v>680</v>
      </c>
      <c r="D69" s="8" t="s">
        <v>717</v>
      </c>
      <c r="E69" s="8" t="s">
        <v>729</v>
      </c>
      <c r="F69" s="8" t="s">
        <v>1406</v>
      </c>
      <c r="G69" s="8" t="s">
        <v>758</v>
      </c>
      <c r="H69" s="9">
        <v>17</v>
      </c>
      <c r="I69" s="8" t="s">
        <v>654</v>
      </c>
      <c r="J69" s="8" t="s">
        <v>842</v>
      </c>
      <c r="K69" s="8" t="s">
        <v>16</v>
      </c>
      <c r="L69" s="8" t="s">
        <v>17</v>
      </c>
      <c r="M69" s="10" t="s">
        <v>680</v>
      </c>
      <c r="N69" s="10" t="s">
        <v>717</v>
      </c>
      <c r="O69" s="10" t="s">
        <v>654</v>
      </c>
      <c r="P69" s="1"/>
      <c r="Q69" s="11" t="b">
        <f>O69=P69</f>
        <v>0</v>
      </c>
      <c r="R69" s="30">
        <v>30040745</v>
      </c>
      <c r="S69" s="1"/>
      <c r="T69" s="11" t="b">
        <f>R69=S69</f>
        <v>0</v>
      </c>
      <c r="U69" s="10" t="s">
        <v>16</v>
      </c>
      <c r="V69" s="1"/>
      <c r="W69" s="11" t="b">
        <f>U69=V69</f>
        <v>0</v>
      </c>
      <c r="X69" s="13" t="s">
        <v>15</v>
      </c>
      <c r="Y69" s="1"/>
      <c r="Z69" s="1"/>
      <c r="AA69" s="10">
        <v>22002447</v>
      </c>
      <c r="AB69" s="10" t="s">
        <v>1409</v>
      </c>
      <c r="AD69" s="11" t="b">
        <f>AB69=AC69</f>
        <v>0</v>
      </c>
      <c r="AE69" s="10" t="s">
        <v>758</v>
      </c>
      <c r="AF69" s="1"/>
      <c r="AG69" s="11" t="b">
        <f>AE69=AF69</f>
        <v>0</v>
      </c>
      <c r="AH69" s="1">
        <v>17</v>
      </c>
      <c r="AI69" s="1">
        <v>14.48</v>
      </c>
      <c r="AJ69" s="16">
        <f>AI69*220/30*30.4375</f>
        <v>3232.0566666666668</v>
      </c>
      <c r="AK69" s="18">
        <v>3232.06</v>
      </c>
      <c r="AL69" s="71" t="s">
        <v>654</v>
      </c>
      <c r="AM69" s="19" t="b">
        <f>AL69=O69</f>
        <v>1</v>
      </c>
      <c r="AN69" s="7">
        <f>VLOOKUP(A69,'base ZITRHR129'!$G$1:$H$628,2,0)</f>
        <v>30040745</v>
      </c>
      <c r="AO69" s="7" t="b">
        <f>AN69=R69</f>
        <v>1</v>
      </c>
      <c r="AP69" s="7">
        <f>VLOOKUP(A69,'base ZITRHR129'!G12:W638,17,0)</f>
        <v>3232.06</v>
      </c>
      <c r="AQ69" s="7" t="b">
        <f>AP69=AK69</f>
        <v>1</v>
      </c>
      <c r="AR69" s="69"/>
    </row>
    <row r="70" spans="1:44" s="7" customFormat="1" ht="12" x14ac:dyDescent="0.2">
      <c r="A70" s="7">
        <v>10024890</v>
      </c>
      <c r="B70" s="8" t="s">
        <v>94</v>
      </c>
      <c r="C70" s="8" t="s">
        <v>701</v>
      </c>
      <c r="D70" s="8" t="s">
        <v>717</v>
      </c>
      <c r="E70" s="8" t="s">
        <v>720</v>
      </c>
      <c r="F70" s="8" t="s">
        <v>1406</v>
      </c>
      <c r="G70" s="8" t="s">
        <v>751</v>
      </c>
      <c r="H70" s="9">
        <v>18</v>
      </c>
      <c r="I70" s="8" t="s">
        <v>668</v>
      </c>
      <c r="J70" s="8" t="s">
        <v>843</v>
      </c>
      <c r="K70" s="8" t="s">
        <v>16</v>
      </c>
      <c r="L70" s="8" t="s">
        <v>17</v>
      </c>
      <c r="M70" s="10" t="s">
        <v>701</v>
      </c>
      <c r="N70" s="10" t="s">
        <v>717</v>
      </c>
      <c r="O70" s="10" t="s">
        <v>668</v>
      </c>
      <c r="P70" s="1"/>
      <c r="Q70" s="11" t="b">
        <f>O70=P70</f>
        <v>0</v>
      </c>
      <c r="R70" s="30">
        <v>30040746</v>
      </c>
      <c r="S70" s="1"/>
      <c r="T70" s="11" t="b">
        <f>R70=S70</f>
        <v>0</v>
      </c>
      <c r="U70" s="10" t="s">
        <v>16</v>
      </c>
      <c r="V70" s="1"/>
      <c r="W70" s="11" t="b">
        <f>U70=V70</f>
        <v>0</v>
      </c>
      <c r="X70" s="13" t="s">
        <v>15</v>
      </c>
      <c r="Y70" s="1"/>
      <c r="Z70" s="1"/>
      <c r="AA70" s="59">
        <v>22003015</v>
      </c>
      <c r="AB70" s="10" t="s">
        <v>1409</v>
      </c>
      <c r="AD70" s="11" t="b">
        <f>AB70=AC70</f>
        <v>0</v>
      </c>
      <c r="AE70" s="10" t="s">
        <v>751</v>
      </c>
      <c r="AF70" s="1"/>
      <c r="AG70" s="11" t="b">
        <f>AE70=AF70</f>
        <v>0</v>
      </c>
      <c r="AH70" s="1">
        <v>18</v>
      </c>
      <c r="AI70" s="1">
        <v>17.73</v>
      </c>
      <c r="AJ70" s="16">
        <f>AI70*220/30*30.4375</f>
        <v>3957.4837500000003</v>
      </c>
      <c r="AK70" s="18">
        <v>3957.48</v>
      </c>
      <c r="AL70" s="71" t="s">
        <v>668</v>
      </c>
      <c r="AM70" s="19" t="b">
        <f>AL70=O70</f>
        <v>1</v>
      </c>
      <c r="AN70" s="7">
        <f>VLOOKUP(A70,'base ZITRHR129'!$G$1:$H$628,2,0)</f>
        <v>30040746</v>
      </c>
      <c r="AO70" s="7" t="b">
        <f>AN70=R70</f>
        <v>1</v>
      </c>
      <c r="AP70" s="7">
        <f>VLOOKUP(A70,'base ZITRHR129'!G11:W637,17,0)</f>
        <v>3957.48</v>
      </c>
      <c r="AQ70" s="7" t="b">
        <f>AP70=AK70</f>
        <v>1</v>
      </c>
      <c r="AR70" s="69"/>
    </row>
    <row r="71" spans="1:44" s="7" customFormat="1" ht="12" x14ac:dyDescent="0.2">
      <c r="A71" s="7">
        <v>10024993</v>
      </c>
      <c r="B71" s="8" t="s">
        <v>95</v>
      </c>
      <c r="C71" s="8" t="s">
        <v>702</v>
      </c>
      <c r="D71" s="8" t="s">
        <v>717</v>
      </c>
      <c r="E71" s="8" t="s">
        <v>720</v>
      </c>
      <c r="F71" s="8" t="s">
        <v>1406</v>
      </c>
      <c r="G71" s="8" t="s">
        <v>751</v>
      </c>
      <c r="H71" s="9">
        <v>18</v>
      </c>
      <c r="I71" s="8" t="s">
        <v>668</v>
      </c>
      <c r="J71" s="8" t="s">
        <v>844</v>
      </c>
      <c r="K71" s="8" t="s">
        <v>16</v>
      </c>
      <c r="L71" s="8" t="s">
        <v>17</v>
      </c>
      <c r="M71" s="10" t="s">
        <v>702</v>
      </c>
      <c r="N71" s="10" t="s">
        <v>717</v>
      </c>
      <c r="O71" s="10" t="s">
        <v>668</v>
      </c>
      <c r="P71" s="1"/>
      <c r="Q71" s="11" t="b">
        <f>O71=P71</f>
        <v>0</v>
      </c>
      <c r="R71" s="30">
        <v>30040747</v>
      </c>
      <c r="S71" s="1"/>
      <c r="T71" s="11" t="b">
        <f>R71=S71</f>
        <v>0</v>
      </c>
      <c r="U71" s="10" t="s">
        <v>16</v>
      </c>
      <c r="V71" s="1"/>
      <c r="W71" s="11" t="b">
        <f>U71=V71</f>
        <v>0</v>
      </c>
      <c r="X71" s="13" t="s">
        <v>15</v>
      </c>
      <c r="Y71" s="1"/>
      <c r="Z71" s="1"/>
      <c r="AA71" s="10">
        <v>22003015</v>
      </c>
      <c r="AB71" s="10" t="s">
        <v>1409</v>
      </c>
      <c r="AD71" s="11" t="b">
        <f>AB71=AC71</f>
        <v>0</v>
      </c>
      <c r="AE71" s="10" t="s">
        <v>751</v>
      </c>
      <c r="AF71" s="1"/>
      <c r="AG71" s="11" t="b">
        <f>AE71=AF71</f>
        <v>0</v>
      </c>
      <c r="AH71" s="1">
        <v>18</v>
      </c>
      <c r="AI71" s="1">
        <v>17.73</v>
      </c>
      <c r="AJ71" s="16">
        <f>AI71*220/30*30.4375</f>
        <v>3957.4837500000003</v>
      </c>
      <c r="AK71" s="18">
        <v>3957.48</v>
      </c>
      <c r="AL71" s="71" t="s">
        <v>668</v>
      </c>
      <c r="AM71" s="19" t="b">
        <f>AL71=O71</f>
        <v>1</v>
      </c>
      <c r="AN71" s="7">
        <f>VLOOKUP(A71,'base ZITRHR129'!$G$1:$H$628,2,0)</f>
        <v>30040747</v>
      </c>
      <c r="AO71" s="7" t="b">
        <f>AN71=R71</f>
        <v>1</v>
      </c>
      <c r="AP71" s="7">
        <f>VLOOKUP(A71,'base ZITRHR129'!G10:W636,17,0)</f>
        <v>3957.48</v>
      </c>
      <c r="AQ71" s="7" t="b">
        <f>AP71=AK71</f>
        <v>1</v>
      </c>
      <c r="AR71" s="69"/>
    </row>
    <row r="72" spans="1:44" s="7" customFormat="1" ht="12" x14ac:dyDescent="0.2">
      <c r="A72" s="7">
        <v>10024996</v>
      </c>
      <c r="B72" s="8" t="s">
        <v>96</v>
      </c>
      <c r="C72" s="8" t="s">
        <v>679</v>
      </c>
      <c r="D72" s="8" t="s">
        <v>717</v>
      </c>
      <c r="E72" s="8" t="s">
        <v>720</v>
      </c>
      <c r="F72" s="8" t="s">
        <v>1406</v>
      </c>
      <c r="G72" s="8" t="s">
        <v>751</v>
      </c>
      <c r="H72" s="9">
        <v>18</v>
      </c>
      <c r="I72" s="8" t="s">
        <v>653</v>
      </c>
      <c r="J72" s="8" t="s">
        <v>845</v>
      </c>
      <c r="K72" s="8" t="s">
        <v>16</v>
      </c>
      <c r="L72" s="8" t="s">
        <v>17</v>
      </c>
      <c r="M72" s="10" t="s">
        <v>679</v>
      </c>
      <c r="N72" s="10" t="s">
        <v>717</v>
      </c>
      <c r="O72" s="10" t="s">
        <v>653</v>
      </c>
      <c r="P72" s="1"/>
      <c r="Q72" s="11" t="b">
        <f>O72=P72</f>
        <v>0</v>
      </c>
      <c r="R72" s="30">
        <v>30040748</v>
      </c>
      <c r="S72" s="1"/>
      <c r="T72" s="11" t="b">
        <f>R72=S72</f>
        <v>0</v>
      </c>
      <c r="U72" s="10" t="s">
        <v>16</v>
      </c>
      <c r="V72" s="1"/>
      <c r="W72" s="11" t="b">
        <f>U72=V72</f>
        <v>0</v>
      </c>
      <c r="X72" s="13" t="s">
        <v>15</v>
      </c>
      <c r="Y72" s="1"/>
      <c r="Z72" s="1"/>
      <c r="AA72" s="10">
        <v>22003015</v>
      </c>
      <c r="AB72" s="10" t="s">
        <v>1409</v>
      </c>
      <c r="AD72" s="11" t="b">
        <f>AB72=AC72</f>
        <v>0</v>
      </c>
      <c r="AE72" s="10" t="s">
        <v>751</v>
      </c>
      <c r="AF72" s="1"/>
      <c r="AG72" s="11" t="b">
        <f>AE72=AF72</f>
        <v>0</v>
      </c>
      <c r="AH72" s="1">
        <v>18</v>
      </c>
      <c r="AI72" s="1">
        <v>17.73</v>
      </c>
      <c r="AJ72" s="16">
        <f>AI72*220/30*30.4375</f>
        <v>3957.4837500000003</v>
      </c>
      <c r="AK72" s="18">
        <v>3957.48</v>
      </c>
      <c r="AL72" s="71" t="s">
        <v>653</v>
      </c>
      <c r="AM72" s="19" t="b">
        <f>AL72=O72</f>
        <v>1</v>
      </c>
      <c r="AN72" s="7">
        <f>VLOOKUP(A72,'base ZITRHR129'!$G$1:$H$628,2,0)</f>
        <v>30040748</v>
      </c>
      <c r="AO72" s="7" t="b">
        <f>AN72=R72</f>
        <v>1</v>
      </c>
      <c r="AP72" s="7">
        <f>VLOOKUP(A72,'base ZITRHR129'!G9:W635,17,0)</f>
        <v>3957.48</v>
      </c>
      <c r="AQ72" s="7" t="b">
        <f>AP72=AK72</f>
        <v>1</v>
      </c>
      <c r="AR72" s="69"/>
    </row>
    <row r="73" spans="1:44" s="7" customFormat="1" ht="12" x14ac:dyDescent="0.2">
      <c r="A73" s="7">
        <v>10025002</v>
      </c>
      <c r="B73" s="8" t="s">
        <v>97</v>
      </c>
      <c r="C73" s="8" t="s">
        <v>689</v>
      </c>
      <c r="D73" s="8" t="s">
        <v>717</v>
      </c>
      <c r="E73" s="8" t="s">
        <v>730</v>
      </c>
      <c r="F73" s="8" t="s">
        <v>1406</v>
      </c>
      <c r="G73" s="8" t="s">
        <v>759</v>
      </c>
      <c r="H73" s="9">
        <v>17</v>
      </c>
      <c r="I73" s="8" t="s">
        <v>662</v>
      </c>
      <c r="J73" s="8" t="s">
        <v>846</v>
      </c>
      <c r="K73" s="8" t="s">
        <v>16</v>
      </c>
      <c r="L73" s="8" t="s">
        <v>17</v>
      </c>
      <c r="M73" s="10" t="s">
        <v>689</v>
      </c>
      <c r="N73" s="10" t="s">
        <v>717</v>
      </c>
      <c r="O73" s="10" t="s">
        <v>662</v>
      </c>
      <c r="P73" s="1"/>
      <c r="Q73" s="11" t="b">
        <f>O73=P73</f>
        <v>0</v>
      </c>
      <c r="R73" s="30">
        <v>30040749</v>
      </c>
      <c r="S73" s="1"/>
      <c r="T73" s="11" t="b">
        <f>R73=S73</f>
        <v>0</v>
      </c>
      <c r="U73" s="10" t="s">
        <v>16</v>
      </c>
      <c r="V73" s="1"/>
      <c r="W73" s="11" t="b">
        <f>U73=V73</f>
        <v>0</v>
      </c>
      <c r="X73" s="13" t="s">
        <v>15</v>
      </c>
      <c r="Y73" s="1"/>
      <c r="Z73" s="1"/>
      <c r="AA73" s="10">
        <v>22002605</v>
      </c>
      <c r="AB73" s="10" t="s">
        <v>1409</v>
      </c>
      <c r="AD73" s="11" t="b">
        <f>AB73=AC73</f>
        <v>0</v>
      </c>
      <c r="AE73" s="10" t="s">
        <v>759</v>
      </c>
      <c r="AF73" s="1"/>
      <c r="AG73" s="11" t="b">
        <f>AE73=AF73</f>
        <v>0</v>
      </c>
      <c r="AH73" s="1">
        <v>17</v>
      </c>
      <c r="AI73" s="1">
        <v>14.04</v>
      </c>
      <c r="AJ73" s="16">
        <f>AI73*220/30*30.4375</f>
        <v>3133.8449999999998</v>
      </c>
      <c r="AK73" s="18">
        <v>3133.85</v>
      </c>
      <c r="AL73" s="71" t="s">
        <v>662</v>
      </c>
      <c r="AM73" s="19" t="b">
        <f>AL73=O73</f>
        <v>1</v>
      </c>
      <c r="AN73" s="7">
        <f>VLOOKUP(A73,'base ZITRHR129'!$G$1:$H$628,2,0)</f>
        <v>30040749</v>
      </c>
      <c r="AO73" s="7" t="b">
        <f>AN73=R73</f>
        <v>1</v>
      </c>
      <c r="AP73" s="7">
        <f>VLOOKUP(A73,'base ZITRHR129'!G8:W634,17,0)</f>
        <v>3133.85</v>
      </c>
      <c r="AQ73" s="7" t="b">
        <f>AP73=AK73</f>
        <v>1</v>
      </c>
      <c r="AR73" s="69"/>
    </row>
    <row r="74" spans="1:44" s="7" customFormat="1" ht="12" x14ac:dyDescent="0.2">
      <c r="A74" s="7">
        <v>10025018</v>
      </c>
      <c r="B74" s="8" t="s">
        <v>98</v>
      </c>
      <c r="C74" s="8" t="s">
        <v>692</v>
      </c>
      <c r="D74" s="8" t="s">
        <v>717</v>
      </c>
      <c r="E74" s="8" t="s">
        <v>722</v>
      </c>
      <c r="F74" s="8" t="s">
        <v>1406</v>
      </c>
      <c r="G74" s="8" t="s">
        <v>753</v>
      </c>
      <c r="H74" s="9">
        <v>19</v>
      </c>
      <c r="I74" s="8" t="s">
        <v>665</v>
      </c>
      <c r="J74" s="8" t="s">
        <v>847</v>
      </c>
      <c r="K74" s="8" t="s">
        <v>6</v>
      </c>
      <c r="L74" s="8" t="s">
        <v>17</v>
      </c>
      <c r="M74" s="10" t="s">
        <v>692</v>
      </c>
      <c r="N74" s="10" t="s">
        <v>717</v>
      </c>
      <c r="O74" s="10" t="s">
        <v>665</v>
      </c>
      <c r="P74" s="1"/>
      <c r="Q74" s="11" t="b">
        <f>O74=P74</f>
        <v>0</v>
      </c>
      <c r="R74" s="30">
        <v>30040750</v>
      </c>
      <c r="S74" s="1"/>
      <c r="T74" s="11" t="b">
        <f>R74=S74</f>
        <v>0</v>
      </c>
      <c r="U74" s="10" t="s">
        <v>6</v>
      </c>
      <c r="V74" s="1"/>
      <c r="W74" s="11" t="b">
        <f>U74=V74</f>
        <v>0</v>
      </c>
      <c r="X74" s="13" t="s">
        <v>15</v>
      </c>
      <c r="Y74" s="1"/>
      <c r="Z74" s="1"/>
      <c r="AA74" s="10">
        <v>22002695</v>
      </c>
      <c r="AB74" s="10" t="s">
        <v>1409</v>
      </c>
      <c r="AD74" s="11" t="b">
        <f>AB74=AC74</f>
        <v>0</v>
      </c>
      <c r="AE74" s="10" t="s">
        <v>753</v>
      </c>
      <c r="AF74" s="1"/>
      <c r="AG74" s="11" t="b">
        <f>AE74=AF74</f>
        <v>0</v>
      </c>
      <c r="AH74" s="1">
        <v>19</v>
      </c>
      <c r="AI74" s="1">
        <v>18.260000000000002</v>
      </c>
      <c r="AJ74" s="16">
        <f>AI74*220/30*30.4375</f>
        <v>4075.7841666666668</v>
      </c>
      <c r="AK74" s="18">
        <v>4075.78</v>
      </c>
      <c r="AL74" s="71" t="s">
        <v>665</v>
      </c>
      <c r="AM74" s="19" t="b">
        <f>AL74=O74</f>
        <v>1</v>
      </c>
      <c r="AN74" s="7">
        <f>VLOOKUP(A74,'base ZITRHR129'!$G$1:$H$628,2,0)</f>
        <v>30040750</v>
      </c>
      <c r="AO74" s="7" t="b">
        <f>AN74=R74</f>
        <v>1</v>
      </c>
      <c r="AP74" s="7">
        <f>VLOOKUP(A74,'base ZITRHR129'!G7:W633,17,0)</f>
        <v>4075.78</v>
      </c>
      <c r="AQ74" s="7" t="b">
        <f>AP74=AK74</f>
        <v>1</v>
      </c>
      <c r="AR74" s="69"/>
    </row>
    <row r="75" spans="1:44" s="7" customFormat="1" ht="12" x14ac:dyDescent="0.2">
      <c r="A75" s="7">
        <v>10025024</v>
      </c>
      <c r="B75" s="8" t="s">
        <v>99</v>
      </c>
      <c r="C75" s="8" t="s">
        <v>680</v>
      </c>
      <c r="D75" s="8" t="s">
        <v>717</v>
      </c>
      <c r="E75" s="8" t="s">
        <v>729</v>
      </c>
      <c r="F75" s="8" t="s">
        <v>1406</v>
      </c>
      <c r="G75" s="8" t="s">
        <v>758</v>
      </c>
      <c r="H75" s="9">
        <v>17</v>
      </c>
      <c r="I75" s="8" t="s">
        <v>654</v>
      </c>
      <c r="J75" s="8" t="s">
        <v>848</v>
      </c>
      <c r="K75" s="8" t="s">
        <v>16</v>
      </c>
      <c r="L75" s="8" t="s">
        <v>17</v>
      </c>
      <c r="M75" s="10" t="s">
        <v>680</v>
      </c>
      <c r="N75" s="10" t="s">
        <v>717</v>
      </c>
      <c r="O75" s="10" t="s">
        <v>654</v>
      </c>
      <c r="P75" s="1"/>
      <c r="Q75" s="11" t="b">
        <f>O75=P75</f>
        <v>0</v>
      </c>
      <c r="R75" s="30">
        <v>30040751</v>
      </c>
      <c r="S75" s="1"/>
      <c r="T75" s="11" t="b">
        <f>R75=S75</f>
        <v>0</v>
      </c>
      <c r="U75" s="10" t="s">
        <v>16</v>
      </c>
      <c r="V75" s="1"/>
      <c r="W75" s="11" t="b">
        <f>U75=V75</f>
        <v>0</v>
      </c>
      <c r="X75" s="13" t="s">
        <v>15</v>
      </c>
      <c r="Y75" s="1"/>
      <c r="Z75" s="1"/>
      <c r="AA75" s="59">
        <v>22002447</v>
      </c>
      <c r="AB75" s="10" t="s">
        <v>1409</v>
      </c>
      <c r="AD75" s="11" t="b">
        <f>AB75=AC75</f>
        <v>0</v>
      </c>
      <c r="AE75" s="10" t="s">
        <v>758</v>
      </c>
      <c r="AF75" s="1"/>
      <c r="AG75" s="11" t="b">
        <f>AE75=AF75</f>
        <v>0</v>
      </c>
      <c r="AH75" s="1">
        <v>17</v>
      </c>
      <c r="AI75" s="1">
        <v>14.48</v>
      </c>
      <c r="AJ75" s="16">
        <f>AI75*220/30*30.4375</f>
        <v>3232.0566666666668</v>
      </c>
      <c r="AK75" s="18">
        <v>3232.06</v>
      </c>
      <c r="AL75" s="71" t="s">
        <v>654</v>
      </c>
      <c r="AM75" s="19" t="b">
        <f>AL75=O75</f>
        <v>1</v>
      </c>
      <c r="AN75" s="7">
        <f>VLOOKUP(A75,'base ZITRHR129'!$G$1:$H$628,2,0)</f>
        <v>30040751</v>
      </c>
      <c r="AO75" s="7" t="b">
        <f>AN75=R75</f>
        <v>1</v>
      </c>
      <c r="AP75" s="7">
        <f>VLOOKUP(A75,'base ZITRHR129'!G6:W632,17,0)</f>
        <v>3232.06</v>
      </c>
      <c r="AQ75" s="7" t="b">
        <f>AP75=AK75</f>
        <v>1</v>
      </c>
      <c r="AR75" s="69"/>
    </row>
    <row r="76" spans="1:44" s="7" customFormat="1" ht="12" x14ac:dyDescent="0.2">
      <c r="A76" s="7">
        <v>10025032</v>
      </c>
      <c r="B76" s="8" t="s">
        <v>100</v>
      </c>
      <c r="C76" s="8" t="s">
        <v>692</v>
      </c>
      <c r="D76" s="8" t="s">
        <v>717</v>
      </c>
      <c r="E76" s="8" t="s">
        <v>722</v>
      </c>
      <c r="F76" s="8" t="s">
        <v>1406</v>
      </c>
      <c r="G76" s="8" t="s">
        <v>753</v>
      </c>
      <c r="H76" s="9">
        <v>19</v>
      </c>
      <c r="I76" s="8" t="s">
        <v>665</v>
      </c>
      <c r="J76" s="8" t="s">
        <v>849</v>
      </c>
      <c r="K76" s="8" t="s">
        <v>6</v>
      </c>
      <c r="L76" s="8" t="s">
        <v>17</v>
      </c>
      <c r="M76" s="10" t="s">
        <v>692</v>
      </c>
      <c r="N76" s="10" t="s">
        <v>717</v>
      </c>
      <c r="O76" s="10" t="s">
        <v>665</v>
      </c>
      <c r="P76" s="1"/>
      <c r="Q76" s="11" t="b">
        <f>O76=P76</f>
        <v>0</v>
      </c>
      <c r="R76" s="30">
        <v>30040752</v>
      </c>
      <c r="S76" s="1"/>
      <c r="T76" s="11" t="b">
        <f>R76=S76</f>
        <v>0</v>
      </c>
      <c r="U76" s="10" t="s">
        <v>6</v>
      </c>
      <c r="V76" s="1"/>
      <c r="W76" s="11" t="b">
        <f>U76=V76</f>
        <v>0</v>
      </c>
      <c r="X76" s="13" t="s">
        <v>15</v>
      </c>
      <c r="Y76" s="1"/>
      <c r="Z76" s="1"/>
      <c r="AA76" s="59">
        <v>22002695</v>
      </c>
      <c r="AB76" s="10" t="s">
        <v>1409</v>
      </c>
      <c r="AD76" s="11" t="b">
        <f>AB76=AC76</f>
        <v>0</v>
      </c>
      <c r="AE76" s="10" t="s">
        <v>753</v>
      </c>
      <c r="AF76" s="1"/>
      <c r="AG76" s="11" t="b">
        <f>AE76=AF76</f>
        <v>0</v>
      </c>
      <c r="AH76" s="1">
        <v>19</v>
      </c>
      <c r="AI76" s="1">
        <v>18.260000000000002</v>
      </c>
      <c r="AJ76" s="16">
        <f>AI76*220/30*30.4375</f>
        <v>4075.7841666666668</v>
      </c>
      <c r="AK76" s="18">
        <v>4075.78</v>
      </c>
      <c r="AL76" s="71" t="s">
        <v>665</v>
      </c>
      <c r="AM76" s="19" t="b">
        <f>AL76=O76</f>
        <v>1</v>
      </c>
      <c r="AN76" s="7">
        <f>VLOOKUP(A76,'base ZITRHR129'!$G$1:$H$628,2,0)</f>
        <v>30040752</v>
      </c>
      <c r="AO76" s="7" t="b">
        <f>AN76=R76</f>
        <v>1</v>
      </c>
      <c r="AP76" s="7">
        <f>VLOOKUP(A76,'base ZITRHR129'!G5:W631,17,0)</f>
        <v>4075.78</v>
      </c>
      <c r="AQ76" s="7" t="b">
        <f>AP76=AK76</f>
        <v>1</v>
      </c>
      <c r="AR76" s="69"/>
    </row>
    <row r="77" spans="1:44" s="7" customFormat="1" ht="12" x14ac:dyDescent="0.2">
      <c r="A77" s="7">
        <v>10025328</v>
      </c>
      <c r="B77" s="8" t="s">
        <v>101</v>
      </c>
      <c r="C77" s="8" t="s">
        <v>701</v>
      </c>
      <c r="D77" s="8" t="s">
        <v>717</v>
      </c>
      <c r="E77" s="8" t="s">
        <v>720</v>
      </c>
      <c r="F77" s="8" t="s">
        <v>1406</v>
      </c>
      <c r="G77" s="8" t="s">
        <v>751</v>
      </c>
      <c r="H77" s="9">
        <v>18</v>
      </c>
      <c r="I77" s="8" t="s">
        <v>668</v>
      </c>
      <c r="J77" s="8" t="s">
        <v>850</v>
      </c>
      <c r="K77" s="8" t="s">
        <v>16</v>
      </c>
      <c r="L77" s="8" t="s">
        <v>17</v>
      </c>
      <c r="M77" s="10" t="s">
        <v>701</v>
      </c>
      <c r="N77" s="10" t="s">
        <v>717</v>
      </c>
      <c r="O77" s="10" t="s">
        <v>668</v>
      </c>
      <c r="P77" s="1"/>
      <c r="Q77" s="11" t="b">
        <f>O77=P77</f>
        <v>0</v>
      </c>
      <c r="R77" s="30">
        <v>30040753</v>
      </c>
      <c r="S77" s="1"/>
      <c r="T77" s="11" t="b">
        <f>R77=S77</f>
        <v>0</v>
      </c>
      <c r="U77" s="10" t="s">
        <v>16</v>
      </c>
      <c r="V77" s="1"/>
      <c r="W77" s="11" t="b">
        <f>U77=V77</f>
        <v>0</v>
      </c>
      <c r="X77" s="13" t="s">
        <v>15</v>
      </c>
      <c r="Y77" s="1"/>
      <c r="Z77" s="1"/>
      <c r="AA77" s="59">
        <v>22003015</v>
      </c>
      <c r="AB77" s="10" t="s">
        <v>1409</v>
      </c>
      <c r="AD77" s="11" t="b">
        <f>AB77=AC77</f>
        <v>0</v>
      </c>
      <c r="AE77" s="10" t="s">
        <v>751</v>
      </c>
      <c r="AF77" s="1"/>
      <c r="AG77" s="11" t="b">
        <f>AE77=AF77</f>
        <v>0</v>
      </c>
      <c r="AH77" s="1">
        <v>18</v>
      </c>
      <c r="AI77" s="1">
        <v>17.73</v>
      </c>
      <c r="AJ77" s="16">
        <f>AI77*220/30*30.4375</f>
        <v>3957.4837500000003</v>
      </c>
      <c r="AK77" s="18">
        <v>3957.48</v>
      </c>
      <c r="AL77" s="71" t="s">
        <v>668</v>
      </c>
      <c r="AM77" s="19" t="b">
        <f>AL77=O77</f>
        <v>1</v>
      </c>
      <c r="AN77" s="7">
        <f>VLOOKUP(A77,'base ZITRHR129'!$G$1:$H$628,2,0)</f>
        <v>30040753</v>
      </c>
      <c r="AO77" s="7" t="b">
        <f>AN77=R77</f>
        <v>1</v>
      </c>
      <c r="AP77" s="7">
        <f>VLOOKUP(A77,'base ZITRHR129'!G4:W630,17,0)</f>
        <v>3957.48</v>
      </c>
      <c r="AQ77" s="7" t="b">
        <f>AP77=AK77</f>
        <v>1</v>
      </c>
      <c r="AR77" s="69"/>
    </row>
    <row r="78" spans="1:44" s="7" customFormat="1" ht="12" x14ac:dyDescent="0.2">
      <c r="A78" s="7">
        <v>10025613</v>
      </c>
      <c r="B78" s="8" t="s">
        <v>102</v>
      </c>
      <c r="C78" s="8" t="s">
        <v>681</v>
      </c>
      <c r="D78" s="8" t="s">
        <v>717</v>
      </c>
      <c r="E78" s="8" t="s">
        <v>720</v>
      </c>
      <c r="F78" s="8" t="s">
        <v>1406</v>
      </c>
      <c r="G78" s="8" t="s">
        <v>751</v>
      </c>
      <c r="H78" s="9">
        <v>18</v>
      </c>
      <c r="I78" s="8" t="s">
        <v>653</v>
      </c>
      <c r="J78" s="8" t="s">
        <v>851</v>
      </c>
      <c r="K78" s="8" t="s">
        <v>16</v>
      </c>
      <c r="L78" s="8" t="s">
        <v>17</v>
      </c>
      <c r="M78" s="10" t="s">
        <v>681</v>
      </c>
      <c r="N78" s="10" t="s">
        <v>717</v>
      </c>
      <c r="O78" s="10" t="s">
        <v>653</v>
      </c>
      <c r="P78" s="1"/>
      <c r="Q78" s="11" t="b">
        <f>O78=P78</f>
        <v>0</v>
      </c>
      <c r="R78" s="30">
        <v>30040754</v>
      </c>
      <c r="S78" s="1"/>
      <c r="T78" s="11" t="b">
        <f>R78=S78</f>
        <v>0</v>
      </c>
      <c r="U78" s="10" t="s">
        <v>16</v>
      </c>
      <c r="V78" s="1"/>
      <c r="W78" s="11" t="b">
        <f>U78=V78</f>
        <v>0</v>
      </c>
      <c r="X78" s="13" t="s">
        <v>15</v>
      </c>
      <c r="Y78" s="1"/>
      <c r="Z78" s="1"/>
      <c r="AA78" s="59">
        <v>22003015</v>
      </c>
      <c r="AB78" s="10" t="s">
        <v>1409</v>
      </c>
      <c r="AD78" s="11" t="b">
        <f>AB78=AC78</f>
        <v>0</v>
      </c>
      <c r="AE78" s="10" t="s">
        <v>751</v>
      </c>
      <c r="AF78" s="1"/>
      <c r="AG78" s="11" t="b">
        <f>AE78=AF78</f>
        <v>0</v>
      </c>
      <c r="AH78" s="1">
        <v>18</v>
      </c>
      <c r="AI78" s="1">
        <v>17.73</v>
      </c>
      <c r="AJ78" s="16">
        <f>AI78*220/30*30.4375</f>
        <v>3957.4837500000003</v>
      </c>
      <c r="AK78" s="18">
        <v>3957.48</v>
      </c>
      <c r="AL78" s="71" t="s">
        <v>653</v>
      </c>
      <c r="AM78" s="19" t="b">
        <f>AL78=O78</f>
        <v>1</v>
      </c>
      <c r="AN78" s="7">
        <f>VLOOKUP(A78,'base ZITRHR129'!$G$1:$H$628,2,0)</f>
        <v>30040754</v>
      </c>
      <c r="AO78" s="7" t="b">
        <f>AN78=R78</f>
        <v>1</v>
      </c>
      <c r="AP78" s="7">
        <f>VLOOKUP(A78,'base ZITRHR129'!G3:W629,17,0)</f>
        <v>3957.48</v>
      </c>
      <c r="AQ78" s="7" t="b">
        <f>AP78=AK78</f>
        <v>1</v>
      </c>
      <c r="AR78" s="69"/>
    </row>
    <row r="79" spans="1:44" s="7" customFormat="1" ht="12" x14ac:dyDescent="0.2">
      <c r="A79" s="7">
        <v>10025630</v>
      </c>
      <c r="B79" s="8" t="s">
        <v>103</v>
      </c>
      <c r="C79" s="8" t="s">
        <v>695</v>
      </c>
      <c r="D79" s="8" t="s">
        <v>717</v>
      </c>
      <c r="E79" s="8" t="s">
        <v>724</v>
      </c>
      <c r="F79" s="8" t="s">
        <v>1406</v>
      </c>
      <c r="G79" s="8" t="s">
        <v>21</v>
      </c>
      <c r="H79" s="9">
        <v>16</v>
      </c>
      <c r="I79" s="8" t="s">
        <v>660</v>
      </c>
      <c r="J79" s="8" t="s">
        <v>852</v>
      </c>
      <c r="K79" s="8" t="s">
        <v>16</v>
      </c>
      <c r="L79" s="8" t="s">
        <v>17</v>
      </c>
      <c r="M79" s="10" t="s">
        <v>695</v>
      </c>
      <c r="N79" s="10" t="s">
        <v>717</v>
      </c>
      <c r="O79" s="10" t="s">
        <v>660</v>
      </c>
      <c r="P79" s="1"/>
      <c r="Q79" s="11" t="b">
        <f>O79=P79</f>
        <v>0</v>
      </c>
      <c r="R79" s="30">
        <v>30040755</v>
      </c>
      <c r="S79" s="1"/>
      <c r="T79" s="11" t="b">
        <f>R79=S79</f>
        <v>0</v>
      </c>
      <c r="U79" s="10" t="s">
        <v>16</v>
      </c>
      <c r="V79" s="1"/>
      <c r="W79" s="11" t="b">
        <f>U79=V79</f>
        <v>0</v>
      </c>
      <c r="X79" s="13" t="s">
        <v>15</v>
      </c>
      <c r="Y79" s="1"/>
      <c r="Z79" s="1"/>
      <c r="AA79" s="59">
        <v>22002616</v>
      </c>
      <c r="AB79" s="10" t="s">
        <v>1409</v>
      </c>
      <c r="AD79" s="11" t="b">
        <f>AB79=AC79</f>
        <v>0</v>
      </c>
      <c r="AE79" s="10" t="s">
        <v>21</v>
      </c>
      <c r="AF79" s="1"/>
      <c r="AG79" s="11" t="b">
        <f>AE79=AF79</f>
        <v>0</v>
      </c>
      <c r="AH79" s="1">
        <v>16</v>
      </c>
      <c r="AI79" s="1">
        <v>11.71</v>
      </c>
      <c r="AJ79" s="16">
        <f>AI79*220/30*30.4375</f>
        <v>2613.7695833333337</v>
      </c>
      <c r="AK79" s="18">
        <v>2613.77</v>
      </c>
      <c r="AL79" s="71" t="s">
        <v>660</v>
      </c>
      <c r="AM79" s="19" t="b">
        <f>AL79=O79</f>
        <v>1</v>
      </c>
      <c r="AN79" s="7">
        <f>VLOOKUP(A79,'base ZITRHR129'!$G$1:$H$628,2,0)</f>
        <v>30040755</v>
      </c>
      <c r="AO79" s="7" t="b">
        <f>AN79=R79</f>
        <v>1</v>
      </c>
      <c r="AP79" s="7">
        <f>VLOOKUP(A79,'base ZITRHR129'!G2:W628,17,0)</f>
        <v>2613.77</v>
      </c>
      <c r="AQ79" s="7" t="b">
        <f>AP79=AK79</f>
        <v>1</v>
      </c>
      <c r="AR79" s="69"/>
    </row>
    <row r="80" spans="1:44" s="7" customFormat="1" ht="12" x14ac:dyDescent="0.2">
      <c r="A80" s="7">
        <v>10025634</v>
      </c>
      <c r="B80" s="8" t="s">
        <v>104</v>
      </c>
      <c r="C80" s="8" t="s">
        <v>697</v>
      </c>
      <c r="D80" s="8" t="s">
        <v>717</v>
      </c>
      <c r="E80" s="8" t="s">
        <v>720</v>
      </c>
      <c r="F80" s="8" t="s">
        <v>1406</v>
      </c>
      <c r="G80" s="8" t="s">
        <v>751</v>
      </c>
      <c r="H80" s="9">
        <v>18</v>
      </c>
      <c r="I80" s="8" t="s">
        <v>658</v>
      </c>
      <c r="J80" s="8" t="s">
        <v>853</v>
      </c>
      <c r="K80" s="8" t="s">
        <v>6</v>
      </c>
      <c r="L80" s="8" t="s">
        <v>17</v>
      </c>
      <c r="M80" s="10" t="s">
        <v>697</v>
      </c>
      <c r="N80" s="10" t="s">
        <v>717</v>
      </c>
      <c r="O80" s="10" t="s">
        <v>658</v>
      </c>
      <c r="P80" s="1"/>
      <c r="Q80" s="11" t="b">
        <f>O80=P80</f>
        <v>0</v>
      </c>
      <c r="R80" s="30">
        <v>30040756</v>
      </c>
      <c r="S80" s="1"/>
      <c r="T80" s="11" t="b">
        <f>R80=S80</f>
        <v>0</v>
      </c>
      <c r="U80" s="10" t="s">
        <v>6</v>
      </c>
      <c r="V80" s="1"/>
      <c r="W80" s="11" t="b">
        <f>U80=V80</f>
        <v>0</v>
      </c>
      <c r="X80" s="13" t="s">
        <v>15</v>
      </c>
      <c r="Y80" s="1"/>
      <c r="Z80" s="1"/>
      <c r="AA80" s="10">
        <v>22003015</v>
      </c>
      <c r="AB80" s="10" t="s">
        <v>1409</v>
      </c>
      <c r="AD80" s="11" t="b">
        <f>AB80=AC80</f>
        <v>0</v>
      </c>
      <c r="AE80" s="10" t="s">
        <v>751</v>
      </c>
      <c r="AF80" s="1"/>
      <c r="AG80" s="11" t="b">
        <f>AE80=AF80</f>
        <v>0</v>
      </c>
      <c r="AH80" s="1">
        <v>18</v>
      </c>
      <c r="AI80" s="1">
        <v>17.73</v>
      </c>
      <c r="AJ80" s="16">
        <f>AI80*220/30*30.4375</f>
        <v>3957.4837500000003</v>
      </c>
      <c r="AK80" s="18">
        <v>3957.48</v>
      </c>
      <c r="AL80" s="71" t="s">
        <v>658</v>
      </c>
      <c r="AM80" s="19" t="b">
        <f>AL80=O80</f>
        <v>1</v>
      </c>
      <c r="AN80" s="7">
        <f>VLOOKUP(A80,'base ZITRHR129'!$G$1:$H$628,2,0)</f>
        <v>30040756</v>
      </c>
      <c r="AO80" s="7" t="b">
        <f>AN80=R80</f>
        <v>1</v>
      </c>
      <c r="AP80" s="7">
        <f>VLOOKUP(A80,'base ZITRHR129'!G80:W706,17,0)</f>
        <v>3957.48</v>
      </c>
      <c r="AQ80" s="7" t="b">
        <f>AP80=AK80</f>
        <v>1</v>
      </c>
      <c r="AR80" s="69"/>
    </row>
    <row r="81" spans="1:44" s="7" customFormat="1" ht="12" x14ac:dyDescent="0.2">
      <c r="A81" s="7">
        <v>10025658</v>
      </c>
      <c r="B81" s="8" t="s">
        <v>105</v>
      </c>
      <c r="C81" s="8" t="s">
        <v>680</v>
      </c>
      <c r="D81" s="8" t="s">
        <v>717</v>
      </c>
      <c r="E81" s="8" t="s">
        <v>729</v>
      </c>
      <c r="F81" s="8" t="s">
        <v>1406</v>
      </c>
      <c r="G81" s="8" t="s">
        <v>758</v>
      </c>
      <c r="H81" s="9">
        <v>17</v>
      </c>
      <c r="I81" s="8" t="s">
        <v>658</v>
      </c>
      <c r="J81" s="8" t="s">
        <v>854</v>
      </c>
      <c r="K81" s="8" t="s">
        <v>6</v>
      </c>
      <c r="L81" s="8" t="s">
        <v>17</v>
      </c>
      <c r="M81" s="10" t="s">
        <v>680</v>
      </c>
      <c r="N81" s="10" t="s">
        <v>717</v>
      </c>
      <c r="O81" s="10" t="s">
        <v>658</v>
      </c>
      <c r="P81" s="1"/>
      <c r="Q81" s="11" t="b">
        <f>O81=P81</f>
        <v>0</v>
      </c>
      <c r="R81" s="30">
        <v>30040757</v>
      </c>
      <c r="S81" s="1"/>
      <c r="T81" s="11" t="b">
        <f>R81=S81</f>
        <v>0</v>
      </c>
      <c r="U81" s="10" t="s">
        <v>6</v>
      </c>
      <c r="V81" s="1"/>
      <c r="W81" s="11" t="b">
        <f>U81=V81</f>
        <v>0</v>
      </c>
      <c r="X81" s="13" t="s">
        <v>15</v>
      </c>
      <c r="Y81" s="1"/>
      <c r="Z81" s="1"/>
      <c r="AA81" s="10">
        <v>22002447</v>
      </c>
      <c r="AB81" s="10" t="s">
        <v>1409</v>
      </c>
      <c r="AD81" s="11" t="b">
        <f>AB81=AC81</f>
        <v>0</v>
      </c>
      <c r="AE81" s="10" t="s">
        <v>758</v>
      </c>
      <c r="AF81" s="1"/>
      <c r="AG81" s="11" t="b">
        <f>AE81=AF81</f>
        <v>0</v>
      </c>
      <c r="AH81" s="1">
        <v>17</v>
      </c>
      <c r="AI81" s="1">
        <v>14.48</v>
      </c>
      <c r="AJ81" s="16">
        <f>AI81*220/30*30.4375</f>
        <v>3232.0566666666668</v>
      </c>
      <c r="AK81" s="18">
        <v>3232.06</v>
      </c>
      <c r="AL81" s="72" t="s">
        <v>654</v>
      </c>
      <c r="AM81" s="48" t="b">
        <f>AL81=O81</f>
        <v>0</v>
      </c>
      <c r="AN81" s="7">
        <f>VLOOKUP(A81,'base ZITRHR129'!$G$1:$H$628,2,0)</f>
        <v>30040757</v>
      </c>
      <c r="AO81" s="7" t="b">
        <f>AN81=R81</f>
        <v>1</v>
      </c>
      <c r="AP81" s="7">
        <f>VLOOKUP(A81,'base ZITRHR129'!G79:W705,17,0)</f>
        <v>3232.06</v>
      </c>
      <c r="AQ81" s="7" t="b">
        <f>AP81=AK81</f>
        <v>1</v>
      </c>
      <c r="AR81" s="69" t="s">
        <v>1517</v>
      </c>
    </row>
    <row r="82" spans="1:44" s="7" customFormat="1" ht="12" x14ac:dyDescent="0.2">
      <c r="A82" s="7">
        <v>10025823</v>
      </c>
      <c r="B82" s="8" t="s">
        <v>106</v>
      </c>
      <c r="C82" s="8" t="s">
        <v>680</v>
      </c>
      <c r="D82" s="8" t="s">
        <v>717</v>
      </c>
      <c r="E82" s="8" t="s">
        <v>729</v>
      </c>
      <c r="F82" s="8" t="s">
        <v>1406</v>
      </c>
      <c r="G82" s="8" t="s">
        <v>758</v>
      </c>
      <c r="H82" s="9">
        <v>17</v>
      </c>
      <c r="I82" s="8" t="s">
        <v>654</v>
      </c>
      <c r="J82" s="8" t="s">
        <v>855</v>
      </c>
      <c r="K82" s="8" t="s">
        <v>16</v>
      </c>
      <c r="L82" s="8" t="s">
        <v>17</v>
      </c>
      <c r="M82" s="10" t="s">
        <v>680</v>
      </c>
      <c r="N82" s="10" t="s">
        <v>717</v>
      </c>
      <c r="O82" s="10" t="s">
        <v>654</v>
      </c>
      <c r="P82" s="1"/>
      <c r="Q82" s="11" t="b">
        <f>O82=P82</f>
        <v>0</v>
      </c>
      <c r="R82" s="30">
        <v>30040758</v>
      </c>
      <c r="S82" s="1"/>
      <c r="T82" s="11" t="b">
        <f>R82=S82</f>
        <v>0</v>
      </c>
      <c r="U82" s="10" t="s">
        <v>16</v>
      </c>
      <c r="V82" s="1"/>
      <c r="W82" s="11" t="b">
        <f>U82=V82</f>
        <v>0</v>
      </c>
      <c r="X82" s="13" t="s">
        <v>15</v>
      </c>
      <c r="Y82" s="1"/>
      <c r="Z82" s="1"/>
      <c r="AA82" s="59">
        <v>22002447</v>
      </c>
      <c r="AB82" s="10" t="s">
        <v>1409</v>
      </c>
      <c r="AD82" s="11" t="b">
        <f>AB82=AC82</f>
        <v>0</v>
      </c>
      <c r="AE82" s="10" t="s">
        <v>758</v>
      </c>
      <c r="AF82" s="1"/>
      <c r="AG82" s="11" t="b">
        <f>AE82=AF82</f>
        <v>0</v>
      </c>
      <c r="AH82" s="1">
        <v>17</v>
      </c>
      <c r="AI82" s="1">
        <v>14.48</v>
      </c>
      <c r="AJ82" s="16">
        <f>AI82*220/30*30.4375</f>
        <v>3232.0566666666668</v>
      </c>
      <c r="AK82" s="18">
        <v>3232.06</v>
      </c>
      <c r="AL82" s="71" t="s">
        <v>654</v>
      </c>
      <c r="AM82" s="19" t="b">
        <f>AL82=O82</f>
        <v>1</v>
      </c>
      <c r="AN82" s="7">
        <f>VLOOKUP(A82,'base ZITRHR129'!$G$1:$H$628,2,0)</f>
        <v>30040758</v>
      </c>
      <c r="AO82" s="7" t="b">
        <f>AN82=R82</f>
        <v>1</v>
      </c>
      <c r="AP82" s="7">
        <f>VLOOKUP(A82,'base ZITRHR129'!G78:W704,17,0)</f>
        <v>3232.06</v>
      </c>
      <c r="AQ82" s="7" t="b">
        <f>AP82=AK82</f>
        <v>1</v>
      </c>
      <c r="AR82" s="69"/>
    </row>
    <row r="83" spans="1:44" s="7" customFormat="1" ht="12" x14ac:dyDescent="0.2">
      <c r="A83" s="7">
        <v>10025934</v>
      </c>
      <c r="B83" s="8" t="s">
        <v>107</v>
      </c>
      <c r="C83" s="8" t="s">
        <v>680</v>
      </c>
      <c r="D83" s="8" t="s">
        <v>717</v>
      </c>
      <c r="E83" s="8" t="s">
        <v>729</v>
      </c>
      <c r="F83" s="8" t="s">
        <v>1406</v>
      </c>
      <c r="G83" s="8" t="s">
        <v>758</v>
      </c>
      <c r="H83" s="9">
        <v>17</v>
      </c>
      <c r="I83" s="8" t="s">
        <v>654</v>
      </c>
      <c r="J83" s="8" t="s">
        <v>856</v>
      </c>
      <c r="K83" s="8" t="s">
        <v>16</v>
      </c>
      <c r="L83" s="8" t="s">
        <v>17</v>
      </c>
      <c r="M83" s="10" t="s">
        <v>680</v>
      </c>
      <c r="N83" s="10" t="s">
        <v>717</v>
      </c>
      <c r="O83" s="10" t="s">
        <v>654</v>
      </c>
      <c r="P83" s="1"/>
      <c r="Q83" s="11" t="b">
        <f>O83=P83</f>
        <v>0</v>
      </c>
      <c r="R83" s="30">
        <v>30040759</v>
      </c>
      <c r="S83" s="1"/>
      <c r="T83" s="11" t="b">
        <f>R83=S83</f>
        <v>0</v>
      </c>
      <c r="U83" s="10" t="s">
        <v>16</v>
      </c>
      <c r="V83" s="1"/>
      <c r="W83" s="11" t="b">
        <f>U83=V83</f>
        <v>0</v>
      </c>
      <c r="X83" s="13" t="s">
        <v>15</v>
      </c>
      <c r="Y83" s="1"/>
      <c r="Z83" s="1"/>
      <c r="AA83" s="10">
        <v>22002447</v>
      </c>
      <c r="AB83" s="10" t="s">
        <v>1409</v>
      </c>
      <c r="AD83" s="11" t="b">
        <f>AB83=AC83</f>
        <v>0</v>
      </c>
      <c r="AE83" s="10" t="s">
        <v>758</v>
      </c>
      <c r="AF83" s="1"/>
      <c r="AG83" s="11" t="b">
        <f>AE83=AF83</f>
        <v>0</v>
      </c>
      <c r="AH83" s="1">
        <v>17</v>
      </c>
      <c r="AI83" s="1">
        <v>14.48</v>
      </c>
      <c r="AJ83" s="16">
        <f>AI83*220/30*30.4375</f>
        <v>3232.0566666666668</v>
      </c>
      <c r="AK83" s="18">
        <v>3232.06</v>
      </c>
      <c r="AL83" s="71" t="s">
        <v>654</v>
      </c>
      <c r="AM83" s="19" t="b">
        <f>AL83=O83</f>
        <v>1</v>
      </c>
      <c r="AN83" s="7">
        <f>VLOOKUP(A83,'base ZITRHR129'!$G$1:$H$628,2,0)</f>
        <v>30040759</v>
      </c>
      <c r="AO83" s="7" t="b">
        <f>AN83=R83</f>
        <v>1</v>
      </c>
      <c r="AP83" s="7">
        <f>VLOOKUP(A83,'base ZITRHR129'!G77:W703,17,0)</f>
        <v>3232.06</v>
      </c>
      <c r="AQ83" s="7" t="b">
        <f>AP83=AK83</f>
        <v>1</v>
      </c>
      <c r="AR83" s="69"/>
    </row>
    <row r="84" spans="1:44" s="7" customFormat="1" ht="12" x14ac:dyDescent="0.2">
      <c r="A84" s="7">
        <v>10025992</v>
      </c>
      <c r="B84" s="8" t="s">
        <v>108</v>
      </c>
      <c r="C84" s="8" t="s">
        <v>679</v>
      </c>
      <c r="D84" s="8" t="s">
        <v>717</v>
      </c>
      <c r="E84" s="8" t="s">
        <v>720</v>
      </c>
      <c r="F84" s="8" t="s">
        <v>1406</v>
      </c>
      <c r="G84" s="8" t="s">
        <v>751</v>
      </c>
      <c r="H84" s="9">
        <v>18</v>
      </c>
      <c r="I84" s="8" t="s">
        <v>653</v>
      </c>
      <c r="J84" s="8" t="s">
        <v>857</v>
      </c>
      <c r="K84" s="8" t="s">
        <v>16</v>
      </c>
      <c r="L84" s="8" t="s">
        <v>17</v>
      </c>
      <c r="M84" s="10" t="s">
        <v>679</v>
      </c>
      <c r="N84" s="10" t="s">
        <v>717</v>
      </c>
      <c r="O84" s="10" t="s">
        <v>653</v>
      </c>
      <c r="P84" s="1"/>
      <c r="Q84" s="11" t="b">
        <f>O84=P84</f>
        <v>0</v>
      </c>
      <c r="R84" s="30">
        <v>30040760</v>
      </c>
      <c r="S84" s="1"/>
      <c r="T84" s="11" t="b">
        <f>R84=S84</f>
        <v>0</v>
      </c>
      <c r="U84" s="10" t="s">
        <v>16</v>
      </c>
      <c r="V84" s="1"/>
      <c r="W84" s="11" t="b">
        <f>U84=V84</f>
        <v>0</v>
      </c>
      <c r="X84" s="13" t="s">
        <v>15</v>
      </c>
      <c r="Y84" s="1"/>
      <c r="Z84" s="1"/>
      <c r="AA84" s="10">
        <v>22003015</v>
      </c>
      <c r="AB84" s="10" t="s">
        <v>1409</v>
      </c>
      <c r="AD84" s="11" t="b">
        <f>AB84=AC84</f>
        <v>0</v>
      </c>
      <c r="AE84" s="10" t="s">
        <v>751</v>
      </c>
      <c r="AF84" s="1"/>
      <c r="AG84" s="11" t="b">
        <f>AE84=AF84</f>
        <v>0</v>
      </c>
      <c r="AH84" s="1">
        <v>18</v>
      </c>
      <c r="AI84" s="1">
        <v>17.73</v>
      </c>
      <c r="AJ84" s="16">
        <f>AI84*220/30*30.4375</f>
        <v>3957.4837500000003</v>
      </c>
      <c r="AK84" s="18">
        <v>3957.48</v>
      </c>
      <c r="AL84" s="71" t="s">
        <v>653</v>
      </c>
      <c r="AM84" s="19" t="b">
        <f>AL84=O84</f>
        <v>1</v>
      </c>
      <c r="AN84" s="7">
        <f>VLOOKUP(A84,'base ZITRHR129'!$G$1:$H$628,2,0)</f>
        <v>30040760</v>
      </c>
      <c r="AO84" s="7" t="b">
        <f>AN84=R84</f>
        <v>1</v>
      </c>
      <c r="AP84" s="7">
        <f>VLOOKUP(A84,'base ZITRHR129'!G76:W702,17,0)</f>
        <v>3957.48</v>
      </c>
      <c r="AQ84" s="7" t="b">
        <f>AP84=AK84</f>
        <v>1</v>
      </c>
      <c r="AR84" s="69"/>
    </row>
    <row r="85" spans="1:44" s="7" customFormat="1" ht="12" x14ac:dyDescent="0.2">
      <c r="A85" s="7">
        <v>10026003</v>
      </c>
      <c r="B85" s="8" t="s">
        <v>109</v>
      </c>
      <c r="C85" s="8" t="s">
        <v>702</v>
      </c>
      <c r="D85" s="8" t="s">
        <v>717</v>
      </c>
      <c r="E85" s="8" t="s">
        <v>720</v>
      </c>
      <c r="F85" s="8" t="s">
        <v>1406</v>
      </c>
      <c r="G85" s="8" t="s">
        <v>751</v>
      </c>
      <c r="H85" s="9">
        <v>18</v>
      </c>
      <c r="I85" s="8" t="s">
        <v>658</v>
      </c>
      <c r="J85" s="8" t="s">
        <v>858</v>
      </c>
      <c r="K85" s="8" t="s">
        <v>6</v>
      </c>
      <c r="L85" s="8" t="s">
        <v>17</v>
      </c>
      <c r="M85" s="10" t="s">
        <v>702</v>
      </c>
      <c r="N85" s="10" t="s">
        <v>717</v>
      </c>
      <c r="O85" s="10" t="s">
        <v>658</v>
      </c>
      <c r="P85" s="1"/>
      <c r="Q85" s="11" t="b">
        <f>O85=P85</f>
        <v>0</v>
      </c>
      <c r="R85" s="30">
        <v>30040761</v>
      </c>
      <c r="S85" s="1"/>
      <c r="T85" s="11" t="b">
        <f>R85=S85</f>
        <v>0</v>
      </c>
      <c r="U85" s="10" t="s">
        <v>6</v>
      </c>
      <c r="V85" s="1"/>
      <c r="W85" s="11" t="b">
        <f>U85=V85</f>
        <v>0</v>
      </c>
      <c r="X85" s="13" t="s">
        <v>15</v>
      </c>
      <c r="Y85" s="1"/>
      <c r="Z85" s="1"/>
      <c r="AA85" s="10">
        <v>22003015</v>
      </c>
      <c r="AB85" s="10" t="s">
        <v>1409</v>
      </c>
      <c r="AD85" s="11" t="b">
        <f>AB85=AC85</f>
        <v>0</v>
      </c>
      <c r="AE85" s="10" t="s">
        <v>751</v>
      </c>
      <c r="AF85" s="1"/>
      <c r="AG85" s="11" t="b">
        <f>AE85=AF85</f>
        <v>0</v>
      </c>
      <c r="AH85" s="1">
        <v>18</v>
      </c>
      <c r="AI85" s="1">
        <v>17.73</v>
      </c>
      <c r="AJ85" s="16">
        <f>AI85*220/30*30.4375</f>
        <v>3957.4837500000003</v>
      </c>
      <c r="AK85" s="18">
        <v>3957.48</v>
      </c>
      <c r="AL85" s="72" t="s">
        <v>668</v>
      </c>
      <c r="AM85" s="48" t="b">
        <f>AL85=O85</f>
        <v>0</v>
      </c>
      <c r="AN85" s="7">
        <f>VLOOKUP(A85,'base ZITRHR129'!$G$1:$H$628,2,0)</f>
        <v>30040761</v>
      </c>
      <c r="AO85" s="7" t="b">
        <f>AN85=R85</f>
        <v>1</v>
      </c>
      <c r="AP85" s="7">
        <f>VLOOKUP(A85,'base ZITRHR129'!G75:W701,17,0)</f>
        <v>3957.48</v>
      </c>
      <c r="AQ85" s="7" t="b">
        <f>AP85=AK85</f>
        <v>1</v>
      </c>
      <c r="AR85" s="69" t="s">
        <v>1517</v>
      </c>
    </row>
    <row r="86" spans="1:44" s="7" customFormat="1" ht="12" x14ac:dyDescent="0.2">
      <c r="A86" s="7">
        <v>10026010</v>
      </c>
      <c r="B86" s="8" t="s">
        <v>110</v>
      </c>
      <c r="C86" s="8" t="s">
        <v>682</v>
      </c>
      <c r="D86" s="8" t="s">
        <v>717</v>
      </c>
      <c r="E86" s="8" t="s">
        <v>720</v>
      </c>
      <c r="F86" s="8" t="s">
        <v>1406</v>
      </c>
      <c r="G86" s="8" t="s">
        <v>751</v>
      </c>
      <c r="H86" s="9">
        <v>18</v>
      </c>
      <c r="I86" s="8" t="s">
        <v>655</v>
      </c>
      <c r="J86" s="8" t="s">
        <v>859</v>
      </c>
      <c r="K86" s="8" t="s">
        <v>16</v>
      </c>
      <c r="L86" s="8" t="s">
        <v>17</v>
      </c>
      <c r="M86" s="10" t="s">
        <v>682</v>
      </c>
      <c r="N86" s="10" t="s">
        <v>717</v>
      </c>
      <c r="O86" s="10" t="s">
        <v>655</v>
      </c>
      <c r="P86" s="1"/>
      <c r="Q86" s="11" t="b">
        <f>O86=P86</f>
        <v>0</v>
      </c>
      <c r="R86" s="30">
        <v>30040762</v>
      </c>
      <c r="S86" s="1"/>
      <c r="T86" s="11" t="b">
        <f>R86=S86</f>
        <v>0</v>
      </c>
      <c r="U86" s="10" t="s">
        <v>16</v>
      </c>
      <c r="V86" s="1"/>
      <c r="W86" s="11" t="b">
        <f>U86=V86</f>
        <v>0</v>
      </c>
      <c r="X86" s="13" t="s">
        <v>15</v>
      </c>
      <c r="Y86" s="1"/>
      <c r="Z86" s="1"/>
      <c r="AA86" s="10">
        <v>22003015</v>
      </c>
      <c r="AB86" s="10" t="s">
        <v>1409</v>
      </c>
      <c r="AD86" s="11" t="b">
        <f>AB86=AC86</f>
        <v>0</v>
      </c>
      <c r="AE86" s="10" t="s">
        <v>751</v>
      </c>
      <c r="AF86" s="1"/>
      <c r="AG86" s="11" t="b">
        <f>AE86=AF86</f>
        <v>0</v>
      </c>
      <c r="AH86" s="1">
        <v>18</v>
      </c>
      <c r="AI86" s="1">
        <v>17.73</v>
      </c>
      <c r="AJ86" s="16">
        <f>AI86*220/30*30.4375</f>
        <v>3957.4837500000003</v>
      </c>
      <c r="AK86" s="18">
        <v>3957.48</v>
      </c>
      <c r="AL86" s="71" t="s">
        <v>655</v>
      </c>
      <c r="AM86" s="19" t="b">
        <f>AL86=O86</f>
        <v>1</v>
      </c>
      <c r="AN86" s="7">
        <f>VLOOKUP(A86,'base ZITRHR129'!$G$1:$H$628,2,0)</f>
        <v>30040762</v>
      </c>
      <c r="AO86" s="7" t="b">
        <f>AN86=R86</f>
        <v>1</v>
      </c>
      <c r="AP86" s="7">
        <f>VLOOKUP(A86,'base ZITRHR129'!G74:W700,17,0)</f>
        <v>3957.48</v>
      </c>
      <c r="AQ86" s="7" t="b">
        <f>AP86=AK86</f>
        <v>1</v>
      </c>
      <c r="AR86" s="69"/>
    </row>
    <row r="87" spans="1:44" s="7" customFormat="1" ht="12" x14ac:dyDescent="0.2">
      <c r="A87" s="7">
        <v>10026021</v>
      </c>
      <c r="B87" s="8" t="s">
        <v>111</v>
      </c>
      <c r="C87" s="8" t="s">
        <v>689</v>
      </c>
      <c r="D87" s="8" t="s">
        <v>717</v>
      </c>
      <c r="E87" s="8" t="s">
        <v>718</v>
      </c>
      <c r="F87" s="8" t="s">
        <v>1406</v>
      </c>
      <c r="G87" s="8" t="s">
        <v>750</v>
      </c>
      <c r="H87" s="9">
        <v>19</v>
      </c>
      <c r="I87" s="8" t="s">
        <v>658</v>
      </c>
      <c r="J87" s="8" t="s">
        <v>860</v>
      </c>
      <c r="K87" s="8" t="s">
        <v>6</v>
      </c>
      <c r="L87" s="8" t="s">
        <v>17</v>
      </c>
      <c r="M87" s="10" t="s">
        <v>689</v>
      </c>
      <c r="N87" s="10" t="s">
        <v>717</v>
      </c>
      <c r="O87" s="10" t="s">
        <v>658</v>
      </c>
      <c r="P87" s="1"/>
      <c r="Q87" s="11" t="b">
        <f>O87=P87</f>
        <v>0</v>
      </c>
      <c r="R87" s="30">
        <v>30040763</v>
      </c>
      <c r="S87" s="1"/>
      <c r="T87" s="11" t="b">
        <f>R87=S87</f>
        <v>0</v>
      </c>
      <c r="U87" s="10" t="s">
        <v>6</v>
      </c>
      <c r="V87" s="1"/>
      <c r="W87" s="11" t="b">
        <f>U87=V87</f>
        <v>0</v>
      </c>
      <c r="X87" s="13" t="s">
        <v>15</v>
      </c>
      <c r="Y87" s="1"/>
      <c r="Z87" s="1"/>
      <c r="AA87" s="59">
        <v>22003022</v>
      </c>
      <c r="AB87" s="10" t="s">
        <v>1409</v>
      </c>
      <c r="AD87" s="11" t="b">
        <f>AB87=AC87</f>
        <v>0</v>
      </c>
      <c r="AE87" s="10" t="s">
        <v>750</v>
      </c>
      <c r="AF87" s="1"/>
      <c r="AG87" s="11" t="b">
        <f>AE87=AF87</f>
        <v>0</v>
      </c>
      <c r="AH87" s="1">
        <v>19</v>
      </c>
      <c r="AI87" s="1">
        <v>18.260000000000002</v>
      </c>
      <c r="AJ87" s="16">
        <f>AI87*220/30*30.4375</f>
        <v>4075.7841666666668</v>
      </c>
      <c r="AK87" s="18">
        <v>4075.78</v>
      </c>
      <c r="AL87" s="72" t="s">
        <v>662</v>
      </c>
      <c r="AM87" s="48" t="b">
        <f>AL87=O87</f>
        <v>0</v>
      </c>
      <c r="AN87" s="7">
        <f>VLOOKUP(A87,'base ZITRHR129'!$G$1:$H$628,2,0)</f>
        <v>30040763</v>
      </c>
      <c r="AO87" s="7" t="b">
        <f>AN87=R87</f>
        <v>1</v>
      </c>
      <c r="AP87" s="7">
        <f>VLOOKUP(A87,'base ZITRHR129'!G73:W699,17,0)</f>
        <v>4075.78</v>
      </c>
      <c r="AQ87" s="7" t="b">
        <f>AP87=AK87</f>
        <v>1</v>
      </c>
      <c r="AR87" s="69" t="s">
        <v>1517</v>
      </c>
    </row>
    <row r="88" spans="1:44" s="7" customFormat="1" ht="12" x14ac:dyDescent="0.2">
      <c r="A88" s="7">
        <v>10026039</v>
      </c>
      <c r="B88" s="8" t="s">
        <v>112</v>
      </c>
      <c r="C88" s="8" t="s">
        <v>679</v>
      </c>
      <c r="D88" s="8" t="s">
        <v>717</v>
      </c>
      <c r="E88" s="8" t="s">
        <v>720</v>
      </c>
      <c r="F88" s="8" t="s">
        <v>1406</v>
      </c>
      <c r="G88" s="8" t="s">
        <v>751</v>
      </c>
      <c r="H88" s="9">
        <v>18</v>
      </c>
      <c r="I88" s="8" t="s">
        <v>653</v>
      </c>
      <c r="J88" s="8" t="s">
        <v>861</v>
      </c>
      <c r="K88" s="8" t="s">
        <v>16</v>
      </c>
      <c r="L88" s="8" t="s">
        <v>17</v>
      </c>
      <c r="M88" s="10" t="s">
        <v>679</v>
      </c>
      <c r="N88" s="10" t="s">
        <v>717</v>
      </c>
      <c r="O88" s="10" t="s">
        <v>653</v>
      </c>
      <c r="P88" s="1"/>
      <c r="Q88" s="11" t="b">
        <f>O88=P88</f>
        <v>0</v>
      </c>
      <c r="R88" s="30">
        <v>30040764</v>
      </c>
      <c r="S88" s="1"/>
      <c r="T88" s="11" t="b">
        <f>R88=S88</f>
        <v>0</v>
      </c>
      <c r="U88" s="10" t="s">
        <v>16</v>
      </c>
      <c r="V88" s="1"/>
      <c r="W88" s="11" t="b">
        <f>U88=V88</f>
        <v>0</v>
      </c>
      <c r="X88" s="13" t="s">
        <v>15</v>
      </c>
      <c r="Y88" s="1"/>
      <c r="Z88" s="1"/>
      <c r="AA88" s="10">
        <v>22003015</v>
      </c>
      <c r="AB88" s="10" t="s">
        <v>1409</v>
      </c>
      <c r="AD88" s="11" t="b">
        <f>AB88=AC88</f>
        <v>0</v>
      </c>
      <c r="AE88" s="10" t="s">
        <v>751</v>
      </c>
      <c r="AF88" s="1"/>
      <c r="AG88" s="11" t="b">
        <f>AE88=AF88</f>
        <v>0</v>
      </c>
      <c r="AH88" s="1">
        <v>18</v>
      </c>
      <c r="AI88" s="1">
        <v>17.73</v>
      </c>
      <c r="AJ88" s="16">
        <f>AI88*220/30*30.4375</f>
        <v>3957.4837500000003</v>
      </c>
      <c r="AK88" s="18">
        <v>3957.48</v>
      </c>
      <c r="AL88" s="71" t="s">
        <v>653</v>
      </c>
      <c r="AM88" s="19" t="b">
        <f>AL88=O88</f>
        <v>1</v>
      </c>
      <c r="AN88" s="7">
        <f>VLOOKUP(A88,'base ZITRHR129'!$G$1:$H$628,2,0)</f>
        <v>30040764</v>
      </c>
      <c r="AO88" s="7" t="b">
        <f>AN88=R88</f>
        <v>1</v>
      </c>
      <c r="AP88" s="7">
        <f>VLOOKUP(A88,'base ZITRHR129'!G72:W698,17,0)</f>
        <v>3957.48</v>
      </c>
      <c r="AQ88" s="7" t="b">
        <f>AP88=AK88</f>
        <v>1</v>
      </c>
      <c r="AR88" s="69"/>
    </row>
    <row r="89" spans="1:44" s="7" customFormat="1" ht="12" x14ac:dyDescent="0.2">
      <c r="A89" s="7">
        <v>10026047</v>
      </c>
      <c r="B89" s="8" t="s">
        <v>113</v>
      </c>
      <c r="C89" s="8" t="s">
        <v>681</v>
      </c>
      <c r="D89" s="8" t="s">
        <v>717</v>
      </c>
      <c r="E89" s="8" t="s">
        <v>720</v>
      </c>
      <c r="F89" s="8" t="s">
        <v>1406</v>
      </c>
      <c r="G89" s="8" t="s">
        <v>751</v>
      </c>
      <c r="H89" s="9">
        <v>18</v>
      </c>
      <c r="I89" s="8" t="s">
        <v>653</v>
      </c>
      <c r="J89" s="8" t="s">
        <v>862</v>
      </c>
      <c r="K89" s="8" t="s">
        <v>16</v>
      </c>
      <c r="L89" s="8" t="s">
        <v>17</v>
      </c>
      <c r="M89" s="10" t="s">
        <v>681</v>
      </c>
      <c r="N89" s="10" t="s">
        <v>717</v>
      </c>
      <c r="O89" s="10" t="s">
        <v>653</v>
      </c>
      <c r="P89" s="1"/>
      <c r="Q89" s="11" t="b">
        <f>O89=P89</f>
        <v>0</v>
      </c>
      <c r="R89" s="30">
        <v>30040765</v>
      </c>
      <c r="S89" s="1"/>
      <c r="T89" s="11" t="b">
        <f>R89=S89</f>
        <v>0</v>
      </c>
      <c r="U89" s="10" t="s">
        <v>16</v>
      </c>
      <c r="V89" s="1"/>
      <c r="W89" s="11" t="b">
        <f>U89=V89</f>
        <v>0</v>
      </c>
      <c r="X89" s="13" t="s">
        <v>15</v>
      </c>
      <c r="Y89" s="1"/>
      <c r="Z89" s="1"/>
      <c r="AA89" s="10">
        <v>22003015</v>
      </c>
      <c r="AB89" s="10" t="s">
        <v>1409</v>
      </c>
      <c r="AD89" s="11" t="b">
        <f>AB89=AC89</f>
        <v>0</v>
      </c>
      <c r="AE89" s="10" t="s">
        <v>751</v>
      </c>
      <c r="AF89" s="1"/>
      <c r="AG89" s="11" t="b">
        <f>AE89=AF89</f>
        <v>0</v>
      </c>
      <c r="AH89" s="1">
        <v>18</v>
      </c>
      <c r="AI89" s="1">
        <v>17.73</v>
      </c>
      <c r="AJ89" s="16">
        <f>AI89*220/30*30.4375</f>
        <v>3957.4837500000003</v>
      </c>
      <c r="AK89" s="18">
        <v>3957.48</v>
      </c>
      <c r="AL89" s="71" t="s">
        <v>653</v>
      </c>
      <c r="AM89" s="19" t="b">
        <f>AL89=O89</f>
        <v>1</v>
      </c>
      <c r="AN89" s="7">
        <f>VLOOKUP(A89,'base ZITRHR129'!$G$1:$H$628,2,0)</f>
        <v>30040765</v>
      </c>
      <c r="AO89" s="7" t="b">
        <f>AN89=R89</f>
        <v>1</v>
      </c>
      <c r="AP89" s="7">
        <f>VLOOKUP(A89,'base ZITRHR129'!G71:W697,17,0)</f>
        <v>3957.48</v>
      </c>
      <c r="AQ89" s="7" t="b">
        <f>AP89=AK89</f>
        <v>1</v>
      </c>
      <c r="AR89" s="69"/>
    </row>
    <row r="90" spans="1:44" s="7" customFormat="1" ht="12" x14ac:dyDescent="0.2">
      <c r="A90" s="7">
        <v>10026175</v>
      </c>
      <c r="B90" s="8" t="s">
        <v>114</v>
      </c>
      <c r="C90" s="8" t="s">
        <v>684</v>
      </c>
      <c r="D90" s="8" t="s">
        <v>717</v>
      </c>
      <c r="E90" s="8" t="s">
        <v>720</v>
      </c>
      <c r="F90" s="8" t="s">
        <v>1406</v>
      </c>
      <c r="G90" s="8" t="s">
        <v>751</v>
      </c>
      <c r="H90" s="9">
        <v>18</v>
      </c>
      <c r="I90" s="8" t="s">
        <v>657</v>
      </c>
      <c r="J90" s="8" t="s">
        <v>863</v>
      </c>
      <c r="K90" s="8" t="s">
        <v>16</v>
      </c>
      <c r="L90" s="8" t="s">
        <v>17</v>
      </c>
      <c r="M90" s="10" t="s">
        <v>684</v>
      </c>
      <c r="N90" s="10" t="s">
        <v>717</v>
      </c>
      <c r="O90" s="10" t="s">
        <v>657</v>
      </c>
      <c r="P90" s="1"/>
      <c r="Q90" s="11" t="b">
        <f>O90=P90</f>
        <v>0</v>
      </c>
      <c r="R90" s="30">
        <v>30040766</v>
      </c>
      <c r="S90" s="1"/>
      <c r="T90" s="11" t="b">
        <f>R90=S90</f>
        <v>0</v>
      </c>
      <c r="U90" s="10" t="s">
        <v>16</v>
      </c>
      <c r="V90" s="1"/>
      <c r="W90" s="11" t="b">
        <f>U90=V90</f>
        <v>0</v>
      </c>
      <c r="X90" s="13" t="s">
        <v>15</v>
      </c>
      <c r="Y90" s="1"/>
      <c r="Z90" s="1"/>
      <c r="AA90" s="10">
        <v>22003015</v>
      </c>
      <c r="AB90" s="10" t="s">
        <v>1409</v>
      </c>
      <c r="AD90" s="11" t="b">
        <f>AB90=AC90</f>
        <v>0</v>
      </c>
      <c r="AE90" s="10" t="s">
        <v>751</v>
      </c>
      <c r="AF90" s="1"/>
      <c r="AG90" s="11" t="b">
        <f>AE90=AF90</f>
        <v>0</v>
      </c>
      <c r="AH90" s="1">
        <v>18</v>
      </c>
      <c r="AI90" s="1">
        <v>17.73</v>
      </c>
      <c r="AJ90" s="16">
        <f>AI90*220/30*30.4375</f>
        <v>3957.4837500000003</v>
      </c>
      <c r="AK90" s="18">
        <v>3957.48</v>
      </c>
      <c r="AL90" s="71" t="s">
        <v>657</v>
      </c>
      <c r="AM90" s="19" t="b">
        <f>AL90=O90</f>
        <v>1</v>
      </c>
      <c r="AN90" s="7">
        <f>VLOOKUP(A90,'base ZITRHR129'!$G$1:$H$628,2,0)</f>
        <v>30040766</v>
      </c>
      <c r="AO90" s="7" t="b">
        <f>AN90=R90</f>
        <v>1</v>
      </c>
      <c r="AP90" s="7">
        <f>VLOOKUP(A90,'base ZITRHR129'!G70:W696,17,0)</f>
        <v>3957.48</v>
      </c>
      <c r="AQ90" s="7" t="b">
        <f>AP90=AK90</f>
        <v>1</v>
      </c>
      <c r="AR90" s="69"/>
    </row>
    <row r="91" spans="1:44" s="7" customFormat="1" ht="12" x14ac:dyDescent="0.2">
      <c r="A91" s="7">
        <v>10026218</v>
      </c>
      <c r="B91" s="8" t="s">
        <v>115</v>
      </c>
      <c r="C91" s="8" t="s">
        <v>684</v>
      </c>
      <c r="D91" s="8" t="s">
        <v>717</v>
      </c>
      <c r="E91" s="8" t="s">
        <v>720</v>
      </c>
      <c r="F91" s="8" t="s">
        <v>1406</v>
      </c>
      <c r="G91" s="8" t="s">
        <v>751</v>
      </c>
      <c r="H91" s="9">
        <v>18</v>
      </c>
      <c r="I91" s="8" t="s">
        <v>657</v>
      </c>
      <c r="J91" s="8" t="s">
        <v>864</v>
      </c>
      <c r="K91" s="8" t="s">
        <v>16</v>
      </c>
      <c r="L91" s="8" t="s">
        <v>17</v>
      </c>
      <c r="M91" s="10" t="s">
        <v>684</v>
      </c>
      <c r="N91" s="10" t="s">
        <v>717</v>
      </c>
      <c r="O91" s="10" t="s">
        <v>657</v>
      </c>
      <c r="P91" s="1"/>
      <c r="Q91" s="11" t="b">
        <f>O91=P91</f>
        <v>0</v>
      </c>
      <c r="R91" s="30">
        <v>30040767</v>
      </c>
      <c r="S91" s="1"/>
      <c r="T91" s="11" t="b">
        <f>R91=S91</f>
        <v>0</v>
      </c>
      <c r="U91" s="10" t="s">
        <v>16</v>
      </c>
      <c r="V91" s="1"/>
      <c r="W91" s="11" t="b">
        <f>U91=V91</f>
        <v>0</v>
      </c>
      <c r="X91" s="13" t="s">
        <v>15</v>
      </c>
      <c r="Y91" s="1"/>
      <c r="Z91" s="1"/>
      <c r="AA91" s="10">
        <v>22003015</v>
      </c>
      <c r="AB91" s="10" t="s">
        <v>1409</v>
      </c>
      <c r="AD91" s="11" t="b">
        <f>AB91=AC91</f>
        <v>0</v>
      </c>
      <c r="AE91" s="10" t="s">
        <v>751</v>
      </c>
      <c r="AF91" s="1"/>
      <c r="AG91" s="11" t="b">
        <f>AE91=AF91</f>
        <v>0</v>
      </c>
      <c r="AH91" s="1">
        <v>18</v>
      </c>
      <c r="AI91" s="1">
        <v>17.73</v>
      </c>
      <c r="AJ91" s="16">
        <f>AI91*220/30*30.4375</f>
        <v>3957.4837500000003</v>
      </c>
      <c r="AK91" s="18">
        <v>3957.48</v>
      </c>
      <c r="AL91" s="71" t="s">
        <v>657</v>
      </c>
      <c r="AM91" s="19" t="b">
        <f>AL91=O91</f>
        <v>1</v>
      </c>
      <c r="AN91" s="7">
        <f>VLOOKUP(A91,'base ZITRHR129'!$G$1:$H$628,2,0)</f>
        <v>30040767</v>
      </c>
      <c r="AO91" s="7" t="b">
        <f>AN91=R91</f>
        <v>1</v>
      </c>
      <c r="AP91" s="7">
        <f>VLOOKUP(A91,'base ZITRHR129'!G69:W695,17,0)</f>
        <v>3957.48</v>
      </c>
      <c r="AQ91" s="7" t="b">
        <f>AP91=AK91</f>
        <v>1</v>
      </c>
      <c r="AR91" s="69"/>
    </row>
    <row r="92" spans="1:44" s="20" customFormat="1" ht="12" x14ac:dyDescent="0.2">
      <c r="A92" s="7">
        <v>10026234</v>
      </c>
      <c r="B92" s="8" t="s">
        <v>116</v>
      </c>
      <c r="C92" s="8" t="s">
        <v>689</v>
      </c>
      <c r="D92" s="8" t="s">
        <v>717</v>
      </c>
      <c r="E92" s="8" t="s">
        <v>730</v>
      </c>
      <c r="F92" s="8" t="s">
        <v>1406</v>
      </c>
      <c r="G92" s="8" t="s">
        <v>759</v>
      </c>
      <c r="H92" s="9">
        <v>17</v>
      </c>
      <c r="I92" s="8" t="s">
        <v>662</v>
      </c>
      <c r="J92" s="8" t="s">
        <v>865</v>
      </c>
      <c r="K92" s="8" t="s">
        <v>16</v>
      </c>
      <c r="L92" s="8" t="s">
        <v>17</v>
      </c>
      <c r="M92" s="10" t="s">
        <v>689</v>
      </c>
      <c r="N92" s="10" t="s">
        <v>717</v>
      </c>
      <c r="O92" s="10" t="s">
        <v>662</v>
      </c>
      <c r="P92" s="1"/>
      <c r="Q92" s="11" t="b">
        <f>O92=P92</f>
        <v>0</v>
      </c>
      <c r="R92" s="30">
        <v>30040768</v>
      </c>
      <c r="S92" s="1"/>
      <c r="T92" s="11" t="b">
        <f>R92=S92</f>
        <v>0</v>
      </c>
      <c r="U92" s="10" t="s">
        <v>16</v>
      </c>
      <c r="V92" s="1"/>
      <c r="W92" s="11" t="b">
        <f>U92=V92</f>
        <v>0</v>
      </c>
      <c r="X92" s="13" t="s">
        <v>15</v>
      </c>
      <c r="Y92" s="1"/>
      <c r="Z92" s="1"/>
      <c r="AA92" s="59">
        <v>22002605</v>
      </c>
      <c r="AB92" s="10" t="s">
        <v>1409</v>
      </c>
      <c r="AC92" s="7"/>
      <c r="AD92" s="11" t="b">
        <f>AB92=AC92</f>
        <v>0</v>
      </c>
      <c r="AE92" s="10" t="s">
        <v>759</v>
      </c>
      <c r="AF92" s="1"/>
      <c r="AG92" s="11" t="b">
        <f>AE92=AF92</f>
        <v>0</v>
      </c>
      <c r="AH92" s="1">
        <v>17</v>
      </c>
      <c r="AI92" s="1">
        <v>14.04</v>
      </c>
      <c r="AJ92" s="16">
        <f>AI92*220/30*30.4375</f>
        <v>3133.8449999999998</v>
      </c>
      <c r="AK92" s="18">
        <v>3133.85</v>
      </c>
      <c r="AL92" s="71" t="s">
        <v>662</v>
      </c>
      <c r="AM92" s="19" t="b">
        <f>AL92=O92</f>
        <v>1</v>
      </c>
      <c r="AN92" s="7">
        <f>VLOOKUP(A92,'base ZITRHR129'!$G$1:$H$628,2,0)</f>
        <v>30040768</v>
      </c>
      <c r="AO92" s="7" t="b">
        <f>AN92=R92</f>
        <v>1</v>
      </c>
      <c r="AP92" s="7">
        <f>VLOOKUP(A92,'base ZITRHR129'!G68:W694,17,0)</f>
        <v>3133.85</v>
      </c>
      <c r="AQ92" s="7" t="b">
        <f>AP92=AK92</f>
        <v>1</v>
      </c>
      <c r="AR92" s="69"/>
    </row>
    <row r="93" spans="1:44" s="7" customFormat="1" ht="12" x14ac:dyDescent="0.2">
      <c r="A93" s="7">
        <v>10026238</v>
      </c>
      <c r="B93" s="8" t="s">
        <v>117</v>
      </c>
      <c r="C93" s="8" t="s">
        <v>679</v>
      </c>
      <c r="D93" s="8" t="s">
        <v>717</v>
      </c>
      <c r="E93" s="8" t="s">
        <v>720</v>
      </c>
      <c r="F93" s="8" t="s">
        <v>1406</v>
      </c>
      <c r="G93" s="8" t="s">
        <v>751</v>
      </c>
      <c r="H93" s="9">
        <v>18</v>
      </c>
      <c r="I93" s="8" t="s">
        <v>653</v>
      </c>
      <c r="J93" s="8" t="s">
        <v>866</v>
      </c>
      <c r="K93" s="8" t="s">
        <v>16</v>
      </c>
      <c r="L93" s="8" t="s">
        <v>17</v>
      </c>
      <c r="M93" s="10" t="s">
        <v>679</v>
      </c>
      <c r="N93" s="10" t="s">
        <v>717</v>
      </c>
      <c r="O93" s="10" t="s">
        <v>653</v>
      </c>
      <c r="P93" s="1"/>
      <c r="Q93" s="11" t="b">
        <f>O93=P93</f>
        <v>0</v>
      </c>
      <c r="R93" s="30">
        <v>30040769</v>
      </c>
      <c r="S93" s="1"/>
      <c r="T93" s="11" t="b">
        <f>R93=S93</f>
        <v>0</v>
      </c>
      <c r="U93" s="10" t="s">
        <v>16</v>
      </c>
      <c r="V93" s="1"/>
      <c r="W93" s="11" t="b">
        <f>U93=V93</f>
        <v>0</v>
      </c>
      <c r="X93" s="13" t="s">
        <v>15</v>
      </c>
      <c r="Y93" s="1"/>
      <c r="Z93" s="1"/>
      <c r="AA93" s="59">
        <v>22003015</v>
      </c>
      <c r="AB93" s="10" t="s">
        <v>1409</v>
      </c>
      <c r="AD93" s="11" t="b">
        <f>AB93=AC93</f>
        <v>0</v>
      </c>
      <c r="AE93" s="10" t="s">
        <v>751</v>
      </c>
      <c r="AF93" s="1"/>
      <c r="AG93" s="11" t="b">
        <f>AE93=AF93</f>
        <v>0</v>
      </c>
      <c r="AH93" s="1">
        <v>18</v>
      </c>
      <c r="AI93" s="1">
        <v>17.73</v>
      </c>
      <c r="AJ93" s="16">
        <f>AI93*220/30*30.4375</f>
        <v>3957.4837500000003</v>
      </c>
      <c r="AK93" s="18">
        <v>3957.48</v>
      </c>
      <c r="AL93" s="71" t="s">
        <v>653</v>
      </c>
      <c r="AM93" s="19" t="b">
        <f>AL93=O93</f>
        <v>1</v>
      </c>
      <c r="AN93" s="7">
        <f>VLOOKUP(A93,'base ZITRHR129'!$G$1:$H$628,2,0)</f>
        <v>30040769</v>
      </c>
      <c r="AO93" s="7" t="b">
        <f>AN93=R93</f>
        <v>1</v>
      </c>
      <c r="AP93" s="7">
        <f>VLOOKUP(A93,'base ZITRHR129'!G67:W693,17,0)</f>
        <v>3957.48</v>
      </c>
      <c r="AQ93" s="7" t="b">
        <f>AP93=AK93</f>
        <v>1</v>
      </c>
      <c r="AR93" s="69"/>
    </row>
    <row r="94" spans="1:44" s="7" customFormat="1" ht="12" x14ac:dyDescent="0.2">
      <c r="A94" s="7">
        <v>10026242</v>
      </c>
      <c r="B94" s="8" t="s">
        <v>118</v>
      </c>
      <c r="C94" s="8" t="s">
        <v>679</v>
      </c>
      <c r="D94" s="8" t="s">
        <v>717</v>
      </c>
      <c r="E94" s="8" t="s">
        <v>720</v>
      </c>
      <c r="F94" s="8" t="s">
        <v>1406</v>
      </c>
      <c r="G94" s="8" t="s">
        <v>751</v>
      </c>
      <c r="H94" s="9">
        <v>18</v>
      </c>
      <c r="I94" s="8" t="s">
        <v>653</v>
      </c>
      <c r="J94" s="8" t="s">
        <v>867</v>
      </c>
      <c r="K94" s="8" t="s">
        <v>16</v>
      </c>
      <c r="L94" s="8" t="s">
        <v>17</v>
      </c>
      <c r="M94" s="10" t="s">
        <v>679</v>
      </c>
      <c r="N94" s="10" t="s">
        <v>717</v>
      </c>
      <c r="O94" s="10" t="s">
        <v>653</v>
      </c>
      <c r="P94" s="1"/>
      <c r="Q94" s="11" t="b">
        <f>O94=P94</f>
        <v>0</v>
      </c>
      <c r="R94" s="30">
        <v>30040770</v>
      </c>
      <c r="S94" s="1"/>
      <c r="T94" s="11" t="b">
        <f>R94=S94</f>
        <v>0</v>
      </c>
      <c r="U94" s="10" t="s">
        <v>16</v>
      </c>
      <c r="V94" s="1"/>
      <c r="W94" s="11" t="b">
        <f>U94=V94</f>
        <v>0</v>
      </c>
      <c r="X94" s="13" t="s">
        <v>15</v>
      </c>
      <c r="Y94" s="1"/>
      <c r="Z94" s="1"/>
      <c r="AA94" s="10">
        <v>22003015</v>
      </c>
      <c r="AB94" s="10" t="s">
        <v>1409</v>
      </c>
      <c r="AD94" s="11" t="b">
        <f>AB94=AC94</f>
        <v>0</v>
      </c>
      <c r="AE94" s="10" t="s">
        <v>751</v>
      </c>
      <c r="AF94" s="1"/>
      <c r="AG94" s="11" t="b">
        <f>AE94=AF94</f>
        <v>0</v>
      </c>
      <c r="AH94" s="1">
        <v>18</v>
      </c>
      <c r="AI94" s="1">
        <v>17.73</v>
      </c>
      <c r="AJ94" s="16">
        <f>AI94*220/30*30.4375</f>
        <v>3957.4837500000003</v>
      </c>
      <c r="AK94" s="18">
        <v>3957.48</v>
      </c>
      <c r="AL94" s="71" t="s">
        <v>653</v>
      </c>
      <c r="AM94" s="19" t="b">
        <f>AL94=O94</f>
        <v>1</v>
      </c>
      <c r="AN94" s="7">
        <f>VLOOKUP(A94,'base ZITRHR129'!$G$1:$H$628,2,0)</f>
        <v>30040770</v>
      </c>
      <c r="AO94" s="7" t="b">
        <f>AN94=R94</f>
        <v>1</v>
      </c>
      <c r="AP94" s="7">
        <f>VLOOKUP(A94,'base ZITRHR129'!G66:W692,17,0)</f>
        <v>3957.48</v>
      </c>
      <c r="AQ94" s="7" t="b">
        <f>AP94=AK94</f>
        <v>1</v>
      </c>
      <c r="AR94" s="69"/>
    </row>
    <row r="95" spans="1:44" s="7" customFormat="1" ht="12" x14ac:dyDescent="0.2">
      <c r="A95" s="7">
        <v>10026243</v>
      </c>
      <c r="B95" s="8" t="s">
        <v>119</v>
      </c>
      <c r="C95" s="8" t="s">
        <v>703</v>
      </c>
      <c r="D95" s="8" t="s">
        <v>717</v>
      </c>
      <c r="E95" s="8" t="s">
        <v>718</v>
      </c>
      <c r="F95" s="8" t="s">
        <v>1406</v>
      </c>
      <c r="G95" s="8" t="s">
        <v>750</v>
      </c>
      <c r="H95" s="9">
        <v>19</v>
      </c>
      <c r="I95" s="8" t="s">
        <v>668</v>
      </c>
      <c r="J95" s="8" t="s">
        <v>868</v>
      </c>
      <c r="K95" s="8" t="s">
        <v>16</v>
      </c>
      <c r="L95" s="8" t="s">
        <v>17</v>
      </c>
      <c r="M95" s="10" t="s">
        <v>703</v>
      </c>
      <c r="N95" s="10" t="s">
        <v>717</v>
      </c>
      <c r="O95" s="10" t="s">
        <v>668</v>
      </c>
      <c r="P95" s="1"/>
      <c r="Q95" s="11" t="b">
        <f>O95=P95</f>
        <v>0</v>
      </c>
      <c r="R95" s="30">
        <v>30040771</v>
      </c>
      <c r="S95" s="1"/>
      <c r="T95" s="11" t="b">
        <f>R95=S95</f>
        <v>0</v>
      </c>
      <c r="U95" s="10" t="s">
        <v>16</v>
      </c>
      <c r="V95" s="1"/>
      <c r="W95" s="11" t="b">
        <f>U95=V95</f>
        <v>0</v>
      </c>
      <c r="X95" s="13" t="s">
        <v>15</v>
      </c>
      <c r="Y95" s="1"/>
      <c r="Z95" s="1"/>
      <c r="AA95" s="10">
        <v>22003022</v>
      </c>
      <c r="AB95" s="10" t="s">
        <v>1409</v>
      </c>
      <c r="AD95" s="11" t="b">
        <f>AB95=AC95</f>
        <v>0</v>
      </c>
      <c r="AE95" s="10" t="s">
        <v>750</v>
      </c>
      <c r="AF95" s="1"/>
      <c r="AG95" s="11" t="b">
        <f>AE95=AF95</f>
        <v>0</v>
      </c>
      <c r="AH95" s="1">
        <v>19</v>
      </c>
      <c r="AI95" s="1">
        <v>18.62</v>
      </c>
      <c r="AJ95" s="16">
        <f>AI95*220/30*30.4375</f>
        <v>4156.1391666666668</v>
      </c>
      <c r="AK95" s="18">
        <v>4156.1400000000003</v>
      </c>
      <c r="AL95" s="71" t="s">
        <v>668</v>
      </c>
      <c r="AM95" s="19" t="b">
        <f>AL95=O95</f>
        <v>1</v>
      </c>
      <c r="AN95" s="7">
        <f>VLOOKUP(A95,'base ZITRHR129'!$G$1:$H$628,2,0)</f>
        <v>30040771</v>
      </c>
      <c r="AO95" s="7" t="b">
        <f>AN95=R95</f>
        <v>1</v>
      </c>
      <c r="AP95" s="7">
        <f>VLOOKUP(A95,'base ZITRHR129'!G65:W691,17,0)</f>
        <v>4156.1400000000003</v>
      </c>
      <c r="AQ95" s="7" t="b">
        <f>AP95=AK95</f>
        <v>1</v>
      </c>
      <c r="AR95" s="69"/>
    </row>
    <row r="96" spans="1:44" s="7" customFormat="1" ht="12" x14ac:dyDescent="0.2">
      <c r="A96" s="7">
        <v>10026250</v>
      </c>
      <c r="B96" s="8" t="s">
        <v>120</v>
      </c>
      <c r="C96" s="8" t="s">
        <v>679</v>
      </c>
      <c r="D96" s="8" t="s">
        <v>717</v>
      </c>
      <c r="E96" s="8" t="s">
        <v>720</v>
      </c>
      <c r="F96" s="8" t="s">
        <v>1406</v>
      </c>
      <c r="G96" s="8" t="s">
        <v>751</v>
      </c>
      <c r="H96" s="9">
        <v>18</v>
      </c>
      <c r="I96" s="8" t="s">
        <v>653</v>
      </c>
      <c r="J96" s="8" t="s">
        <v>869</v>
      </c>
      <c r="K96" s="8" t="s">
        <v>16</v>
      </c>
      <c r="L96" s="8" t="s">
        <v>17</v>
      </c>
      <c r="M96" s="10" t="s">
        <v>679</v>
      </c>
      <c r="N96" s="10" t="s">
        <v>717</v>
      </c>
      <c r="O96" s="10" t="s">
        <v>653</v>
      </c>
      <c r="P96" s="1"/>
      <c r="Q96" s="11" t="b">
        <f>O96=P96</f>
        <v>0</v>
      </c>
      <c r="R96" s="30">
        <v>30040772</v>
      </c>
      <c r="S96" s="1"/>
      <c r="T96" s="11" t="b">
        <f>R96=S96</f>
        <v>0</v>
      </c>
      <c r="U96" s="10" t="s">
        <v>16</v>
      </c>
      <c r="V96" s="1"/>
      <c r="W96" s="11" t="b">
        <f>U96=V96</f>
        <v>0</v>
      </c>
      <c r="X96" s="13" t="s">
        <v>15</v>
      </c>
      <c r="Y96" s="1"/>
      <c r="Z96" s="1"/>
      <c r="AA96" s="10">
        <v>22003015</v>
      </c>
      <c r="AB96" s="10" t="s">
        <v>1409</v>
      </c>
      <c r="AD96" s="11" t="b">
        <f>AB96=AC96</f>
        <v>0</v>
      </c>
      <c r="AE96" s="10" t="s">
        <v>751</v>
      </c>
      <c r="AF96" s="1"/>
      <c r="AG96" s="11" t="b">
        <f>AE96=AF96</f>
        <v>0</v>
      </c>
      <c r="AH96" s="1">
        <v>18</v>
      </c>
      <c r="AI96" s="1">
        <v>17.73</v>
      </c>
      <c r="AJ96" s="16">
        <f>AI96*220/30*30.4375</f>
        <v>3957.4837500000003</v>
      </c>
      <c r="AK96" s="18">
        <v>3957.48</v>
      </c>
      <c r="AL96" s="71" t="s">
        <v>653</v>
      </c>
      <c r="AM96" s="19" t="b">
        <f>AL96=O96</f>
        <v>1</v>
      </c>
      <c r="AN96" s="7">
        <f>VLOOKUP(A96,'base ZITRHR129'!$G$1:$H$628,2,0)</f>
        <v>30040772</v>
      </c>
      <c r="AO96" s="7" t="b">
        <f>AN96=R96</f>
        <v>1</v>
      </c>
      <c r="AP96" s="7">
        <f>VLOOKUP(A96,'base ZITRHR129'!G64:W690,17,0)</f>
        <v>3957.48</v>
      </c>
      <c r="AQ96" s="7" t="b">
        <f>AP96=AK96</f>
        <v>1</v>
      </c>
      <c r="AR96" s="69"/>
    </row>
    <row r="97" spans="1:44" s="7" customFormat="1" ht="12" x14ac:dyDescent="0.2">
      <c r="A97" s="7">
        <v>10026253</v>
      </c>
      <c r="B97" s="8" t="s">
        <v>121</v>
      </c>
      <c r="C97" s="8" t="s">
        <v>679</v>
      </c>
      <c r="D97" s="8" t="s">
        <v>717</v>
      </c>
      <c r="E97" s="8" t="s">
        <v>720</v>
      </c>
      <c r="F97" s="8" t="s">
        <v>1406</v>
      </c>
      <c r="G97" s="8" t="s">
        <v>751</v>
      </c>
      <c r="H97" s="9">
        <v>18</v>
      </c>
      <c r="I97" s="8" t="s">
        <v>653</v>
      </c>
      <c r="J97" s="8" t="s">
        <v>870</v>
      </c>
      <c r="K97" s="8" t="s">
        <v>16</v>
      </c>
      <c r="L97" s="8" t="s">
        <v>17</v>
      </c>
      <c r="M97" s="10" t="s">
        <v>679</v>
      </c>
      <c r="N97" s="10" t="s">
        <v>717</v>
      </c>
      <c r="O97" s="10" t="s">
        <v>653</v>
      </c>
      <c r="P97" s="1"/>
      <c r="Q97" s="11" t="b">
        <f>O97=P97</f>
        <v>0</v>
      </c>
      <c r="R97" s="30">
        <v>30040773</v>
      </c>
      <c r="S97" s="1"/>
      <c r="T97" s="11" t="b">
        <f>R97=S97</f>
        <v>0</v>
      </c>
      <c r="U97" s="10" t="s">
        <v>16</v>
      </c>
      <c r="V97" s="1"/>
      <c r="W97" s="11" t="b">
        <f>U97=V97</f>
        <v>0</v>
      </c>
      <c r="X97" s="13" t="s">
        <v>15</v>
      </c>
      <c r="Y97" s="1"/>
      <c r="Z97" s="1"/>
      <c r="AA97" s="59">
        <v>22003015</v>
      </c>
      <c r="AB97" s="10" t="s">
        <v>1409</v>
      </c>
      <c r="AD97" s="11" t="b">
        <f>AB97=AC97</f>
        <v>0</v>
      </c>
      <c r="AE97" s="10" t="s">
        <v>751</v>
      </c>
      <c r="AF97" s="1"/>
      <c r="AG97" s="11" t="b">
        <f>AE97=AF97</f>
        <v>0</v>
      </c>
      <c r="AH97" s="1">
        <v>18</v>
      </c>
      <c r="AI97" s="1">
        <v>17.73</v>
      </c>
      <c r="AJ97" s="16">
        <f>AI97*220/30*30.4375</f>
        <v>3957.4837500000003</v>
      </c>
      <c r="AK97" s="18">
        <v>3957.48</v>
      </c>
      <c r="AL97" s="71" t="s">
        <v>653</v>
      </c>
      <c r="AM97" s="19" t="b">
        <f>AL97=O97</f>
        <v>1</v>
      </c>
      <c r="AN97" s="7">
        <f>VLOOKUP(A97,'base ZITRHR129'!$G$1:$H$628,2,0)</f>
        <v>30040773</v>
      </c>
      <c r="AO97" s="7" t="b">
        <f>AN97=R97</f>
        <v>1</v>
      </c>
      <c r="AP97" s="7">
        <f>VLOOKUP(A97,'base ZITRHR129'!G63:W689,17,0)</f>
        <v>3957.48</v>
      </c>
      <c r="AQ97" s="7" t="b">
        <f>AP97=AK97</f>
        <v>1</v>
      </c>
      <c r="AR97" s="69"/>
    </row>
    <row r="98" spans="1:44" s="7" customFormat="1" ht="12" x14ac:dyDescent="0.2">
      <c r="A98" s="7">
        <v>10026258</v>
      </c>
      <c r="B98" s="8" t="s">
        <v>122</v>
      </c>
      <c r="C98" s="8" t="s">
        <v>679</v>
      </c>
      <c r="D98" s="8" t="s">
        <v>717</v>
      </c>
      <c r="E98" s="8" t="s">
        <v>720</v>
      </c>
      <c r="F98" s="8" t="s">
        <v>1406</v>
      </c>
      <c r="G98" s="8" t="s">
        <v>751</v>
      </c>
      <c r="H98" s="9">
        <v>18</v>
      </c>
      <c r="I98" s="8" t="s">
        <v>658</v>
      </c>
      <c r="J98" s="8" t="s">
        <v>871</v>
      </c>
      <c r="K98" s="8" t="s">
        <v>6</v>
      </c>
      <c r="L98" s="8" t="s">
        <v>17</v>
      </c>
      <c r="M98" s="10" t="s">
        <v>679</v>
      </c>
      <c r="N98" s="10" t="s">
        <v>717</v>
      </c>
      <c r="O98" s="10" t="s">
        <v>658</v>
      </c>
      <c r="P98" s="1"/>
      <c r="Q98" s="11" t="b">
        <f>O98=P98</f>
        <v>0</v>
      </c>
      <c r="R98" s="30">
        <v>30040774</v>
      </c>
      <c r="S98" s="1"/>
      <c r="T98" s="11" t="b">
        <f>R98=S98</f>
        <v>0</v>
      </c>
      <c r="U98" s="10" t="s">
        <v>6</v>
      </c>
      <c r="V98" s="1"/>
      <c r="W98" s="11" t="b">
        <f>U98=V98</f>
        <v>0</v>
      </c>
      <c r="X98" s="13" t="s">
        <v>15</v>
      </c>
      <c r="Y98" s="1"/>
      <c r="Z98" s="1"/>
      <c r="AA98" s="59">
        <v>22003015</v>
      </c>
      <c r="AB98" s="10" t="s">
        <v>1409</v>
      </c>
      <c r="AD98" s="11" t="b">
        <f>AB98=AC98</f>
        <v>0</v>
      </c>
      <c r="AE98" s="10" t="s">
        <v>751</v>
      </c>
      <c r="AF98" s="1"/>
      <c r="AG98" s="11" t="b">
        <f>AE98=AF98</f>
        <v>0</v>
      </c>
      <c r="AH98" s="1">
        <v>18</v>
      </c>
      <c r="AI98" s="1">
        <v>17.73</v>
      </c>
      <c r="AJ98" s="16">
        <f>AI98*220/30*30.4375</f>
        <v>3957.4837500000003</v>
      </c>
      <c r="AK98" s="18">
        <v>3957.48</v>
      </c>
      <c r="AL98" s="72" t="s">
        <v>653</v>
      </c>
      <c r="AM98" s="48" t="b">
        <f>AL98=O98</f>
        <v>0</v>
      </c>
      <c r="AN98" s="7">
        <f>VLOOKUP(A98,'base ZITRHR129'!$G$1:$H$628,2,0)</f>
        <v>30040774</v>
      </c>
      <c r="AO98" s="7" t="b">
        <f>AN98=R98</f>
        <v>1</v>
      </c>
      <c r="AP98" s="7">
        <f>VLOOKUP(A98,'base ZITRHR129'!G62:W688,17,0)</f>
        <v>3957.48</v>
      </c>
      <c r="AQ98" s="7" t="b">
        <f>AP98=AK98</f>
        <v>1</v>
      </c>
      <c r="AR98" s="69" t="s">
        <v>1517</v>
      </c>
    </row>
    <row r="99" spans="1:44" s="7" customFormat="1" ht="12" x14ac:dyDescent="0.2">
      <c r="A99" s="7">
        <v>10026295</v>
      </c>
      <c r="B99" s="8" t="s">
        <v>123</v>
      </c>
      <c r="C99" s="8" t="s">
        <v>704</v>
      </c>
      <c r="D99" s="8" t="s">
        <v>717</v>
      </c>
      <c r="E99" s="8" t="s">
        <v>733</v>
      </c>
      <c r="F99" s="8" t="s">
        <v>1406</v>
      </c>
      <c r="G99" s="8" t="s">
        <v>762</v>
      </c>
      <c r="H99" s="9">
        <v>17</v>
      </c>
      <c r="I99" s="8" t="s">
        <v>669</v>
      </c>
      <c r="J99" s="8" t="s">
        <v>872</v>
      </c>
      <c r="K99" s="8" t="s">
        <v>16</v>
      </c>
      <c r="L99" s="8" t="s">
        <v>17</v>
      </c>
      <c r="M99" s="10" t="s">
        <v>704</v>
      </c>
      <c r="N99" s="10" t="s">
        <v>717</v>
      </c>
      <c r="O99" s="10" t="s">
        <v>669</v>
      </c>
      <c r="P99" s="1"/>
      <c r="Q99" s="11" t="b">
        <f>O99=P99</f>
        <v>0</v>
      </c>
      <c r="R99" s="30">
        <v>30040775</v>
      </c>
      <c r="S99" s="1"/>
      <c r="T99" s="11" t="b">
        <f>R99=S99</f>
        <v>0</v>
      </c>
      <c r="U99" s="10" t="s">
        <v>16</v>
      </c>
      <c r="V99" s="1"/>
      <c r="W99" s="11" t="b">
        <f>U99=V99</f>
        <v>0</v>
      </c>
      <c r="X99" s="13" t="s">
        <v>15</v>
      </c>
      <c r="Y99" s="1"/>
      <c r="Z99" s="1"/>
      <c r="AA99" s="10">
        <v>22001158</v>
      </c>
      <c r="AB99" s="10" t="s">
        <v>1409</v>
      </c>
      <c r="AD99" s="11" t="b">
        <f>AB99=AC99</f>
        <v>0</v>
      </c>
      <c r="AE99" s="10" t="s">
        <v>762</v>
      </c>
      <c r="AF99" s="1"/>
      <c r="AG99" s="11" t="b">
        <f>AE99=AF99</f>
        <v>0</v>
      </c>
      <c r="AH99" s="1">
        <v>17</v>
      </c>
      <c r="AI99" s="1">
        <v>11.43</v>
      </c>
      <c r="AJ99" s="16">
        <f>AI99*220/30*30.4375</f>
        <v>2551.2712499999998</v>
      </c>
      <c r="AK99" s="18">
        <v>2551.27</v>
      </c>
      <c r="AL99" s="71" t="s">
        <v>669</v>
      </c>
      <c r="AM99" s="19" t="b">
        <f>AL99=O99</f>
        <v>1</v>
      </c>
      <c r="AN99" s="7">
        <f>VLOOKUP(A99,'base ZITRHR129'!$G$1:$H$628,2,0)</f>
        <v>30040775</v>
      </c>
      <c r="AO99" s="7" t="b">
        <f>AN99=R99</f>
        <v>1</v>
      </c>
      <c r="AP99" s="7">
        <f>VLOOKUP(A99,'base ZITRHR129'!G61:W687,17,0)</f>
        <v>2551.27</v>
      </c>
      <c r="AQ99" s="7" t="b">
        <f>AP99=AK99</f>
        <v>1</v>
      </c>
      <c r="AR99" s="69"/>
    </row>
    <row r="100" spans="1:44" s="7" customFormat="1" ht="12" x14ac:dyDescent="0.2">
      <c r="A100" s="7">
        <v>10026336</v>
      </c>
      <c r="B100" s="8" t="s">
        <v>124</v>
      </c>
      <c r="C100" s="8" t="s">
        <v>681</v>
      </c>
      <c r="D100" s="8" t="s">
        <v>717</v>
      </c>
      <c r="E100" s="8" t="s">
        <v>720</v>
      </c>
      <c r="F100" s="8" t="s">
        <v>1406</v>
      </c>
      <c r="G100" s="8" t="s">
        <v>751</v>
      </c>
      <c r="H100" s="9">
        <v>18</v>
      </c>
      <c r="I100" s="8" t="s">
        <v>653</v>
      </c>
      <c r="J100" s="8" t="s">
        <v>873</v>
      </c>
      <c r="K100" s="8" t="s">
        <v>16</v>
      </c>
      <c r="L100" s="8" t="s">
        <v>17</v>
      </c>
      <c r="M100" s="10" t="s">
        <v>681</v>
      </c>
      <c r="N100" s="10" t="s">
        <v>717</v>
      </c>
      <c r="O100" s="10" t="s">
        <v>653</v>
      </c>
      <c r="P100" s="1"/>
      <c r="Q100" s="11" t="b">
        <f>O100=P100</f>
        <v>0</v>
      </c>
      <c r="R100" s="30">
        <v>30040776</v>
      </c>
      <c r="S100" s="1"/>
      <c r="T100" s="11" t="b">
        <f>R100=S100</f>
        <v>0</v>
      </c>
      <c r="U100" s="10" t="s">
        <v>16</v>
      </c>
      <c r="V100" s="1"/>
      <c r="W100" s="11" t="b">
        <f>U100=V100</f>
        <v>0</v>
      </c>
      <c r="X100" s="13" t="s">
        <v>15</v>
      </c>
      <c r="Y100" s="1"/>
      <c r="Z100" s="1"/>
      <c r="AA100" s="10">
        <v>22003015</v>
      </c>
      <c r="AB100" s="10" t="s">
        <v>1409</v>
      </c>
      <c r="AD100" s="11" t="b">
        <f>AB100=AC100</f>
        <v>0</v>
      </c>
      <c r="AE100" s="10" t="s">
        <v>751</v>
      </c>
      <c r="AF100" s="1"/>
      <c r="AG100" s="11" t="b">
        <f>AE100=AF100</f>
        <v>0</v>
      </c>
      <c r="AH100" s="1">
        <v>18</v>
      </c>
      <c r="AI100" s="1">
        <v>17.73</v>
      </c>
      <c r="AJ100" s="16">
        <f>AI100*220/30*30.4375</f>
        <v>3957.4837500000003</v>
      </c>
      <c r="AK100" s="18">
        <v>3957.48</v>
      </c>
      <c r="AL100" s="71" t="s">
        <v>653</v>
      </c>
      <c r="AM100" s="19" t="b">
        <f>AL100=O100</f>
        <v>1</v>
      </c>
      <c r="AN100" s="7">
        <f>VLOOKUP(A100,'base ZITRHR129'!$G$1:$H$628,2,0)</f>
        <v>30040776</v>
      </c>
      <c r="AO100" s="7" t="b">
        <f>AN100=R100</f>
        <v>1</v>
      </c>
      <c r="AP100" s="7">
        <f>VLOOKUP(A100,'base ZITRHR129'!G60:W686,17,0)</f>
        <v>3957.48</v>
      </c>
      <c r="AQ100" s="7" t="b">
        <f>AP100=AK100</f>
        <v>1</v>
      </c>
      <c r="AR100" s="69"/>
    </row>
    <row r="101" spans="1:44" s="7" customFormat="1" ht="12" x14ac:dyDescent="0.2">
      <c r="A101" s="7">
        <v>10026341</v>
      </c>
      <c r="B101" s="8" t="s">
        <v>125</v>
      </c>
      <c r="C101" s="8" t="s">
        <v>705</v>
      </c>
      <c r="D101" s="8" t="s">
        <v>717</v>
      </c>
      <c r="E101" s="8" t="s">
        <v>734</v>
      </c>
      <c r="F101" s="8" t="s">
        <v>1406</v>
      </c>
      <c r="G101" s="8" t="s">
        <v>761</v>
      </c>
      <c r="H101" s="9">
        <v>15</v>
      </c>
      <c r="I101" s="8" t="s">
        <v>670</v>
      </c>
      <c r="J101" s="8" t="s">
        <v>874</v>
      </c>
      <c r="K101" s="8" t="s">
        <v>16</v>
      </c>
      <c r="L101" s="8" t="s">
        <v>17</v>
      </c>
      <c r="M101" s="10" t="s">
        <v>705</v>
      </c>
      <c r="N101" s="10" t="s">
        <v>717</v>
      </c>
      <c r="O101" s="10" t="s">
        <v>670</v>
      </c>
      <c r="P101" s="1"/>
      <c r="Q101" s="11" t="b">
        <f>O101=P101</f>
        <v>0</v>
      </c>
      <c r="R101" s="12">
        <v>30041344</v>
      </c>
      <c r="S101" s="1"/>
      <c r="T101" s="11" t="b">
        <f>R101=S101</f>
        <v>0</v>
      </c>
      <c r="U101" s="10" t="s">
        <v>16</v>
      </c>
      <c r="V101" s="1"/>
      <c r="W101" s="11" t="b">
        <f>U101=V101</f>
        <v>0</v>
      </c>
      <c r="X101" s="13" t="s">
        <v>15</v>
      </c>
      <c r="Y101" s="1"/>
      <c r="Z101" s="1"/>
      <c r="AA101" s="15">
        <v>22002860</v>
      </c>
      <c r="AB101" s="10" t="s">
        <v>1409</v>
      </c>
      <c r="AD101" s="11" t="b">
        <f>AB101=AC101</f>
        <v>0</v>
      </c>
      <c r="AE101" s="10" t="s">
        <v>761</v>
      </c>
      <c r="AF101" s="1"/>
      <c r="AG101" s="11" t="b">
        <f>AE101=AF101</f>
        <v>0</v>
      </c>
      <c r="AH101" s="1">
        <v>15</v>
      </c>
      <c r="AI101" s="1">
        <v>11.43</v>
      </c>
      <c r="AJ101" s="16">
        <f>AI101*220/30*30.4375</f>
        <v>2551.2712499999998</v>
      </c>
      <c r="AK101" s="18">
        <v>2551.27</v>
      </c>
      <c r="AL101" s="71" t="s">
        <v>670</v>
      </c>
      <c r="AM101" s="19" t="b">
        <f>AL101=O101</f>
        <v>1</v>
      </c>
      <c r="AN101" s="7">
        <f>VLOOKUP(A101,'base ZITRHR129'!$G$1:$H$628,2,0)</f>
        <v>30041344</v>
      </c>
      <c r="AO101" s="7" t="b">
        <f>AN101=R101</f>
        <v>1</v>
      </c>
      <c r="AP101" s="7">
        <f>VLOOKUP(A101,'base ZITRHR129'!G59:W685,17,0)</f>
        <v>2551.27</v>
      </c>
      <c r="AQ101" s="7" t="b">
        <f>AP101=AK101</f>
        <v>1</v>
      </c>
      <c r="AR101" s="69"/>
    </row>
    <row r="102" spans="1:44" s="7" customFormat="1" ht="12" x14ac:dyDescent="0.2">
      <c r="A102" s="7">
        <v>10026342</v>
      </c>
      <c r="B102" s="8" t="s">
        <v>126</v>
      </c>
      <c r="C102" s="8" t="s">
        <v>704</v>
      </c>
      <c r="D102" s="8" t="s">
        <v>717</v>
      </c>
      <c r="E102" s="8" t="s">
        <v>733</v>
      </c>
      <c r="F102" s="8" t="s">
        <v>1406</v>
      </c>
      <c r="G102" s="8" t="s">
        <v>762</v>
      </c>
      <c r="H102" s="9">
        <v>17</v>
      </c>
      <c r="I102" s="8" t="s">
        <v>669</v>
      </c>
      <c r="J102" s="8" t="s">
        <v>875</v>
      </c>
      <c r="K102" s="8" t="s">
        <v>16</v>
      </c>
      <c r="L102" s="8" t="s">
        <v>17</v>
      </c>
      <c r="M102" s="10" t="s">
        <v>704</v>
      </c>
      <c r="N102" s="10" t="s">
        <v>717</v>
      </c>
      <c r="O102" s="10" t="s">
        <v>669</v>
      </c>
      <c r="P102" s="1"/>
      <c r="Q102" s="11" t="b">
        <f>O102=P102</f>
        <v>0</v>
      </c>
      <c r="R102" s="30">
        <v>30040778</v>
      </c>
      <c r="S102" s="1"/>
      <c r="T102" s="11" t="b">
        <f>R102=S102</f>
        <v>0</v>
      </c>
      <c r="U102" s="10" t="s">
        <v>16</v>
      </c>
      <c r="V102" s="1"/>
      <c r="W102" s="11" t="b">
        <f>U102=V102</f>
        <v>0</v>
      </c>
      <c r="X102" s="13" t="s">
        <v>15</v>
      </c>
      <c r="Y102" s="1"/>
      <c r="Z102" s="1"/>
      <c r="AA102" s="59">
        <v>22001158</v>
      </c>
      <c r="AB102" s="10" t="s">
        <v>1409</v>
      </c>
      <c r="AD102" s="11" t="b">
        <f>AB102=AC102</f>
        <v>0</v>
      </c>
      <c r="AE102" s="10" t="s">
        <v>762</v>
      </c>
      <c r="AF102" s="1"/>
      <c r="AG102" s="11" t="b">
        <f>AE102=AF102</f>
        <v>0</v>
      </c>
      <c r="AH102" s="1">
        <v>17</v>
      </c>
      <c r="AI102" s="1">
        <v>11.43</v>
      </c>
      <c r="AJ102" s="16">
        <f>AI102*220/30*30.4375</f>
        <v>2551.2712499999998</v>
      </c>
      <c r="AK102" s="18">
        <v>2551.27</v>
      </c>
      <c r="AL102" s="71" t="s">
        <v>669</v>
      </c>
      <c r="AM102" s="19" t="b">
        <f>AL102=O102</f>
        <v>1</v>
      </c>
      <c r="AN102" s="7">
        <f>VLOOKUP(A102,'base ZITRHR129'!$G$1:$H$628,2,0)</f>
        <v>30040778</v>
      </c>
      <c r="AO102" s="7" t="b">
        <f>AN102=R102</f>
        <v>1</v>
      </c>
      <c r="AP102" s="7">
        <f>VLOOKUP(A102,'base ZITRHR129'!G58:W684,17,0)</f>
        <v>2551.27</v>
      </c>
      <c r="AQ102" s="7" t="b">
        <f>AP102=AK102</f>
        <v>1</v>
      </c>
      <c r="AR102" s="69"/>
    </row>
    <row r="103" spans="1:44" s="7" customFormat="1" ht="12" x14ac:dyDescent="0.2">
      <c r="A103" s="7">
        <v>10026366</v>
      </c>
      <c r="B103" s="8" t="s">
        <v>127</v>
      </c>
      <c r="C103" s="8" t="s">
        <v>687</v>
      </c>
      <c r="D103" s="8" t="s">
        <v>717</v>
      </c>
      <c r="E103" s="8" t="s">
        <v>724</v>
      </c>
      <c r="F103" s="8" t="s">
        <v>1406</v>
      </c>
      <c r="G103" s="8" t="s">
        <v>21</v>
      </c>
      <c r="H103" s="9">
        <v>16</v>
      </c>
      <c r="I103" s="8" t="s">
        <v>660</v>
      </c>
      <c r="J103" s="8" t="s">
        <v>876</v>
      </c>
      <c r="K103" s="8" t="s">
        <v>16</v>
      </c>
      <c r="L103" s="8" t="s">
        <v>17</v>
      </c>
      <c r="M103" s="10" t="s">
        <v>687</v>
      </c>
      <c r="N103" s="10" t="s">
        <v>717</v>
      </c>
      <c r="O103" s="10" t="s">
        <v>660</v>
      </c>
      <c r="P103" s="1"/>
      <c r="Q103" s="11" t="b">
        <f>O103=P103</f>
        <v>0</v>
      </c>
      <c r="R103" s="30">
        <v>30040779</v>
      </c>
      <c r="S103" s="1"/>
      <c r="T103" s="11" t="b">
        <f>R103=S103</f>
        <v>0</v>
      </c>
      <c r="U103" s="10" t="s">
        <v>16</v>
      </c>
      <c r="V103" s="1"/>
      <c r="W103" s="11" t="b">
        <f>U103=V103</f>
        <v>0</v>
      </c>
      <c r="X103" s="13" t="s">
        <v>15</v>
      </c>
      <c r="Y103" s="1"/>
      <c r="Z103" s="1"/>
      <c r="AA103" s="10">
        <v>22002616</v>
      </c>
      <c r="AB103" s="10" t="s">
        <v>1409</v>
      </c>
      <c r="AD103" s="11" t="b">
        <f>AB103=AC103</f>
        <v>0</v>
      </c>
      <c r="AE103" s="10" t="s">
        <v>21</v>
      </c>
      <c r="AF103" s="1"/>
      <c r="AG103" s="11" t="b">
        <f>AE103=AF103</f>
        <v>0</v>
      </c>
      <c r="AH103" s="1">
        <v>16</v>
      </c>
      <c r="AI103" s="1">
        <v>11.71</v>
      </c>
      <c r="AJ103" s="16">
        <f>AI103*220/30*30.4375</f>
        <v>2613.7695833333337</v>
      </c>
      <c r="AK103" s="18">
        <v>2613.77</v>
      </c>
      <c r="AL103" s="71" t="s">
        <v>660</v>
      </c>
      <c r="AM103" s="19" t="b">
        <f>AL103=O103</f>
        <v>1</v>
      </c>
      <c r="AN103" s="7">
        <f>VLOOKUP(A103,'base ZITRHR129'!$G$1:$H$628,2,0)</f>
        <v>30040779</v>
      </c>
      <c r="AO103" s="7" t="b">
        <f>AN103=R103</f>
        <v>1</v>
      </c>
      <c r="AP103" s="7">
        <f>VLOOKUP(A103,'base ZITRHR129'!G57:W683,17,0)</f>
        <v>2613.77</v>
      </c>
      <c r="AQ103" s="7" t="b">
        <f>AP103=AK103</f>
        <v>1</v>
      </c>
      <c r="AR103" s="69"/>
    </row>
    <row r="104" spans="1:44" s="20" customFormat="1" ht="11.25" customHeight="1" x14ac:dyDescent="0.2">
      <c r="A104" s="7">
        <v>10026392</v>
      </c>
      <c r="B104" s="8" t="s">
        <v>128</v>
      </c>
      <c r="C104" s="8" t="s">
        <v>687</v>
      </c>
      <c r="D104" s="8" t="s">
        <v>717</v>
      </c>
      <c r="E104" s="8" t="s">
        <v>724</v>
      </c>
      <c r="F104" s="8" t="s">
        <v>1406</v>
      </c>
      <c r="G104" s="8" t="s">
        <v>21</v>
      </c>
      <c r="H104" s="9">
        <v>16</v>
      </c>
      <c r="I104" s="8" t="s">
        <v>660</v>
      </c>
      <c r="J104" s="8" t="s">
        <v>877</v>
      </c>
      <c r="K104" s="8" t="s">
        <v>16</v>
      </c>
      <c r="L104" s="8" t="s">
        <v>17</v>
      </c>
      <c r="M104" s="10" t="s">
        <v>687</v>
      </c>
      <c r="N104" s="10" t="s">
        <v>717</v>
      </c>
      <c r="O104" s="10" t="s">
        <v>660</v>
      </c>
      <c r="P104" s="1"/>
      <c r="Q104" s="11" t="b">
        <f>O104=P104</f>
        <v>0</v>
      </c>
      <c r="R104" s="30">
        <v>30040780</v>
      </c>
      <c r="S104" s="1"/>
      <c r="T104" s="11" t="b">
        <f>R104=S104</f>
        <v>0</v>
      </c>
      <c r="U104" s="10" t="s">
        <v>16</v>
      </c>
      <c r="V104" s="1"/>
      <c r="W104" s="11" t="b">
        <f>U104=V104</f>
        <v>0</v>
      </c>
      <c r="X104" s="13" t="s">
        <v>15</v>
      </c>
      <c r="Y104" s="1"/>
      <c r="Z104" s="1"/>
      <c r="AA104" s="10">
        <v>22002616</v>
      </c>
      <c r="AB104" s="10" t="s">
        <v>1409</v>
      </c>
      <c r="AC104" s="7"/>
      <c r="AD104" s="11" t="b">
        <f>AB104=AC104</f>
        <v>0</v>
      </c>
      <c r="AE104" s="10" t="s">
        <v>21</v>
      </c>
      <c r="AF104" s="1"/>
      <c r="AG104" s="11" t="b">
        <f>AE104=AF104</f>
        <v>0</v>
      </c>
      <c r="AH104" s="1">
        <v>16</v>
      </c>
      <c r="AI104" s="1">
        <v>11.71</v>
      </c>
      <c r="AJ104" s="16">
        <f>AI104*220/30*30.4375</f>
        <v>2613.7695833333337</v>
      </c>
      <c r="AK104" s="18">
        <v>2613.77</v>
      </c>
      <c r="AL104" s="71" t="s">
        <v>660</v>
      </c>
      <c r="AM104" s="19" t="b">
        <f>AL104=O104</f>
        <v>1</v>
      </c>
      <c r="AN104" s="7">
        <f>VLOOKUP(A104,'base ZITRHR129'!$G$1:$H$628,2,0)</f>
        <v>30040780</v>
      </c>
      <c r="AO104" s="7" t="b">
        <f>AN104=R104</f>
        <v>1</v>
      </c>
      <c r="AP104" s="7">
        <f>VLOOKUP(A104,'base ZITRHR129'!G56:W682,17,0)</f>
        <v>2613.77</v>
      </c>
      <c r="AQ104" s="7" t="b">
        <f>AP104=AK104</f>
        <v>1</v>
      </c>
      <c r="AR104" s="69"/>
    </row>
    <row r="105" spans="1:44" s="7" customFormat="1" ht="12" x14ac:dyDescent="0.2">
      <c r="A105" s="7">
        <v>10026413</v>
      </c>
      <c r="B105" s="8" t="s">
        <v>129</v>
      </c>
      <c r="C105" s="8" t="s">
        <v>679</v>
      </c>
      <c r="D105" s="8" t="s">
        <v>717</v>
      </c>
      <c r="E105" s="8" t="s">
        <v>720</v>
      </c>
      <c r="F105" s="8" t="s">
        <v>1406</v>
      </c>
      <c r="G105" s="8" t="s">
        <v>751</v>
      </c>
      <c r="H105" s="9">
        <v>18</v>
      </c>
      <c r="I105" s="8" t="s">
        <v>653</v>
      </c>
      <c r="J105" s="8" t="s">
        <v>878</v>
      </c>
      <c r="K105" s="8" t="s">
        <v>16</v>
      </c>
      <c r="L105" s="8" t="s">
        <v>17</v>
      </c>
      <c r="M105" s="10" t="s">
        <v>679</v>
      </c>
      <c r="N105" s="10" t="s">
        <v>717</v>
      </c>
      <c r="O105" s="10" t="s">
        <v>653</v>
      </c>
      <c r="P105" s="1"/>
      <c r="Q105" s="11" t="b">
        <f>O105=P105</f>
        <v>0</v>
      </c>
      <c r="R105" s="30">
        <v>30040781</v>
      </c>
      <c r="S105" s="1"/>
      <c r="T105" s="11" t="b">
        <f>R105=S105</f>
        <v>0</v>
      </c>
      <c r="U105" s="10" t="s">
        <v>16</v>
      </c>
      <c r="V105" s="1"/>
      <c r="W105" s="11" t="b">
        <f>U105=V105</f>
        <v>0</v>
      </c>
      <c r="X105" s="13" t="s">
        <v>15</v>
      </c>
      <c r="Y105" s="1"/>
      <c r="Z105" s="1"/>
      <c r="AA105" s="10">
        <v>22003015</v>
      </c>
      <c r="AB105" s="10" t="s">
        <v>1409</v>
      </c>
      <c r="AD105" s="11" t="b">
        <f>AB105=AC105</f>
        <v>0</v>
      </c>
      <c r="AE105" s="10" t="s">
        <v>751</v>
      </c>
      <c r="AF105" s="1"/>
      <c r="AG105" s="11" t="b">
        <f>AE105=AF105</f>
        <v>0</v>
      </c>
      <c r="AH105" s="1">
        <v>18</v>
      </c>
      <c r="AI105" s="1">
        <v>17.73</v>
      </c>
      <c r="AJ105" s="16">
        <f>AI105*220/30*30.4375</f>
        <v>3957.4837500000003</v>
      </c>
      <c r="AK105" s="18">
        <v>3957.48</v>
      </c>
      <c r="AL105" s="71" t="s">
        <v>653</v>
      </c>
      <c r="AM105" s="19" t="b">
        <f>AL105=O105</f>
        <v>1</v>
      </c>
      <c r="AN105" s="7">
        <f>VLOOKUP(A105,'base ZITRHR129'!$G$1:$H$628,2,0)</f>
        <v>30040781</v>
      </c>
      <c r="AO105" s="7" t="b">
        <f>AN105=R105</f>
        <v>1</v>
      </c>
      <c r="AP105" s="7">
        <f>VLOOKUP(A105,'base ZITRHR129'!G55:W681,17,0)</f>
        <v>3957.48</v>
      </c>
      <c r="AQ105" s="7" t="b">
        <f>AP105=AK105</f>
        <v>1</v>
      </c>
      <c r="AR105" s="69"/>
    </row>
    <row r="106" spans="1:44" s="7" customFormat="1" ht="12" x14ac:dyDescent="0.2">
      <c r="A106" s="7">
        <v>10026422</v>
      </c>
      <c r="B106" s="8" t="s">
        <v>130</v>
      </c>
      <c r="C106" s="8" t="s">
        <v>691</v>
      </c>
      <c r="D106" s="8" t="s">
        <v>717</v>
      </c>
      <c r="E106" s="8" t="s">
        <v>719</v>
      </c>
      <c r="F106" s="8" t="s">
        <v>1406</v>
      </c>
      <c r="G106" s="8" t="s">
        <v>20</v>
      </c>
      <c r="H106" s="9">
        <v>19</v>
      </c>
      <c r="I106" s="8" t="s">
        <v>664</v>
      </c>
      <c r="J106" s="8" t="s">
        <v>879</v>
      </c>
      <c r="K106" s="8" t="s">
        <v>16</v>
      </c>
      <c r="L106" s="8" t="s">
        <v>17</v>
      </c>
      <c r="M106" s="10" t="s">
        <v>691</v>
      </c>
      <c r="N106" s="10" t="s">
        <v>717</v>
      </c>
      <c r="O106" s="10" t="s">
        <v>664</v>
      </c>
      <c r="P106" s="1"/>
      <c r="Q106" s="11" t="b">
        <f>O106=P106</f>
        <v>0</v>
      </c>
      <c r="R106" s="30">
        <v>30040782</v>
      </c>
      <c r="S106" s="1"/>
      <c r="T106" s="11" t="b">
        <f>R106=S106</f>
        <v>0</v>
      </c>
      <c r="U106" s="10" t="s">
        <v>16</v>
      </c>
      <c r="V106" s="1"/>
      <c r="W106" s="11" t="b">
        <f>U106=V106</f>
        <v>0</v>
      </c>
      <c r="X106" s="13" t="s">
        <v>15</v>
      </c>
      <c r="Y106" s="1"/>
      <c r="Z106" s="1"/>
      <c r="AA106" s="10">
        <v>22002723</v>
      </c>
      <c r="AB106" s="10" t="s">
        <v>1409</v>
      </c>
      <c r="AD106" s="11" t="b">
        <f>AB106=AC106</f>
        <v>0</v>
      </c>
      <c r="AE106" s="10" t="s">
        <v>20</v>
      </c>
      <c r="AF106" s="1"/>
      <c r="AG106" s="11" t="b">
        <f>AE106=AF106</f>
        <v>0</v>
      </c>
      <c r="AH106" s="1">
        <v>19</v>
      </c>
      <c r="AI106" s="1">
        <v>17.73</v>
      </c>
      <c r="AJ106" s="16">
        <f>AI106*220/30*30.4375</f>
        <v>3957.4837500000003</v>
      </c>
      <c r="AK106" s="18">
        <v>3957.48</v>
      </c>
      <c r="AL106" s="71" t="s">
        <v>664</v>
      </c>
      <c r="AM106" s="19" t="b">
        <f>AL106=O106</f>
        <v>1</v>
      </c>
      <c r="AN106" s="7">
        <f>VLOOKUP(A106,'base ZITRHR129'!$G$1:$H$628,2,0)</f>
        <v>30040782</v>
      </c>
      <c r="AO106" s="7" t="b">
        <f>AN106=R106</f>
        <v>1</v>
      </c>
      <c r="AP106" s="7">
        <f>VLOOKUP(A106,'base ZITRHR129'!G54:W680,17,0)</f>
        <v>3957.48</v>
      </c>
      <c r="AQ106" s="7" t="b">
        <f>AP106=AK106</f>
        <v>1</v>
      </c>
      <c r="AR106" s="69"/>
    </row>
    <row r="107" spans="1:44" s="7" customFormat="1" ht="12" x14ac:dyDescent="0.2">
      <c r="A107" s="7">
        <v>10026431</v>
      </c>
      <c r="B107" s="8" t="s">
        <v>131</v>
      </c>
      <c r="C107" s="8" t="s">
        <v>689</v>
      </c>
      <c r="D107" s="8" t="s">
        <v>717</v>
      </c>
      <c r="E107" s="8" t="s">
        <v>730</v>
      </c>
      <c r="F107" s="8" t="s">
        <v>1406</v>
      </c>
      <c r="G107" s="8" t="s">
        <v>759</v>
      </c>
      <c r="H107" s="9">
        <v>17</v>
      </c>
      <c r="I107" s="8" t="s">
        <v>662</v>
      </c>
      <c r="J107" s="8" t="s">
        <v>880</v>
      </c>
      <c r="K107" s="8" t="s">
        <v>16</v>
      </c>
      <c r="L107" s="8" t="s">
        <v>17</v>
      </c>
      <c r="M107" s="10" t="s">
        <v>689</v>
      </c>
      <c r="N107" s="10" t="s">
        <v>717</v>
      </c>
      <c r="O107" s="10" t="s">
        <v>662</v>
      </c>
      <c r="P107" s="1"/>
      <c r="Q107" s="11" t="b">
        <f>O107=P107</f>
        <v>0</v>
      </c>
      <c r="R107" s="30">
        <v>30040783</v>
      </c>
      <c r="S107" s="1"/>
      <c r="T107" s="11" t="b">
        <f>R107=S107</f>
        <v>0</v>
      </c>
      <c r="U107" s="10" t="s">
        <v>16</v>
      </c>
      <c r="V107" s="1"/>
      <c r="W107" s="11" t="b">
        <f>U107=V107</f>
        <v>0</v>
      </c>
      <c r="X107" s="13" t="s">
        <v>15</v>
      </c>
      <c r="Y107" s="1"/>
      <c r="Z107" s="1"/>
      <c r="AA107" s="10">
        <v>22002605</v>
      </c>
      <c r="AB107" s="10" t="s">
        <v>1409</v>
      </c>
      <c r="AD107" s="11" t="b">
        <f>AB107=AC107</f>
        <v>0</v>
      </c>
      <c r="AE107" s="10" t="s">
        <v>759</v>
      </c>
      <c r="AF107" s="1"/>
      <c r="AG107" s="11" t="b">
        <f>AE107=AF107</f>
        <v>0</v>
      </c>
      <c r="AH107" s="1">
        <v>17</v>
      </c>
      <c r="AI107" s="1">
        <v>12.56</v>
      </c>
      <c r="AJ107" s="16">
        <f>AI107*220/30*30.4375</f>
        <v>2803.4966666666669</v>
      </c>
      <c r="AK107" s="18">
        <v>2803.5</v>
      </c>
      <c r="AL107" s="71" t="s">
        <v>662</v>
      </c>
      <c r="AM107" s="19" t="b">
        <f>AL107=O107</f>
        <v>1</v>
      </c>
      <c r="AN107" s="7">
        <f>VLOOKUP(A107,'base ZITRHR129'!$G$1:$H$628,2,0)</f>
        <v>30040783</v>
      </c>
      <c r="AO107" s="7" t="b">
        <f>AN107=R107</f>
        <v>1</v>
      </c>
      <c r="AP107" s="7">
        <f>VLOOKUP(A107,'base ZITRHR129'!G53:W679,17,0)</f>
        <v>2803.5</v>
      </c>
      <c r="AQ107" s="7" t="b">
        <f>AP107=AK107</f>
        <v>1</v>
      </c>
      <c r="AR107" s="69"/>
    </row>
    <row r="108" spans="1:44" s="20" customFormat="1" ht="12" x14ac:dyDescent="0.2">
      <c r="A108" s="7">
        <v>10026466</v>
      </c>
      <c r="B108" s="8" t="s">
        <v>132</v>
      </c>
      <c r="C108" s="8" t="s">
        <v>701</v>
      </c>
      <c r="D108" s="8" t="s">
        <v>717</v>
      </c>
      <c r="E108" s="8" t="s">
        <v>720</v>
      </c>
      <c r="F108" s="8" t="s">
        <v>1406</v>
      </c>
      <c r="G108" s="8" t="s">
        <v>751</v>
      </c>
      <c r="H108" s="9">
        <v>18</v>
      </c>
      <c r="I108" s="8" t="s">
        <v>668</v>
      </c>
      <c r="J108" s="8" t="s">
        <v>881</v>
      </c>
      <c r="K108" s="8" t="s">
        <v>16</v>
      </c>
      <c r="L108" s="8" t="s">
        <v>17</v>
      </c>
      <c r="M108" s="10" t="s">
        <v>701</v>
      </c>
      <c r="N108" s="10" t="s">
        <v>717</v>
      </c>
      <c r="O108" s="10" t="s">
        <v>668</v>
      </c>
      <c r="P108" s="1"/>
      <c r="Q108" s="11" t="b">
        <f>O108=P108</f>
        <v>0</v>
      </c>
      <c r="R108" s="30">
        <v>30040784</v>
      </c>
      <c r="S108" s="1"/>
      <c r="T108" s="11" t="b">
        <f>R108=S108</f>
        <v>0</v>
      </c>
      <c r="U108" s="10" t="s">
        <v>16</v>
      </c>
      <c r="V108" s="1"/>
      <c r="W108" s="11" t="b">
        <f>U108=V108</f>
        <v>0</v>
      </c>
      <c r="X108" s="13" t="s">
        <v>15</v>
      </c>
      <c r="Y108" s="1"/>
      <c r="Z108" s="1"/>
      <c r="AA108" s="59">
        <v>22003015</v>
      </c>
      <c r="AB108" s="10" t="s">
        <v>1409</v>
      </c>
      <c r="AC108" s="7"/>
      <c r="AD108" s="11" t="b">
        <f>AB108=AC108</f>
        <v>0</v>
      </c>
      <c r="AE108" s="10" t="s">
        <v>751</v>
      </c>
      <c r="AF108" s="1"/>
      <c r="AG108" s="11" t="b">
        <f>AE108=AF108</f>
        <v>0</v>
      </c>
      <c r="AH108" s="1">
        <v>18</v>
      </c>
      <c r="AI108" s="1">
        <v>17.73</v>
      </c>
      <c r="AJ108" s="16">
        <f>AI108*220/30*30.4375</f>
        <v>3957.4837500000003</v>
      </c>
      <c r="AK108" s="18">
        <v>3957.48</v>
      </c>
      <c r="AL108" s="71" t="s">
        <v>668</v>
      </c>
      <c r="AM108" s="19" t="b">
        <f>AL108=O108</f>
        <v>1</v>
      </c>
      <c r="AN108" s="7">
        <f>VLOOKUP(A108,'base ZITRHR129'!$G$1:$H$628,2,0)</f>
        <v>30040784</v>
      </c>
      <c r="AO108" s="7" t="b">
        <f>AN108=R108</f>
        <v>1</v>
      </c>
      <c r="AP108" s="7">
        <f>VLOOKUP(A108,'base ZITRHR129'!G52:W678,17,0)</f>
        <v>3957.48</v>
      </c>
      <c r="AQ108" s="7" t="b">
        <f>AP108=AK108</f>
        <v>1</v>
      </c>
      <c r="AR108" s="69"/>
    </row>
    <row r="109" spans="1:44" s="49" customFormat="1" ht="12" x14ac:dyDescent="0.2">
      <c r="A109" s="7">
        <v>10026516</v>
      </c>
      <c r="B109" s="8" t="s">
        <v>133</v>
      </c>
      <c r="C109" s="8" t="s">
        <v>679</v>
      </c>
      <c r="D109" s="8" t="s">
        <v>717</v>
      </c>
      <c r="E109" s="8" t="s">
        <v>720</v>
      </c>
      <c r="F109" s="8" t="s">
        <v>1406</v>
      </c>
      <c r="G109" s="8" t="s">
        <v>751</v>
      </c>
      <c r="H109" s="9">
        <v>18</v>
      </c>
      <c r="I109" s="8" t="s">
        <v>653</v>
      </c>
      <c r="J109" s="8" t="s">
        <v>882</v>
      </c>
      <c r="K109" s="8" t="s">
        <v>16</v>
      </c>
      <c r="L109" s="8" t="s">
        <v>17</v>
      </c>
      <c r="M109" s="10" t="s">
        <v>679</v>
      </c>
      <c r="N109" s="10" t="s">
        <v>717</v>
      </c>
      <c r="O109" s="10" t="s">
        <v>653</v>
      </c>
      <c r="P109" s="1"/>
      <c r="Q109" s="11" t="b">
        <f>O109=P109</f>
        <v>0</v>
      </c>
      <c r="R109" s="30">
        <v>30040785</v>
      </c>
      <c r="S109" s="1"/>
      <c r="T109" s="11" t="b">
        <f>R109=S109</f>
        <v>0</v>
      </c>
      <c r="U109" s="10" t="s">
        <v>16</v>
      </c>
      <c r="V109" s="1"/>
      <c r="W109" s="11" t="b">
        <f>U109=V109</f>
        <v>0</v>
      </c>
      <c r="X109" s="13" t="s">
        <v>15</v>
      </c>
      <c r="Y109" s="1"/>
      <c r="Z109" s="1"/>
      <c r="AA109" s="59">
        <v>22003015</v>
      </c>
      <c r="AB109" s="10" t="s">
        <v>1409</v>
      </c>
      <c r="AC109" s="7"/>
      <c r="AD109" s="11" t="b">
        <f>AB109=AC109</f>
        <v>0</v>
      </c>
      <c r="AE109" s="10" t="s">
        <v>751</v>
      </c>
      <c r="AF109" s="1"/>
      <c r="AG109" s="11" t="b">
        <f>AE109=AF109</f>
        <v>0</v>
      </c>
      <c r="AH109" s="1">
        <v>18</v>
      </c>
      <c r="AI109" s="1">
        <v>17.73</v>
      </c>
      <c r="AJ109" s="16">
        <f>AI109*220/30*30.4375</f>
        <v>3957.4837500000003</v>
      </c>
      <c r="AK109" s="18">
        <v>3957.48</v>
      </c>
      <c r="AL109" s="71" t="s">
        <v>653</v>
      </c>
      <c r="AM109" s="19" t="b">
        <f>AL109=O109</f>
        <v>1</v>
      </c>
      <c r="AN109" s="7">
        <f>VLOOKUP(A109,'base ZITRHR129'!$G$1:$H$628,2,0)</f>
        <v>30040785</v>
      </c>
      <c r="AO109" s="7" t="b">
        <f>AN109=R109</f>
        <v>1</v>
      </c>
      <c r="AP109" s="7">
        <f>VLOOKUP(A109,'base ZITRHR129'!G51:W677,17,0)</f>
        <v>3957.48</v>
      </c>
      <c r="AQ109" s="7" t="b">
        <f>AP109=AK109</f>
        <v>1</v>
      </c>
      <c r="AR109" s="69"/>
    </row>
    <row r="110" spans="1:44" s="7" customFormat="1" ht="12" x14ac:dyDescent="0.2">
      <c r="A110" s="7">
        <v>10026557</v>
      </c>
      <c r="B110" s="8" t="s">
        <v>134</v>
      </c>
      <c r="C110" s="8" t="s">
        <v>702</v>
      </c>
      <c r="D110" s="8" t="s">
        <v>717</v>
      </c>
      <c r="E110" s="8" t="s">
        <v>720</v>
      </c>
      <c r="F110" s="8" t="s">
        <v>1406</v>
      </c>
      <c r="G110" s="8" t="s">
        <v>751</v>
      </c>
      <c r="H110" s="9">
        <v>18</v>
      </c>
      <c r="I110" s="8" t="s">
        <v>668</v>
      </c>
      <c r="J110" s="8" t="s">
        <v>883</v>
      </c>
      <c r="K110" s="8" t="s">
        <v>16</v>
      </c>
      <c r="L110" s="8" t="s">
        <v>17</v>
      </c>
      <c r="M110" s="10" t="s">
        <v>702</v>
      </c>
      <c r="N110" s="10" t="s">
        <v>717</v>
      </c>
      <c r="O110" s="10" t="s">
        <v>668</v>
      </c>
      <c r="P110" s="1"/>
      <c r="Q110" s="11" t="b">
        <f>O110=P110</f>
        <v>0</v>
      </c>
      <c r="R110" s="30">
        <v>30040786</v>
      </c>
      <c r="S110" s="1"/>
      <c r="T110" s="11" t="b">
        <f>R110=S110</f>
        <v>0</v>
      </c>
      <c r="U110" s="10" t="s">
        <v>16</v>
      </c>
      <c r="V110" s="1"/>
      <c r="W110" s="11" t="b">
        <f>U110=V110</f>
        <v>0</v>
      </c>
      <c r="X110" s="13" t="s">
        <v>15</v>
      </c>
      <c r="Y110" s="1"/>
      <c r="Z110" s="1"/>
      <c r="AA110" s="10">
        <v>22003015</v>
      </c>
      <c r="AB110" s="10" t="s">
        <v>1409</v>
      </c>
      <c r="AD110" s="11" t="b">
        <f>AB110=AC110</f>
        <v>0</v>
      </c>
      <c r="AE110" s="10" t="s">
        <v>751</v>
      </c>
      <c r="AF110" s="1"/>
      <c r="AG110" s="11" t="b">
        <f>AE110=AF110</f>
        <v>0</v>
      </c>
      <c r="AH110" s="1">
        <v>18</v>
      </c>
      <c r="AI110" s="1">
        <v>17.73</v>
      </c>
      <c r="AJ110" s="16">
        <f>AI110*220/30*30.4375</f>
        <v>3957.4837500000003</v>
      </c>
      <c r="AK110" s="18">
        <v>3957.48</v>
      </c>
      <c r="AL110" s="71" t="s">
        <v>668</v>
      </c>
      <c r="AM110" s="19" t="b">
        <f>AL110=O110</f>
        <v>1</v>
      </c>
      <c r="AN110" s="7">
        <f>VLOOKUP(A110,'base ZITRHR129'!$G$1:$H$628,2,0)</f>
        <v>30040786</v>
      </c>
      <c r="AO110" s="7" t="b">
        <f>AN110=R110</f>
        <v>1</v>
      </c>
      <c r="AP110" s="7">
        <f>VLOOKUP(A110,'base ZITRHR129'!G50:W676,17,0)</f>
        <v>3957.48</v>
      </c>
      <c r="AQ110" s="7" t="b">
        <f>AP110=AK110</f>
        <v>1</v>
      </c>
      <c r="AR110" s="69"/>
    </row>
    <row r="111" spans="1:44" s="7" customFormat="1" ht="12" x14ac:dyDescent="0.2">
      <c r="A111" s="7">
        <v>10026558</v>
      </c>
      <c r="B111" s="8" t="s">
        <v>135</v>
      </c>
      <c r="C111" s="8" t="s">
        <v>681</v>
      </c>
      <c r="D111" s="8" t="s">
        <v>717</v>
      </c>
      <c r="E111" s="8" t="s">
        <v>720</v>
      </c>
      <c r="F111" s="8" t="s">
        <v>1406</v>
      </c>
      <c r="G111" s="8" t="s">
        <v>751</v>
      </c>
      <c r="H111" s="9">
        <v>18</v>
      </c>
      <c r="I111" s="8" t="s">
        <v>653</v>
      </c>
      <c r="J111" s="8" t="s">
        <v>884</v>
      </c>
      <c r="K111" s="8" t="s">
        <v>16</v>
      </c>
      <c r="L111" s="8" t="s">
        <v>17</v>
      </c>
      <c r="M111" s="10" t="s">
        <v>681</v>
      </c>
      <c r="N111" s="10" t="s">
        <v>717</v>
      </c>
      <c r="O111" s="10" t="s">
        <v>653</v>
      </c>
      <c r="P111" s="1"/>
      <c r="Q111" s="11" t="b">
        <f>O111=P111</f>
        <v>0</v>
      </c>
      <c r="R111" s="30">
        <v>30040787</v>
      </c>
      <c r="S111" s="1"/>
      <c r="T111" s="11" t="b">
        <f>R111=S111</f>
        <v>0</v>
      </c>
      <c r="U111" s="10" t="s">
        <v>16</v>
      </c>
      <c r="V111" s="1"/>
      <c r="W111" s="11" t="b">
        <f>U111=V111</f>
        <v>0</v>
      </c>
      <c r="X111" s="13" t="s">
        <v>15</v>
      </c>
      <c r="Y111" s="1"/>
      <c r="Z111" s="1"/>
      <c r="AA111" s="10">
        <v>22003015</v>
      </c>
      <c r="AB111" s="10" t="s">
        <v>1409</v>
      </c>
      <c r="AD111" s="11" t="b">
        <f>AB111=AC111</f>
        <v>0</v>
      </c>
      <c r="AE111" s="10" t="s">
        <v>751</v>
      </c>
      <c r="AF111" s="1"/>
      <c r="AG111" s="11" t="b">
        <f>AE111=AF111</f>
        <v>0</v>
      </c>
      <c r="AH111" s="1">
        <v>18</v>
      </c>
      <c r="AI111" s="1">
        <v>17.739999999999998</v>
      </c>
      <c r="AJ111" s="16">
        <f>AI111*220/30*30.4375</f>
        <v>3959.7158333333332</v>
      </c>
      <c r="AK111" s="18">
        <v>3959.72</v>
      </c>
      <c r="AL111" s="71" t="s">
        <v>653</v>
      </c>
      <c r="AM111" s="19" t="b">
        <f>AL111=O111</f>
        <v>1</v>
      </c>
      <c r="AN111" s="7">
        <f>VLOOKUP(A111,'base ZITRHR129'!$G$1:$H$628,2,0)</f>
        <v>30040787</v>
      </c>
      <c r="AO111" s="7" t="b">
        <f>AN111=R111</f>
        <v>1</v>
      </c>
      <c r="AP111" s="7">
        <f>VLOOKUP(A111,'base ZITRHR129'!G49:W675,17,0)</f>
        <v>3959.72</v>
      </c>
      <c r="AQ111" s="7" t="b">
        <f>AP111=AK111</f>
        <v>1</v>
      </c>
      <c r="AR111" s="69"/>
    </row>
    <row r="112" spans="1:44" s="20" customFormat="1" ht="12" x14ac:dyDescent="0.2">
      <c r="A112" s="7">
        <v>10026569</v>
      </c>
      <c r="B112" s="8" t="s">
        <v>136</v>
      </c>
      <c r="C112" s="8" t="s">
        <v>680</v>
      </c>
      <c r="D112" s="8" t="s">
        <v>717</v>
      </c>
      <c r="E112" s="8" t="s">
        <v>729</v>
      </c>
      <c r="F112" s="8" t="s">
        <v>1406</v>
      </c>
      <c r="G112" s="8" t="s">
        <v>758</v>
      </c>
      <c r="H112" s="9">
        <v>17</v>
      </c>
      <c r="I112" s="8" t="s">
        <v>654</v>
      </c>
      <c r="J112" s="8" t="s">
        <v>885</v>
      </c>
      <c r="K112" s="8" t="s">
        <v>16</v>
      </c>
      <c r="L112" s="8" t="s">
        <v>17</v>
      </c>
      <c r="M112" s="10" t="s">
        <v>680</v>
      </c>
      <c r="N112" s="10" t="s">
        <v>717</v>
      </c>
      <c r="O112" s="10" t="s">
        <v>654</v>
      </c>
      <c r="P112" s="1"/>
      <c r="Q112" s="11" t="b">
        <f>O112=P112</f>
        <v>0</v>
      </c>
      <c r="R112" s="30">
        <v>30040788</v>
      </c>
      <c r="S112" s="1"/>
      <c r="T112" s="11" t="b">
        <f>R112=S112</f>
        <v>0</v>
      </c>
      <c r="U112" s="10" t="s">
        <v>16</v>
      </c>
      <c r="V112" s="1"/>
      <c r="W112" s="11" t="b">
        <f>U112=V112</f>
        <v>0</v>
      </c>
      <c r="X112" s="13" t="s">
        <v>15</v>
      </c>
      <c r="Y112" s="1"/>
      <c r="Z112" s="1"/>
      <c r="AA112" s="10">
        <v>22002447</v>
      </c>
      <c r="AB112" s="10" t="s">
        <v>1409</v>
      </c>
      <c r="AC112" s="7"/>
      <c r="AD112" s="11" t="b">
        <f>AB112=AC112</f>
        <v>0</v>
      </c>
      <c r="AE112" s="10" t="s">
        <v>758</v>
      </c>
      <c r="AF112" s="1"/>
      <c r="AG112" s="11" t="b">
        <f>AE112=AF112</f>
        <v>0</v>
      </c>
      <c r="AH112" s="1">
        <v>17</v>
      </c>
      <c r="AI112" s="1">
        <v>14.48</v>
      </c>
      <c r="AJ112" s="16">
        <f>AI112*220/30*30.4375</f>
        <v>3232.0566666666668</v>
      </c>
      <c r="AK112" s="18">
        <v>3232.06</v>
      </c>
      <c r="AL112" s="71" t="s">
        <v>654</v>
      </c>
      <c r="AM112" s="19" t="b">
        <f>AL112=O112</f>
        <v>1</v>
      </c>
      <c r="AN112" s="7">
        <f>VLOOKUP(A112,'base ZITRHR129'!$G$1:$H$628,2,0)</f>
        <v>30040788</v>
      </c>
      <c r="AO112" s="7" t="b">
        <f>AN112=R112</f>
        <v>1</v>
      </c>
      <c r="AP112" s="7">
        <f>VLOOKUP(A112,'base ZITRHR129'!G48:W674,17,0)</f>
        <v>3232.06</v>
      </c>
      <c r="AQ112" s="7" t="b">
        <f>AP112=AK112</f>
        <v>1</v>
      </c>
      <c r="AR112" s="69"/>
    </row>
    <row r="113" spans="1:44" s="7" customFormat="1" ht="12" x14ac:dyDescent="0.2">
      <c r="A113" s="7">
        <v>10026577</v>
      </c>
      <c r="B113" s="8" t="s">
        <v>137</v>
      </c>
      <c r="C113" s="8" t="s">
        <v>679</v>
      </c>
      <c r="D113" s="8" t="s">
        <v>717</v>
      </c>
      <c r="E113" s="8" t="s">
        <v>720</v>
      </c>
      <c r="F113" s="8" t="s">
        <v>1406</v>
      </c>
      <c r="G113" s="8" t="s">
        <v>751</v>
      </c>
      <c r="H113" s="9">
        <v>18</v>
      </c>
      <c r="I113" s="8" t="s">
        <v>653</v>
      </c>
      <c r="J113" s="8" t="s">
        <v>886</v>
      </c>
      <c r="K113" s="8" t="s">
        <v>16</v>
      </c>
      <c r="L113" s="8" t="s">
        <v>17</v>
      </c>
      <c r="M113" s="10" t="s">
        <v>679</v>
      </c>
      <c r="N113" s="10" t="s">
        <v>717</v>
      </c>
      <c r="O113" s="10" t="s">
        <v>653</v>
      </c>
      <c r="P113" s="1"/>
      <c r="Q113" s="11" t="b">
        <f>O113=P113</f>
        <v>0</v>
      </c>
      <c r="R113" s="30">
        <v>30040789</v>
      </c>
      <c r="S113" s="1"/>
      <c r="T113" s="11" t="b">
        <f>R113=S113</f>
        <v>0</v>
      </c>
      <c r="U113" s="10" t="s">
        <v>16</v>
      </c>
      <c r="V113" s="1"/>
      <c r="W113" s="11" t="b">
        <f>U113=V113</f>
        <v>0</v>
      </c>
      <c r="X113" s="13" t="s">
        <v>15</v>
      </c>
      <c r="Y113" s="1"/>
      <c r="Z113" s="1"/>
      <c r="AA113" s="59">
        <v>22003015</v>
      </c>
      <c r="AB113" s="10" t="s">
        <v>1409</v>
      </c>
      <c r="AD113" s="11" t="b">
        <f>AB113=AC113</f>
        <v>0</v>
      </c>
      <c r="AE113" s="10" t="s">
        <v>751</v>
      </c>
      <c r="AF113" s="1"/>
      <c r="AG113" s="11" t="b">
        <f>AE113=AF113</f>
        <v>0</v>
      </c>
      <c r="AH113" s="1">
        <v>18</v>
      </c>
      <c r="AI113" s="1">
        <v>17.73</v>
      </c>
      <c r="AJ113" s="16">
        <f>AI113*220/30*30.4375</f>
        <v>3957.4837500000003</v>
      </c>
      <c r="AK113" s="18">
        <v>3957.48</v>
      </c>
      <c r="AL113" s="71" t="s">
        <v>653</v>
      </c>
      <c r="AM113" s="19" t="b">
        <f>AL113=O113</f>
        <v>1</v>
      </c>
      <c r="AN113" s="7">
        <f>VLOOKUP(A113,'base ZITRHR129'!$G$1:$H$628,2,0)</f>
        <v>30040789</v>
      </c>
      <c r="AO113" s="7" t="b">
        <f>AN113=R113</f>
        <v>1</v>
      </c>
      <c r="AP113" s="7">
        <f>VLOOKUP(A113,'base ZITRHR129'!G47:W673,17,0)</f>
        <v>3957.48</v>
      </c>
      <c r="AQ113" s="7" t="b">
        <f>AP113=AK113</f>
        <v>1</v>
      </c>
      <c r="AR113" s="69"/>
    </row>
    <row r="114" spans="1:44" s="7" customFormat="1" ht="12" x14ac:dyDescent="0.2">
      <c r="A114" s="7">
        <v>10026611</v>
      </c>
      <c r="B114" s="8" t="s">
        <v>138</v>
      </c>
      <c r="C114" s="8" t="s">
        <v>681</v>
      </c>
      <c r="D114" s="8" t="s">
        <v>717</v>
      </c>
      <c r="E114" s="8" t="s">
        <v>720</v>
      </c>
      <c r="F114" s="8" t="s">
        <v>1406</v>
      </c>
      <c r="G114" s="8" t="s">
        <v>751</v>
      </c>
      <c r="H114" s="9">
        <v>18</v>
      </c>
      <c r="I114" s="8" t="s">
        <v>653</v>
      </c>
      <c r="J114" s="8" t="s">
        <v>887</v>
      </c>
      <c r="K114" s="8" t="s">
        <v>16</v>
      </c>
      <c r="L114" s="8" t="s">
        <v>17</v>
      </c>
      <c r="M114" s="10" t="s">
        <v>681</v>
      </c>
      <c r="N114" s="10" t="s">
        <v>717</v>
      </c>
      <c r="O114" s="10" t="s">
        <v>653</v>
      </c>
      <c r="P114" s="1"/>
      <c r="Q114" s="11" t="b">
        <f>O114=P114</f>
        <v>0</v>
      </c>
      <c r="R114" s="30">
        <v>30040790</v>
      </c>
      <c r="S114" s="1"/>
      <c r="T114" s="11" t="b">
        <f>R114=S114</f>
        <v>0</v>
      </c>
      <c r="U114" s="10" t="s">
        <v>16</v>
      </c>
      <c r="V114" s="1"/>
      <c r="W114" s="11" t="b">
        <f>U114=V114</f>
        <v>0</v>
      </c>
      <c r="X114" s="13" t="s">
        <v>15</v>
      </c>
      <c r="Y114" s="1"/>
      <c r="Z114" s="1"/>
      <c r="AA114" s="10">
        <v>22003015</v>
      </c>
      <c r="AB114" s="10" t="s">
        <v>1409</v>
      </c>
      <c r="AD114" s="11" t="b">
        <f>AB114=AC114</f>
        <v>0</v>
      </c>
      <c r="AE114" s="10" t="s">
        <v>751</v>
      </c>
      <c r="AF114" s="1"/>
      <c r="AG114" s="11" t="b">
        <f>AE114=AF114</f>
        <v>0</v>
      </c>
      <c r="AH114" s="1">
        <v>18</v>
      </c>
      <c r="AI114" s="1">
        <v>17.73</v>
      </c>
      <c r="AJ114" s="16">
        <f>AI114*220/30*30.4375</f>
        <v>3957.4837500000003</v>
      </c>
      <c r="AK114" s="18">
        <v>3957.48</v>
      </c>
      <c r="AL114" s="71" t="s">
        <v>653</v>
      </c>
      <c r="AM114" s="19" t="b">
        <f>AL114=O114</f>
        <v>1</v>
      </c>
      <c r="AN114" s="7">
        <f>VLOOKUP(A114,'base ZITRHR129'!$G$1:$H$628,2,0)</f>
        <v>30040790</v>
      </c>
      <c r="AO114" s="7" t="b">
        <f>AN114=R114</f>
        <v>1</v>
      </c>
      <c r="AP114" s="7">
        <f>VLOOKUP(A114,'base ZITRHR129'!G46:W672,17,0)</f>
        <v>3957.48</v>
      </c>
      <c r="AQ114" s="7" t="b">
        <f>AP114=AK114</f>
        <v>1</v>
      </c>
      <c r="AR114" s="69"/>
    </row>
    <row r="115" spans="1:44" s="7" customFormat="1" ht="12" x14ac:dyDescent="0.2">
      <c r="A115" s="7">
        <v>10026612</v>
      </c>
      <c r="B115" s="8" t="s">
        <v>139</v>
      </c>
      <c r="C115" s="8" t="s">
        <v>700</v>
      </c>
      <c r="D115" s="8" t="s">
        <v>717</v>
      </c>
      <c r="E115" s="8" t="s">
        <v>732</v>
      </c>
      <c r="F115" s="8" t="s">
        <v>1407</v>
      </c>
      <c r="G115" s="8" t="s">
        <v>761</v>
      </c>
      <c r="H115" s="9">
        <v>15</v>
      </c>
      <c r="I115" s="8" t="s">
        <v>666</v>
      </c>
      <c r="J115" s="8" t="s">
        <v>888</v>
      </c>
      <c r="K115" s="8" t="s">
        <v>16</v>
      </c>
      <c r="L115" s="8" t="s">
        <v>17</v>
      </c>
      <c r="M115" s="10" t="s">
        <v>700</v>
      </c>
      <c r="N115" s="10" t="s">
        <v>717</v>
      </c>
      <c r="O115" s="10" t="s">
        <v>666</v>
      </c>
      <c r="P115" s="1"/>
      <c r="Q115" s="11" t="b">
        <f>O115=P115</f>
        <v>0</v>
      </c>
      <c r="R115" s="30">
        <v>30041327</v>
      </c>
      <c r="S115" s="1"/>
      <c r="T115" s="11" t="b">
        <f>R115=S115</f>
        <v>0</v>
      </c>
      <c r="U115" s="10" t="s">
        <v>16</v>
      </c>
      <c r="V115" s="1"/>
      <c r="W115" s="11" t="b">
        <f>U115=V115</f>
        <v>0</v>
      </c>
      <c r="X115" s="13" t="s">
        <v>15</v>
      </c>
      <c r="Y115" s="1"/>
      <c r="Z115" s="1"/>
      <c r="AA115" s="61">
        <v>22003423</v>
      </c>
      <c r="AB115" s="10" t="s">
        <v>1410</v>
      </c>
      <c r="AD115" s="11" t="b">
        <f>AB115=AC115</f>
        <v>0</v>
      </c>
      <c r="AE115" s="10" t="s">
        <v>761</v>
      </c>
      <c r="AF115" s="1"/>
      <c r="AG115" s="11" t="b">
        <f>AE115=AF115</f>
        <v>0</v>
      </c>
      <c r="AH115" s="1">
        <v>15</v>
      </c>
      <c r="AI115" s="1">
        <v>11.71</v>
      </c>
      <c r="AJ115" s="16">
        <f>AI115*180/30*30.4375</f>
        <v>2138.5387500000002</v>
      </c>
      <c r="AK115" s="18">
        <v>2138.54</v>
      </c>
      <c r="AL115" s="71" t="s">
        <v>666</v>
      </c>
      <c r="AM115" s="19" t="b">
        <f>AL115=O115</f>
        <v>1</v>
      </c>
      <c r="AN115" s="7">
        <f>VLOOKUP(A115,'base ZITRHR129'!$G$1:$H$628,2,0)</f>
        <v>30041327</v>
      </c>
      <c r="AO115" s="7" t="b">
        <f>AN115=R115</f>
        <v>1</v>
      </c>
      <c r="AP115" s="7">
        <f>VLOOKUP(A115,'base ZITRHR129'!G45:W671,17,0)</f>
        <v>2138.54</v>
      </c>
      <c r="AQ115" s="7" t="b">
        <f>AP115=AK115</f>
        <v>1</v>
      </c>
      <c r="AR115" s="69"/>
    </row>
    <row r="116" spans="1:44" s="7" customFormat="1" ht="12" x14ac:dyDescent="0.2">
      <c r="A116" s="7">
        <v>10026619</v>
      </c>
      <c r="B116" s="8" t="s">
        <v>140</v>
      </c>
      <c r="C116" s="8" t="s">
        <v>701</v>
      </c>
      <c r="D116" s="8" t="s">
        <v>717</v>
      </c>
      <c r="E116" s="8" t="s">
        <v>720</v>
      </c>
      <c r="F116" s="8" t="s">
        <v>1406</v>
      </c>
      <c r="G116" s="8" t="s">
        <v>751</v>
      </c>
      <c r="H116" s="9">
        <v>18</v>
      </c>
      <c r="I116" s="8" t="s">
        <v>668</v>
      </c>
      <c r="J116" s="8" t="s">
        <v>889</v>
      </c>
      <c r="K116" s="8" t="s">
        <v>16</v>
      </c>
      <c r="L116" s="8" t="s">
        <v>17</v>
      </c>
      <c r="M116" s="10" t="s">
        <v>701</v>
      </c>
      <c r="N116" s="10" t="s">
        <v>717</v>
      </c>
      <c r="O116" s="10" t="s">
        <v>668</v>
      </c>
      <c r="P116" s="1"/>
      <c r="Q116" s="11" t="b">
        <f>O116=P116</f>
        <v>0</v>
      </c>
      <c r="R116" s="30">
        <v>30040792</v>
      </c>
      <c r="S116" s="1"/>
      <c r="T116" s="11" t="b">
        <f>R116=S116</f>
        <v>0</v>
      </c>
      <c r="U116" s="10" t="s">
        <v>16</v>
      </c>
      <c r="V116" s="1"/>
      <c r="W116" s="11" t="b">
        <f>U116=V116</f>
        <v>0</v>
      </c>
      <c r="X116" s="13" t="s">
        <v>15</v>
      </c>
      <c r="Y116" s="1"/>
      <c r="Z116" s="1"/>
      <c r="AA116" s="59">
        <v>22003015</v>
      </c>
      <c r="AB116" s="10" t="s">
        <v>1409</v>
      </c>
      <c r="AD116" s="11" t="b">
        <f>AB116=AC116</f>
        <v>0</v>
      </c>
      <c r="AE116" s="10" t="s">
        <v>751</v>
      </c>
      <c r="AF116" s="1"/>
      <c r="AG116" s="11" t="b">
        <f>AE116=AF116</f>
        <v>0</v>
      </c>
      <c r="AH116" s="1">
        <v>18</v>
      </c>
      <c r="AI116" s="1">
        <v>17.73</v>
      </c>
      <c r="AJ116" s="16">
        <f>AI116*220/30*30.4375</f>
        <v>3957.4837500000003</v>
      </c>
      <c r="AK116" s="18">
        <v>3957.48</v>
      </c>
      <c r="AL116" s="71" t="s">
        <v>668</v>
      </c>
      <c r="AM116" s="19" t="b">
        <f>AL116=O116</f>
        <v>1</v>
      </c>
      <c r="AN116" s="7">
        <f>VLOOKUP(A116,'base ZITRHR129'!$G$1:$H$628,2,0)</f>
        <v>30040792</v>
      </c>
      <c r="AO116" s="7" t="b">
        <f>AN116=R116</f>
        <v>1</v>
      </c>
      <c r="AP116" s="7">
        <f>VLOOKUP(A116,'base ZITRHR129'!G44:W670,17,0)</f>
        <v>3957.48</v>
      </c>
      <c r="AQ116" s="7" t="b">
        <f>AP116=AK116</f>
        <v>1</v>
      </c>
      <c r="AR116" s="69"/>
    </row>
    <row r="117" spans="1:44" s="7" customFormat="1" ht="12" x14ac:dyDescent="0.2">
      <c r="A117" s="7">
        <v>10026637</v>
      </c>
      <c r="B117" s="8" t="s">
        <v>141</v>
      </c>
      <c r="C117" s="8" t="s">
        <v>702</v>
      </c>
      <c r="D117" s="8" t="s">
        <v>717</v>
      </c>
      <c r="E117" s="8" t="s">
        <v>718</v>
      </c>
      <c r="F117" s="8" t="s">
        <v>1406</v>
      </c>
      <c r="G117" s="8" t="s">
        <v>750</v>
      </c>
      <c r="H117" s="9">
        <v>19</v>
      </c>
      <c r="I117" s="8" t="s">
        <v>668</v>
      </c>
      <c r="J117" s="8" t="s">
        <v>890</v>
      </c>
      <c r="K117" s="8" t="s">
        <v>16</v>
      </c>
      <c r="L117" s="8" t="s">
        <v>17</v>
      </c>
      <c r="M117" s="10" t="s">
        <v>702</v>
      </c>
      <c r="N117" s="10" t="s">
        <v>717</v>
      </c>
      <c r="O117" s="10" t="s">
        <v>668</v>
      </c>
      <c r="P117" s="1"/>
      <c r="Q117" s="11" t="b">
        <f>O117=P117</f>
        <v>0</v>
      </c>
      <c r="R117" s="30">
        <v>30040793</v>
      </c>
      <c r="S117" s="1"/>
      <c r="T117" s="11" t="b">
        <f>R117=S117</f>
        <v>0</v>
      </c>
      <c r="U117" s="10" t="s">
        <v>16</v>
      </c>
      <c r="V117" s="1"/>
      <c r="W117" s="11" t="b">
        <f>U117=V117</f>
        <v>0</v>
      </c>
      <c r="X117" s="13" t="s">
        <v>15</v>
      </c>
      <c r="Y117" s="1"/>
      <c r="Z117" s="1"/>
      <c r="AA117" s="10">
        <v>22003022</v>
      </c>
      <c r="AB117" s="10" t="s">
        <v>1409</v>
      </c>
      <c r="AD117" s="11" t="b">
        <f>AB117=AC117</f>
        <v>0</v>
      </c>
      <c r="AE117" s="10" t="s">
        <v>750</v>
      </c>
      <c r="AF117" s="1"/>
      <c r="AG117" s="11" t="b">
        <f>AE117=AF117</f>
        <v>0</v>
      </c>
      <c r="AH117" s="1">
        <v>19</v>
      </c>
      <c r="AI117" s="1">
        <v>18.62</v>
      </c>
      <c r="AJ117" s="16">
        <f>AI117*220/30*30.4375</f>
        <v>4156.1391666666668</v>
      </c>
      <c r="AK117" s="18">
        <v>4156.1400000000003</v>
      </c>
      <c r="AL117" s="71" t="s">
        <v>668</v>
      </c>
      <c r="AM117" s="19" t="b">
        <f>AL117=O117</f>
        <v>1</v>
      </c>
      <c r="AN117" s="7">
        <f>VLOOKUP(A117,'base ZITRHR129'!$G$1:$H$628,2,0)</f>
        <v>30040793</v>
      </c>
      <c r="AO117" s="7" t="b">
        <f>AN117=R117</f>
        <v>1</v>
      </c>
      <c r="AP117" s="7">
        <f>VLOOKUP(A117,'base ZITRHR129'!G43:W669,17,0)</f>
        <v>4156.1400000000003</v>
      </c>
      <c r="AQ117" s="7" t="b">
        <f>AP117=AK117</f>
        <v>1</v>
      </c>
      <c r="AR117" s="69"/>
    </row>
    <row r="118" spans="1:44" s="7" customFormat="1" ht="12" x14ac:dyDescent="0.2">
      <c r="A118" s="7">
        <v>10026647</v>
      </c>
      <c r="B118" s="8" t="s">
        <v>142</v>
      </c>
      <c r="C118" s="8" t="s">
        <v>701</v>
      </c>
      <c r="D118" s="8" t="s">
        <v>717</v>
      </c>
      <c r="E118" s="8" t="s">
        <v>720</v>
      </c>
      <c r="F118" s="8" t="s">
        <v>1406</v>
      </c>
      <c r="G118" s="8" t="s">
        <v>751</v>
      </c>
      <c r="H118" s="9">
        <v>18</v>
      </c>
      <c r="I118" s="8" t="s">
        <v>668</v>
      </c>
      <c r="J118" s="8" t="s">
        <v>891</v>
      </c>
      <c r="K118" s="8" t="s">
        <v>16</v>
      </c>
      <c r="L118" s="8" t="s">
        <v>17</v>
      </c>
      <c r="M118" s="10" t="s">
        <v>701</v>
      </c>
      <c r="N118" s="10" t="s">
        <v>717</v>
      </c>
      <c r="O118" s="10" t="s">
        <v>668</v>
      </c>
      <c r="P118" s="1"/>
      <c r="Q118" s="11" t="b">
        <f>O118=P118</f>
        <v>0</v>
      </c>
      <c r="R118" s="30">
        <v>30040794</v>
      </c>
      <c r="S118" s="1"/>
      <c r="T118" s="11" t="b">
        <f>R118=S118</f>
        <v>0</v>
      </c>
      <c r="U118" s="10" t="s">
        <v>16</v>
      </c>
      <c r="V118" s="1"/>
      <c r="W118" s="11" t="b">
        <f>U118=V118</f>
        <v>0</v>
      </c>
      <c r="X118" s="13" t="s">
        <v>15</v>
      </c>
      <c r="Y118" s="1"/>
      <c r="Z118" s="1"/>
      <c r="AA118" s="10">
        <v>22003015</v>
      </c>
      <c r="AB118" s="10" t="s">
        <v>1409</v>
      </c>
      <c r="AD118" s="11" t="b">
        <f>AB118=AC118</f>
        <v>0</v>
      </c>
      <c r="AE118" s="10" t="s">
        <v>751</v>
      </c>
      <c r="AF118" s="1"/>
      <c r="AG118" s="11" t="b">
        <f>AE118=AF118</f>
        <v>0</v>
      </c>
      <c r="AH118" s="1">
        <v>18</v>
      </c>
      <c r="AI118" s="1">
        <v>17.73</v>
      </c>
      <c r="AJ118" s="16">
        <f>AI118*220/30*30.4375</f>
        <v>3957.4837500000003</v>
      </c>
      <c r="AK118" s="18">
        <v>3957.48</v>
      </c>
      <c r="AL118" s="71" t="s">
        <v>668</v>
      </c>
      <c r="AM118" s="19" t="b">
        <f>AL118=O118</f>
        <v>1</v>
      </c>
      <c r="AN118" s="7">
        <f>VLOOKUP(A118,'base ZITRHR129'!$G$1:$H$628,2,0)</f>
        <v>30040794</v>
      </c>
      <c r="AO118" s="7" t="b">
        <f>AN118=R118</f>
        <v>1</v>
      </c>
      <c r="AP118" s="7">
        <f>VLOOKUP(A118,'base ZITRHR129'!G42:W668,17,0)</f>
        <v>3957.48</v>
      </c>
      <c r="AQ118" s="7" t="b">
        <f>AP118=AK118</f>
        <v>1</v>
      </c>
      <c r="AR118" s="69"/>
    </row>
    <row r="119" spans="1:44" s="7" customFormat="1" ht="12" x14ac:dyDescent="0.2">
      <c r="A119" s="7">
        <v>10026648</v>
      </c>
      <c r="B119" s="8" t="s">
        <v>143</v>
      </c>
      <c r="C119" s="8" t="s">
        <v>680</v>
      </c>
      <c r="D119" s="8" t="s">
        <v>717</v>
      </c>
      <c r="E119" s="8" t="s">
        <v>729</v>
      </c>
      <c r="F119" s="8" t="s">
        <v>1406</v>
      </c>
      <c r="G119" s="8" t="s">
        <v>758</v>
      </c>
      <c r="H119" s="9">
        <v>17</v>
      </c>
      <c r="I119" s="8" t="s">
        <v>654</v>
      </c>
      <c r="J119" s="8" t="s">
        <v>892</v>
      </c>
      <c r="K119" s="8" t="s">
        <v>16</v>
      </c>
      <c r="L119" s="8" t="s">
        <v>17</v>
      </c>
      <c r="M119" s="10" t="s">
        <v>680</v>
      </c>
      <c r="N119" s="10" t="s">
        <v>717</v>
      </c>
      <c r="O119" s="10" t="s">
        <v>654</v>
      </c>
      <c r="P119" s="1"/>
      <c r="Q119" s="11" t="b">
        <f>O119=P119</f>
        <v>0</v>
      </c>
      <c r="R119" s="30">
        <v>30040795</v>
      </c>
      <c r="S119" s="1"/>
      <c r="T119" s="11" t="b">
        <f>R119=S119</f>
        <v>0</v>
      </c>
      <c r="U119" s="10" t="s">
        <v>16</v>
      </c>
      <c r="V119" s="1"/>
      <c r="W119" s="11" t="b">
        <f>U119=V119</f>
        <v>0</v>
      </c>
      <c r="X119" s="13" t="s">
        <v>15</v>
      </c>
      <c r="Y119" s="1"/>
      <c r="Z119" s="1"/>
      <c r="AA119" s="10">
        <v>22002447</v>
      </c>
      <c r="AB119" s="10" t="s">
        <v>1409</v>
      </c>
      <c r="AD119" s="11" t="b">
        <f>AB119=AC119</f>
        <v>0</v>
      </c>
      <c r="AE119" s="10" t="s">
        <v>758</v>
      </c>
      <c r="AF119" s="1"/>
      <c r="AG119" s="11" t="b">
        <f>AE119=AF119</f>
        <v>0</v>
      </c>
      <c r="AH119" s="1">
        <v>17</v>
      </c>
      <c r="AI119" s="1">
        <v>14.48</v>
      </c>
      <c r="AJ119" s="16">
        <f>AI119*220/30*30.4375</f>
        <v>3232.0566666666668</v>
      </c>
      <c r="AK119" s="18">
        <v>3232.06</v>
      </c>
      <c r="AL119" s="71" t="s">
        <v>654</v>
      </c>
      <c r="AM119" s="19" t="b">
        <f>AL119=O119</f>
        <v>1</v>
      </c>
      <c r="AN119" s="7">
        <f>VLOOKUP(A119,'base ZITRHR129'!$G$1:$H$628,2,0)</f>
        <v>30040795</v>
      </c>
      <c r="AO119" s="7" t="b">
        <f>AN119=R119</f>
        <v>1</v>
      </c>
      <c r="AP119" s="7">
        <f>VLOOKUP(A119,'base ZITRHR129'!G41:W667,17,0)</f>
        <v>3232.06</v>
      </c>
      <c r="AQ119" s="7" t="b">
        <f>AP119=AK119</f>
        <v>1</v>
      </c>
      <c r="AR119" s="69"/>
    </row>
    <row r="120" spans="1:44" s="7" customFormat="1" ht="12" x14ac:dyDescent="0.2">
      <c r="A120" s="7">
        <v>10026655</v>
      </c>
      <c r="B120" s="8" t="s">
        <v>144</v>
      </c>
      <c r="C120" s="8" t="s">
        <v>680</v>
      </c>
      <c r="D120" s="8" t="s">
        <v>717</v>
      </c>
      <c r="E120" s="8" t="s">
        <v>729</v>
      </c>
      <c r="F120" s="8" t="s">
        <v>1406</v>
      </c>
      <c r="G120" s="8" t="s">
        <v>758</v>
      </c>
      <c r="H120" s="9">
        <v>17</v>
      </c>
      <c r="I120" s="8" t="s">
        <v>654</v>
      </c>
      <c r="J120" s="8" t="s">
        <v>893</v>
      </c>
      <c r="K120" s="8" t="s">
        <v>16</v>
      </c>
      <c r="L120" s="8" t="s">
        <v>17</v>
      </c>
      <c r="M120" s="10" t="s">
        <v>680</v>
      </c>
      <c r="N120" s="10" t="s">
        <v>717</v>
      </c>
      <c r="O120" s="10" t="s">
        <v>654</v>
      </c>
      <c r="P120" s="1"/>
      <c r="Q120" s="11" t="b">
        <f>O120=P120</f>
        <v>0</v>
      </c>
      <c r="R120" s="30">
        <v>30040796</v>
      </c>
      <c r="S120" s="1"/>
      <c r="T120" s="11" t="b">
        <f>R120=S120</f>
        <v>0</v>
      </c>
      <c r="U120" s="10" t="s">
        <v>16</v>
      </c>
      <c r="V120" s="1"/>
      <c r="W120" s="11" t="b">
        <f>U120=V120</f>
        <v>0</v>
      </c>
      <c r="X120" s="13" t="s">
        <v>15</v>
      </c>
      <c r="Y120" s="1"/>
      <c r="Z120" s="1"/>
      <c r="AA120" s="10">
        <v>22002447</v>
      </c>
      <c r="AB120" s="10" t="s">
        <v>1409</v>
      </c>
      <c r="AD120" s="11" t="b">
        <f>AB120=AC120</f>
        <v>0</v>
      </c>
      <c r="AE120" s="10" t="s">
        <v>758</v>
      </c>
      <c r="AF120" s="1"/>
      <c r="AG120" s="11" t="b">
        <f>AE120=AF120</f>
        <v>0</v>
      </c>
      <c r="AH120" s="1">
        <v>17</v>
      </c>
      <c r="AI120" s="1">
        <v>14.48</v>
      </c>
      <c r="AJ120" s="16">
        <f>AI120*220/30*30.4375</f>
        <v>3232.0566666666668</v>
      </c>
      <c r="AK120" s="18">
        <v>3232.06</v>
      </c>
      <c r="AL120" s="71" t="s">
        <v>654</v>
      </c>
      <c r="AM120" s="19" t="b">
        <f>AL120=O120</f>
        <v>1</v>
      </c>
      <c r="AN120" s="7">
        <f>VLOOKUP(A120,'base ZITRHR129'!$G$1:$H$628,2,0)</f>
        <v>30040796</v>
      </c>
      <c r="AO120" s="7" t="b">
        <f>AN120=R120</f>
        <v>1</v>
      </c>
      <c r="AP120" s="7">
        <f>VLOOKUP(A120,'base ZITRHR129'!G40:W666,17,0)</f>
        <v>3232.06</v>
      </c>
      <c r="AQ120" s="7" t="b">
        <f>AP120=AK120</f>
        <v>1</v>
      </c>
      <c r="AR120" s="69"/>
    </row>
    <row r="121" spans="1:44" s="7" customFormat="1" ht="12" x14ac:dyDescent="0.2">
      <c r="A121" s="7">
        <v>10026661</v>
      </c>
      <c r="B121" s="8" t="s">
        <v>145</v>
      </c>
      <c r="C121" s="8" t="s">
        <v>706</v>
      </c>
      <c r="D121" s="8" t="s">
        <v>717</v>
      </c>
      <c r="E121" s="8" t="s">
        <v>724</v>
      </c>
      <c r="F121" s="8" t="s">
        <v>1406</v>
      </c>
      <c r="G121" s="8" t="s">
        <v>21</v>
      </c>
      <c r="H121" s="9">
        <v>16</v>
      </c>
      <c r="I121" s="8" t="s">
        <v>660</v>
      </c>
      <c r="J121" s="8" t="s">
        <v>894</v>
      </c>
      <c r="K121" s="8" t="s">
        <v>16</v>
      </c>
      <c r="L121" s="8" t="s">
        <v>17</v>
      </c>
      <c r="M121" s="10" t="s">
        <v>706</v>
      </c>
      <c r="N121" s="10" t="s">
        <v>717</v>
      </c>
      <c r="O121" s="10" t="s">
        <v>660</v>
      </c>
      <c r="P121" s="1"/>
      <c r="Q121" s="11" t="b">
        <f>O121=P121</f>
        <v>0</v>
      </c>
      <c r="R121" s="30">
        <v>30040797</v>
      </c>
      <c r="S121" s="1"/>
      <c r="T121" s="11" t="b">
        <f>R121=S121</f>
        <v>0</v>
      </c>
      <c r="U121" s="10" t="s">
        <v>16</v>
      </c>
      <c r="V121" s="1"/>
      <c r="W121" s="11" t="b">
        <f>U121=V121</f>
        <v>0</v>
      </c>
      <c r="X121" s="13" t="s">
        <v>15</v>
      </c>
      <c r="Y121" s="1"/>
      <c r="Z121" s="1"/>
      <c r="AA121" s="59">
        <v>22002616</v>
      </c>
      <c r="AB121" s="10" t="s">
        <v>1409</v>
      </c>
      <c r="AD121" s="11" t="b">
        <f>AB121=AC121</f>
        <v>0</v>
      </c>
      <c r="AE121" s="10" t="s">
        <v>21</v>
      </c>
      <c r="AF121" s="1"/>
      <c r="AG121" s="11" t="b">
        <f>AE121=AF121</f>
        <v>0</v>
      </c>
      <c r="AH121" s="1">
        <v>16</v>
      </c>
      <c r="AI121" s="1">
        <v>11.71</v>
      </c>
      <c r="AJ121" s="16">
        <f>AI121*220/30*30.4375</f>
        <v>2613.7695833333337</v>
      </c>
      <c r="AK121" s="18">
        <v>2613.77</v>
      </c>
      <c r="AL121" s="71" t="s">
        <v>660</v>
      </c>
      <c r="AM121" s="19" t="b">
        <f>AL121=O121</f>
        <v>1</v>
      </c>
      <c r="AN121" s="7">
        <f>VLOOKUP(A121,'base ZITRHR129'!$G$1:$H$628,2,0)</f>
        <v>30040797</v>
      </c>
      <c r="AO121" s="7" t="b">
        <f>AN121=R121</f>
        <v>1</v>
      </c>
      <c r="AP121" s="7">
        <f>VLOOKUP(A121,'base ZITRHR129'!G39:W665,17,0)</f>
        <v>2613.77</v>
      </c>
      <c r="AQ121" s="7" t="b">
        <f>AP121=AK121</f>
        <v>1</v>
      </c>
      <c r="AR121" s="69"/>
    </row>
    <row r="122" spans="1:44" s="7" customFormat="1" ht="12" x14ac:dyDescent="0.2">
      <c r="A122" s="7">
        <v>10026668</v>
      </c>
      <c r="B122" s="8" t="s">
        <v>146</v>
      </c>
      <c r="C122" s="8" t="s">
        <v>687</v>
      </c>
      <c r="D122" s="8" t="s">
        <v>717</v>
      </c>
      <c r="E122" s="8" t="s">
        <v>724</v>
      </c>
      <c r="F122" s="8" t="s">
        <v>1406</v>
      </c>
      <c r="G122" s="8" t="s">
        <v>21</v>
      </c>
      <c r="H122" s="9">
        <v>16</v>
      </c>
      <c r="I122" s="8" t="s">
        <v>660</v>
      </c>
      <c r="J122" s="8" t="s">
        <v>895</v>
      </c>
      <c r="K122" s="8" t="s">
        <v>16</v>
      </c>
      <c r="L122" s="8" t="s">
        <v>17</v>
      </c>
      <c r="M122" s="10" t="s">
        <v>687</v>
      </c>
      <c r="N122" s="10" t="s">
        <v>717</v>
      </c>
      <c r="O122" s="10" t="s">
        <v>660</v>
      </c>
      <c r="P122" s="1"/>
      <c r="Q122" s="11" t="b">
        <f>O122=P122</f>
        <v>0</v>
      </c>
      <c r="R122" s="30">
        <v>30040798</v>
      </c>
      <c r="S122" s="1"/>
      <c r="T122" s="11" t="b">
        <f>R122=S122</f>
        <v>0</v>
      </c>
      <c r="U122" s="10" t="s">
        <v>16</v>
      </c>
      <c r="V122" s="1"/>
      <c r="W122" s="11" t="b">
        <f>U122=V122</f>
        <v>0</v>
      </c>
      <c r="X122" s="13" t="s">
        <v>15</v>
      </c>
      <c r="Y122" s="1"/>
      <c r="Z122" s="1"/>
      <c r="AA122" s="10">
        <v>22002616</v>
      </c>
      <c r="AB122" s="10" t="s">
        <v>1409</v>
      </c>
      <c r="AD122" s="11" t="b">
        <f>AB122=AC122</f>
        <v>0</v>
      </c>
      <c r="AE122" s="10" t="s">
        <v>21</v>
      </c>
      <c r="AF122" s="1"/>
      <c r="AG122" s="11" t="b">
        <f>AE122=AF122</f>
        <v>0</v>
      </c>
      <c r="AH122" s="1">
        <v>16</v>
      </c>
      <c r="AI122" s="1">
        <v>11.71</v>
      </c>
      <c r="AJ122" s="16">
        <f>AI122*220/30*30.4375</f>
        <v>2613.7695833333337</v>
      </c>
      <c r="AK122" s="18">
        <v>2613.77</v>
      </c>
      <c r="AL122" s="71" t="s">
        <v>660</v>
      </c>
      <c r="AM122" s="19" t="b">
        <f>AL122=O122</f>
        <v>1</v>
      </c>
      <c r="AN122" s="7">
        <f>VLOOKUP(A122,'base ZITRHR129'!$G$1:$H$628,2,0)</f>
        <v>30040798</v>
      </c>
      <c r="AO122" s="7" t="b">
        <f>AN122=R122</f>
        <v>1</v>
      </c>
      <c r="AP122" s="7">
        <f>VLOOKUP(A122,'base ZITRHR129'!G38:W664,17,0)</f>
        <v>2613.77</v>
      </c>
      <c r="AQ122" s="7" t="b">
        <f>AP122=AK122</f>
        <v>1</v>
      </c>
      <c r="AR122" s="69"/>
    </row>
    <row r="123" spans="1:44" s="7" customFormat="1" ht="12" x14ac:dyDescent="0.2">
      <c r="A123" s="7">
        <v>10026671</v>
      </c>
      <c r="B123" s="8" t="s">
        <v>147</v>
      </c>
      <c r="C123" s="8" t="s">
        <v>680</v>
      </c>
      <c r="D123" s="8" t="s">
        <v>717</v>
      </c>
      <c r="E123" s="8" t="s">
        <v>729</v>
      </c>
      <c r="F123" s="8" t="s">
        <v>1406</v>
      </c>
      <c r="G123" s="8" t="s">
        <v>758</v>
      </c>
      <c r="H123" s="9">
        <v>17</v>
      </c>
      <c r="I123" s="8" t="s">
        <v>654</v>
      </c>
      <c r="J123" s="8" t="s">
        <v>896</v>
      </c>
      <c r="K123" s="8" t="s">
        <v>16</v>
      </c>
      <c r="L123" s="8" t="s">
        <v>17</v>
      </c>
      <c r="M123" s="10" t="s">
        <v>680</v>
      </c>
      <c r="N123" s="10" t="s">
        <v>717</v>
      </c>
      <c r="O123" s="10" t="s">
        <v>654</v>
      </c>
      <c r="P123" s="1"/>
      <c r="Q123" s="11" t="b">
        <f>O123=P123</f>
        <v>0</v>
      </c>
      <c r="R123" s="30">
        <v>30040799</v>
      </c>
      <c r="S123" s="1"/>
      <c r="T123" s="11" t="b">
        <f>R123=S123</f>
        <v>0</v>
      </c>
      <c r="U123" s="10" t="s">
        <v>16</v>
      </c>
      <c r="V123" s="1"/>
      <c r="W123" s="11" t="b">
        <f>U123=V123</f>
        <v>0</v>
      </c>
      <c r="X123" s="13" t="s">
        <v>15</v>
      </c>
      <c r="Y123" s="1"/>
      <c r="Z123" s="1"/>
      <c r="AA123" s="59">
        <v>22002447</v>
      </c>
      <c r="AB123" s="10" t="s">
        <v>1409</v>
      </c>
      <c r="AD123" s="11" t="b">
        <f>AB123=AC123</f>
        <v>0</v>
      </c>
      <c r="AE123" s="10" t="s">
        <v>758</v>
      </c>
      <c r="AF123" s="1"/>
      <c r="AG123" s="11" t="b">
        <f>AE123=AF123</f>
        <v>0</v>
      </c>
      <c r="AH123" s="1">
        <v>17</v>
      </c>
      <c r="AI123" s="1">
        <v>14.48</v>
      </c>
      <c r="AJ123" s="16">
        <f>AI123*220/30*30.4375</f>
        <v>3232.0566666666668</v>
      </c>
      <c r="AK123" s="18">
        <v>3232.06</v>
      </c>
      <c r="AL123" s="71" t="s">
        <v>654</v>
      </c>
      <c r="AM123" s="19" t="b">
        <f>AL123=O123</f>
        <v>1</v>
      </c>
      <c r="AN123" s="7">
        <f>VLOOKUP(A123,'base ZITRHR129'!$G$1:$H$628,2,0)</f>
        <v>30040799</v>
      </c>
      <c r="AO123" s="7" t="b">
        <f>AN123=R123</f>
        <v>1</v>
      </c>
      <c r="AP123" s="7">
        <f>VLOOKUP(A123,'base ZITRHR129'!G37:W663,17,0)</f>
        <v>3232.06</v>
      </c>
      <c r="AQ123" s="7" t="b">
        <f>AP123=AK123</f>
        <v>1</v>
      </c>
      <c r="AR123" s="69"/>
    </row>
    <row r="124" spans="1:44" s="7" customFormat="1" ht="12" x14ac:dyDescent="0.2">
      <c r="A124" s="7">
        <v>10026672</v>
      </c>
      <c r="B124" s="8" t="s">
        <v>148</v>
      </c>
      <c r="C124" s="8" t="s">
        <v>687</v>
      </c>
      <c r="D124" s="8" t="s">
        <v>717</v>
      </c>
      <c r="E124" s="8" t="s">
        <v>724</v>
      </c>
      <c r="F124" s="8" t="s">
        <v>1406</v>
      </c>
      <c r="G124" s="8" t="s">
        <v>21</v>
      </c>
      <c r="H124" s="9">
        <v>16</v>
      </c>
      <c r="I124" s="8" t="s">
        <v>660</v>
      </c>
      <c r="J124" s="8" t="s">
        <v>897</v>
      </c>
      <c r="K124" s="8" t="s">
        <v>16</v>
      </c>
      <c r="L124" s="8" t="s">
        <v>17</v>
      </c>
      <c r="M124" s="10" t="s">
        <v>687</v>
      </c>
      <c r="N124" s="10" t="s">
        <v>717</v>
      </c>
      <c r="O124" s="10" t="s">
        <v>660</v>
      </c>
      <c r="P124" s="1"/>
      <c r="Q124" s="11" t="b">
        <f>O124=P124</f>
        <v>0</v>
      </c>
      <c r="R124" s="30">
        <v>30040800</v>
      </c>
      <c r="S124" s="1"/>
      <c r="T124" s="11" t="b">
        <f>R124=S124</f>
        <v>0</v>
      </c>
      <c r="U124" s="10" t="s">
        <v>16</v>
      </c>
      <c r="V124" s="1"/>
      <c r="W124" s="11" t="b">
        <f>U124=V124</f>
        <v>0</v>
      </c>
      <c r="X124" s="13" t="s">
        <v>15</v>
      </c>
      <c r="Y124" s="1"/>
      <c r="Z124" s="1"/>
      <c r="AA124" s="10">
        <v>22002616</v>
      </c>
      <c r="AB124" s="10" t="s">
        <v>1409</v>
      </c>
      <c r="AD124" s="11" t="b">
        <f>AB124=AC124</f>
        <v>0</v>
      </c>
      <c r="AE124" s="10" t="s">
        <v>21</v>
      </c>
      <c r="AF124" s="1"/>
      <c r="AG124" s="11" t="b">
        <f>AE124=AF124</f>
        <v>0</v>
      </c>
      <c r="AH124" s="1">
        <v>16</v>
      </c>
      <c r="AI124" s="1">
        <v>11.71</v>
      </c>
      <c r="AJ124" s="16">
        <f>AI124*220/30*30.4375</f>
        <v>2613.7695833333337</v>
      </c>
      <c r="AK124" s="18">
        <v>2613.77</v>
      </c>
      <c r="AL124" s="71" t="s">
        <v>660</v>
      </c>
      <c r="AM124" s="19" t="b">
        <f>AL124=O124</f>
        <v>1</v>
      </c>
      <c r="AN124" s="7">
        <f>VLOOKUP(A124,'base ZITRHR129'!$G$1:$H$628,2,0)</f>
        <v>30040800</v>
      </c>
      <c r="AO124" s="7" t="b">
        <f>AN124=R124</f>
        <v>1</v>
      </c>
      <c r="AP124" s="7">
        <f>VLOOKUP(A124,'base ZITRHR129'!G36:W662,17,0)</f>
        <v>2613.77</v>
      </c>
      <c r="AQ124" s="7" t="b">
        <f>AP124=AK124</f>
        <v>1</v>
      </c>
      <c r="AR124" s="69"/>
    </row>
    <row r="125" spans="1:44" s="7" customFormat="1" ht="12" x14ac:dyDescent="0.2">
      <c r="A125" s="7">
        <v>10026686</v>
      </c>
      <c r="B125" s="8" t="s">
        <v>149</v>
      </c>
      <c r="C125" s="8" t="s">
        <v>684</v>
      </c>
      <c r="D125" s="8" t="s">
        <v>717</v>
      </c>
      <c r="E125" s="8" t="s">
        <v>718</v>
      </c>
      <c r="F125" s="8" t="s">
        <v>1406</v>
      </c>
      <c r="G125" s="8" t="s">
        <v>750</v>
      </c>
      <c r="H125" s="9">
        <v>19</v>
      </c>
      <c r="I125" s="8" t="s">
        <v>658</v>
      </c>
      <c r="J125" s="8" t="s">
        <v>898</v>
      </c>
      <c r="K125" s="8" t="s">
        <v>6</v>
      </c>
      <c r="L125" s="8" t="s">
        <v>17</v>
      </c>
      <c r="M125" s="10" t="s">
        <v>684</v>
      </c>
      <c r="N125" s="10" t="s">
        <v>717</v>
      </c>
      <c r="O125" s="10" t="s">
        <v>658</v>
      </c>
      <c r="P125" s="1"/>
      <c r="Q125" s="11" t="b">
        <f>O125=P125</f>
        <v>0</v>
      </c>
      <c r="R125" s="30">
        <v>30040801</v>
      </c>
      <c r="S125" s="1"/>
      <c r="T125" s="11" t="b">
        <f>R125=S125</f>
        <v>0</v>
      </c>
      <c r="U125" s="10" t="s">
        <v>6</v>
      </c>
      <c r="V125" s="1"/>
      <c r="W125" s="11" t="b">
        <f>U125=V125</f>
        <v>0</v>
      </c>
      <c r="X125" s="13" t="s">
        <v>15</v>
      </c>
      <c r="Y125" s="1"/>
      <c r="Z125" s="1"/>
      <c r="AA125" s="59">
        <v>22003022</v>
      </c>
      <c r="AB125" s="10" t="s">
        <v>1409</v>
      </c>
      <c r="AD125" s="11" t="b">
        <f>AB125=AC125</f>
        <v>0</v>
      </c>
      <c r="AE125" s="10" t="s">
        <v>750</v>
      </c>
      <c r="AF125" s="1"/>
      <c r="AG125" s="11" t="b">
        <f>AE125=AF125</f>
        <v>0</v>
      </c>
      <c r="AH125" s="1">
        <v>19</v>
      </c>
      <c r="AI125" s="1">
        <v>18.62</v>
      </c>
      <c r="AJ125" s="16">
        <f>AI125*220/30*30.4375</f>
        <v>4156.1391666666668</v>
      </c>
      <c r="AK125" s="18">
        <v>4156.1400000000003</v>
      </c>
      <c r="AL125" s="72" t="s">
        <v>657</v>
      </c>
      <c r="AM125" s="48" t="b">
        <f>AL125=O125</f>
        <v>0</v>
      </c>
      <c r="AN125" s="7">
        <f>VLOOKUP(A125,'base ZITRHR129'!$G$1:$H$628,2,0)</f>
        <v>30040801</v>
      </c>
      <c r="AO125" s="7" t="b">
        <f>AN125=R125</f>
        <v>1</v>
      </c>
      <c r="AP125" s="7">
        <f>VLOOKUP(A125,'base ZITRHR129'!G35:W661,17,0)</f>
        <v>4156.1400000000003</v>
      </c>
      <c r="AQ125" s="7" t="b">
        <f>AP125=AK125</f>
        <v>1</v>
      </c>
      <c r="AR125" s="69" t="s">
        <v>1517</v>
      </c>
    </row>
    <row r="126" spans="1:44" s="7" customFormat="1" ht="12" x14ac:dyDescent="0.2">
      <c r="A126" s="7">
        <v>10026709</v>
      </c>
      <c r="B126" s="8" t="s">
        <v>150</v>
      </c>
      <c r="C126" s="8" t="s">
        <v>679</v>
      </c>
      <c r="D126" s="8" t="s">
        <v>717</v>
      </c>
      <c r="E126" s="8" t="s">
        <v>720</v>
      </c>
      <c r="F126" s="8" t="s">
        <v>1406</v>
      </c>
      <c r="G126" s="8" t="s">
        <v>751</v>
      </c>
      <c r="H126" s="9">
        <v>18</v>
      </c>
      <c r="I126" s="8" t="s">
        <v>653</v>
      </c>
      <c r="J126" s="8" t="s">
        <v>899</v>
      </c>
      <c r="K126" s="8" t="s">
        <v>16</v>
      </c>
      <c r="L126" s="8" t="s">
        <v>17</v>
      </c>
      <c r="M126" s="10" t="s">
        <v>679</v>
      </c>
      <c r="N126" s="10" t="s">
        <v>717</v>
      </c>
      <c r="O126" s="10" t="s">
        <v>653</v>
      </c>
      <c r="P126" s="1"/>
      <c r="Q126" s="11" t="b">
        <f>O126=P126</f>
        <v>0</v>
      </c>
      <c r="R126" s="30">
        <v>30040802</v>
      </c>
      <c r="S126" s="1"/>
      <c r="T126" s="11" t="b">
        <f>R126=S126</f>
        <v>0</v>
      </c>
      <c r="U126" s="10" t="s">
        <v>16</v>
      </c>
      <c r="V126" s="1"/>
      <c r="W126" s="11" t="b">
        <f>U126=V126</f>
        <v>0</v>
      </c>
      <c r="X126" s="13" t="s">
        <v>15</v>
      </c>
      <c r="Y126" s="1"/>
      <c r="Z126" s="1"/>
      <c r="AA126" s="59">
        <v>22003015</v>
      </c>
      <c r="AB126" s="10" t="s">
        <v>1409</v>
      </c>
      <c r="AD126" s="11" t="b">
        <f>AB126=AC126</f>
        <v>0</v>
      </c>
      <c r="AE126" s="10" t="s">
        <v>751</v>
      </c>
      <c r="AF126" s="1"/>
      <c r="AG126" s="11" t="b">
        <f>AE126=AF126</f>
        <v>0</v>
      </c>
      <c r="AH126" s="1">
        <v>18</v>
      </c>
      <c r="AI126" s="1">
        <v>17.73</v>
      </c>
      <c r="AJ126" s="16">
        <f>AI126*220/30*30.4375</f>
        <v>3957.4837500000003</v>
      </c>
      <c r="AK126" s="18">
        <v>3957.48</v>
      </c>
      <c r="AL126" s="71" t="s">
        <v>653</v>
      </c>
      <c r="AM126" s="19" t="b">
        <f>AL126=O126</f>
        <v>1</v>
      </c>
      <c r="AN126" s="7">
        <f>VLOOKUP(A126,'base ZITRHR129'!$G$1:$H$628,2,0)</f>
        <v>30040802</v>
      </c>
      <c r="AO126" s="7" t="b">
        <f>AN126=R126</f>
        <v>1</v>
      </c>
      <c r="AP126" s="7">
        <f>VLOOKUP(A126,'base ZITRHR129'!G34:W660,17,0)</f>
        <v>3957.48</v>
      </c>
      <c r="AQ126" s="7" t="b">
        <f>AP126=AK126</f>
        <v>1</v>
      </c>
      <c r="AR126" s="69"/>
    </row>
    <row r="127" spans="1:44" s="7" customFormat="1" ht="12" x14ac:dyDescent="0.2">
      <c r="A127" s="7">
        <v>10026711</v>
      </c>
      <c r="B127" s="8" t="s">
        <v>151</v>
      </c>
      <c r="C127" s="8" t="s">
        <v>706</v>
      </c>
      <c r="D127" s="8" t="s">
        <v>717</v>
      </c>
      <c r="E127" s="8" t="s">
        <v>719</v>
      </c>
      <c r="F127" s="8" t="s">
        <v>1406</v>
      </c>
      <c r="G127" s="8" t="s">
        <v>20</v>
      </c>
      <c r="H127" s="9">
        <v>19</v>
      </c>
      <c r="I127" s="8" t="s">
        <v>660</v>
      </c>
      <c r="J127" s="8" t="s">
        <v>900</v>
      </c>
      <c r="K127" s="8" t="s">
        <v>16</v>
      </c>
      <c r="L127" s="8" t="s">
        <v>17</v>
      </c>
      <c r="M127" s="10" t="s">
        <v>706</v>
      </c>
      <c r="N127" s="10" t="s">
        <v>717</v>
      </c>
      <c r="O127" s="10" t="s">
        <v>660</v>
      </c>
      <c r="P127" s="1"/>
      <c r="Q127" s="11" t="b">
        <f>O127=P127</f>
        <v>0</v>
      </c>
      <c r="R127" s="30">
        <v>30040803</v>
      </c>
      <c r="S127" s="1"/>
      <c r="T127" s="11" t="b">
        <f>R127=S127</f>
        <v>0</v>
      </c>
      <c r="U127" s="10" t="s">
        <v>16</v>
      </c>
      <c r="V127" s="1"/>
      <c r="W127" s="11" t="b">
        <f>U127=V127</f>
        <v>0</v>
      </c>
      <c r="X127" s="13" t="s">
        <v>15</v>
      </c>
      <c r="Y127" s="1"/>
      <c r="Z127" s="1"/>
      <c r="AA127" s="10">
        <v>22002723</v>
      </c>
      <c r="AB127" s="10" t="s">
        <v>1409</v>
      </c>
      <c r="AD127" s="11" t="b">
        <f>AB127=AC127</f>
        <v>0</v>
      </c>
      <c r="AE127" s="10" t="s">
        <v>20</v>
      </c>
      <c r="AF127" s="1"/>
      <c r="AG127" s="11" t="b">
        <f>AE127=AF127</f>
        <v>0</v>
      </c>
      <c r="AH127" s="1">
        <v>19</v>
      </c>
      <c r="AI127" s="1">
        <v>13.39</v>
      </c>
      <c r="AJ127" s="16">
        <f>AI127*220/30*30.4375</f>
        <v>2988.7595833333335</v>
      </c>
      <c r="AK127" s="18">
        <v>2988.76</v>
      </c>
      <c r="AL127" s="71" t="s">
        <v>660</v>
      </c>
      <c r="AM127" s="19" t="b">
        <f>AL127=O127</f>
        <v>1</v>
      </c>
      <c r="AN127" s="7">
        <f>VLOOKUP(A127,'base ZITRHR129'!$G$1:$H$628,2,0)</f>
        <v>30040803</v>
      </c>
      <c r="AO127" s="7" t="b">
        <f>AN127=R127</f>
        <v>1</v>
      </c>
      <c r="AP127" s="7">
        <f>VLOOKUP(A127,'base ZITRHR129'!G33:W659,17,0)</f>
        <v>2988.76</v>
      </c>
      <c r="AQ127" s="7" t="b">
        <f>AP127=AK127</f>
        <v>1</v>
      </c>
      <c r="AR127" s="69"/>
    </row>
    <row r="128" spans="1:44" s="7" customFormat="1" ht="12" x14ac:dyDescent="0.2">
      <c r="A128" s="7">
        <v>10026716</v>
      </c>
      <c r="B128" s="8" t="s">
        <v>152</v>
      </c>
      <c r="C128" s="8" t="s">
        <v>695</v>
      </c>
      <c r="D128" s="8" t="s">
        <v>717</v>
      </c>
      <c r="E128" s="8" t="s">
        <v>724</v>
      </c>
      <c r="F128" s="8" t="s">
        <v>1406</v>
      </c>
      <c r="G128" s="8" t="s">
        <v>21</v>
      </c>
      <c r="H128" s="9">
        <v>16</v>
      </c>
      <c r="I128" s="8" t="s">
        <v>660</v>
      </c>
      <c r="J128" s="8" t="s">
        <v>901</v>
      </c>
      <c r="K128" s="8" t="s">
        <v>16</v>
      </c>
      <c r="L128" s="8" t="s">
        <v>17</v>
      </c>
      <c r="M128" s="10" t="s">
        <v>695</v>
      </c>
      <c r="N128" s="10" t="s">
        <v>717</v>
      </c>
      <c r="O128" s="10" t="s">
        <v>660</v>
      </c>
      <c r="P128" s="1"/>
      <c r="Q128" s="11" t="b">
        <f>O128=P128</f>
        <v>0</v>
      </c>
      <c r="R128" s="30">
        <v>30040804</v>
      </c>
      <c r="S128" s="1"/>
      <c r="T128" s="11" t="b">
        <f>R128=S128</f>
        <v>0</v>
      </c>
      <c r="U128" s="10" t="s">
        <v>16</v>
      </c>
      <c r="V128" s="1"/>
      <c r="W128" s="11" t="b">
        <f>U128=V128</f>
        <v>0</v>
      </c>
      <c r="X128" s="13" t="s">
        <v>15</v>
      </c>
      <c r="Y128" s="1"/>
      <c r="Z128" s="1"/>
      <c r="AA128" s="59">
        <v>22002616</v>
      </c>
      <c r="AB128" s="10" t="s">
        <v>1409</v>
      </c>
      <c r="AD128" s="11" t="b">
        <f>AB128=AC128</f>
        <v>0</v>
      </c>
      <c r="AE128" s="10" t="s">
        <v>21</v>
      </c>
      <c r="AF128" s="1"/>
      <c r="AG128" s="11" t="b">
        <f>AE128=AF128</f>
        <v>0</v>
      </c>
      <c r="AH128" s="1">
        <v>16</v>
      </c>
      <c r="AI128" s="1">
        <v>11.71</v>
      </c>
      <c r="AJ128" s="16">
        <f>AI128*220/30*30.4375</f>
        <v>2613.7695833333337</v>
      </c>
      <c r="AK128" s="18">
        <v>2613.77</v>
      </c>
      <c r="AL128" s="71" t="s">
        <v>660</v>
      </c>
      <c r="AM128" s="19" t="b">
        <f>AL128=O128</f>
        <v>1</v>
      </c>
      <c r="AN128" s="7">
        <f>VLOOKUP(A128,'base ZITRHR129'!$G$1:$H$628,2,0)</f>
        <v>30040804</v>
      </c>
      <c r="AO128" s="7" t="b">
        <f>AN128=R128</f>
        <v>1</v>
      </c>
      <c r="AP128" s="7">
        <f>VLOOKUP(A128,'base ZITRHR129'!G32:W658,17,0)</f>
        <v>2613.77</v>
      </c>
      <c r="AQ128" s="7" t="b">
        <f>AP128=AK128</f>
        <v>1</v>
      </c>
      <c r="AR128" s="69"/>
    </row>
    <row r="129" spans="1:44" s="7" customFormat="1" ht="12" x14ac:dyDescent="0.2">
      <c r="A129" s="7">
        <v>10026729</v>
      </c>
      <c r="B129" s="8" t="s">
        <v>153</v>
      </c>
      <c r="C129" s="8" t="s">
        <v>679</v>
      </c>
      <c r="D129" s="8" t="s">
        <v>717</v>
      </c>
      <c r="E129" s="8" t="s">
        <v>720</v>
      </c>
      <c r="F129" s="8" t="s">
        <v>1406</v>
      </c>
      <c r="G129" s="8" t="s">
        <v>751</v>
      </c>
      <c r="H129" s="9">
        <v>18</v>
      </c>
      <c r="I129" s="8" t="s">
        <v>653</v>
      </c>
      <c r="J129" s="8" t="s">
        <v>902</v>
      </c>
      <c r="K129" s="8" t="s">
        <v>16</v>
      </c>
      <c r="L129" s="8" t="s">
        <v>17</v>
      </c>
      <c r="M129" s="10" t="s">
        <v>679</v>
      </c>
      <c r="N129" s="10" t="s">
        <v>717</v>
      </c>
      <c r="O129" s="10" t="s">
        <v>653</v>
      </c>
      <c r="P129" s="1"/>
      <c r="Q129" s="11" t="b">
        <f>O129=P129</f>
        <v>0</v>
      </c>
      <c r="R129" s="30">
        <v>30040805</v>
      </c>
      <c r="S129" s="1"/>
      <c r="T129" s="11" t="b">
        <f>R129=S129</f>
        <v>0</v>
      </c>
      <c r="U129" s="10" t="s">
        <v>16</v>
      </c>
      <c r="V129" s="1"/>
      <c r="W129" s="11" t="b">
        <f>U129=V129</f>
        <v>0</v>
      </c>
      <c r="X129" s="13" t="s">
        <v>15</v>
      </c>
      <c r="Y129" s="1"/>
      <c r="Z129" s="1"/>
      <c r="AA129" s="59">
        <v>22003015</v>
      </c>
      <c r="AB129" s="10" t="s">
        <v>1409</v>
      </c>
      <c r="AD129" s="11" t="b">
        <f>AB129=AC129</f>
        <v>0</v>
      </c>
      <c r="AE129" s="10" t="s">
        <v>751</v>
      </c>
      <c r="AF129" s="1"/>
      <c r="AG129" s="11" t="b">
        <f>AE129=AF129</f>
        <v>0</v>
      </c>
      <c r="AH129" s="1">
        <v>18</v>
      </c>
      <c r="AI129" s="1">
        <v>17.73</v>
      </c>
      <c r="AJ129" s="16">
        <f>AI129*220/30*30.4375</f>
        <v>3957.4837500000003</v>
      </c>
      <c r="AK129" s="18">
        <v>3957.48</v>
      </c>
      <c r="AL129" s="71" t="s">
        <v>653</v>
      </c>
      <c r="AM129" s="19" t="b">
        <f>AL129=O129</f>
        <v>1</v>
      </c>
      <c r="AN129" s="7">
        <f>VLOOKUP(A129,'base ZITRHR129'!$G$1:$H$628,2,0)</f>
        <v>30040805</v>
      </c>
      <c r="AO129" s="7" t="b">
        <f>AN129=R129</f>
        <v>1</v>
      </c>
      <c r="AP129" s="7">
        <f>VLOOKUP(A129,'base ZITRHR129'!G31:W657,17,0)</f>
        <v>3957.48</v>
      </c>
      <c r="AQ129" s="7" t="b">
        <f>AP129=AK129</f>
        <v>1</v>
      </c>
      <c r="AR129" s="69"/>
    </row>
    <row r="130" spans="1:44" s="7" customFormat="1" ht="12" x14ac:dyDescent="0.2">
      <c r="A130" s="7">
        <v>10026730</v>
      </c>
      <c r="B130" s="8" t="s">
        <v>154</v>
      </c>
      <c r="C130" s="8" t="s">
        <v>684</v>
      </c>
      <c r="D130" s="8" t="s">
        <v>717</v>
      </c>
      <c r="E130" s="8" t="s">
        <v>720</v>
      </c>
      <c r="F130" s="8" t="s">
        <v>1406</v>
      </c>
      <c r="G130" s="8" t="s">
        <v>751</v>
      </c>
      <c r="H130" s="9">
        <v>18</v>
      </c>
      <c r="I130" s="8" t="s">
        <v>657</v>
      </c>
      <c r="J130" s="8" t="s">
        <v>903</v>
      </c>
      <c r="K130" s="8" t="s">
        <v>16</v>
      </c>
      <c r="L130" s="8" t="s">
        <v>17</v>
      </c>
      <c r="M130" s="10" t="s">
        <v>684</v>
      </c>
      <c r="N130" s="10" t="s">
        <v>717</v>
      </c>
      <c r="O130" s="10" t="s">
        <v>657</v>
      </c>
      <c r="P130" s="1"/>
      <c r="Q130" s="11" t="b">
        <f>O130=P130</f>
        <v>0</v>
      </c>
      <c r="R130" s="30">
        <v>30040806</v>
      </c>
      <c r="S130" s="1"/>
      <c r="T130" s="11" t="b">
        <f>R130=S130</f>
        <v>0</v>
      </c>
      <c r="U130" s="10" t="s">
        <v>16</v>
      </c>
      <c r="V130" s="1"/>
      <c r="W130" s="11" t="b">
        <f>U130=V130</f>
        <v>0</v>
      </c>
      <c r="X130" s="13" t="s">
        <v>15</v>
      </c>
      <c r="Y130" s="1"/>
      <c r="Z130" s="1"/>
      <c r="AA130" s="59">
        <v>22003015</v>
      </c>
      <c r="AB130" s="10" t="s">
        <v>1409</v>
      </c>
      <c r="AD130" s="11" t="b">
        <f>AB130=AC130</f>
        <v>0</v>
      </c>
      <c r="AE130" s="10" t="s">
        <v>751</v>
      </c>
      <c r="AF130" s="1"/>
      <c r="AG130" s="11" t="b">
        <f>AE130=AF130</f>
        <v>0</v>
      </c>
      <c r="AH130" s="1">
        <v>18</v>
      </c>
      <c r="AI130" s="1">
        <v>17.73</v>
      </c>
      <c r="AJ130" s="16">
        <f>AI130*220/30*30.4375</f>
        <v>3957.4837500000003</v>
      </c>
      <c r="AK130" s="18">
        <v>3957.48</v>
      </c>
      <c r="AL130" s="71" t="s">
        <v>657</v>
      </c>
      <c r="AM130" s="19" t="b">
        <f>AL130=O130</f>
        <v>1</v>
      </c>
      <c r="AN130" s="7">
        <f>VLOOKUP(A130,'base ZITRHR129'!$G$1:$H$628,2,0)</f>
        <v>30040806</v>
      </c>
      <c r="AO130" s="7" t="b">
        <f>AN130=R130</f>
        <v>1</v>
      </c>
      <c r="AP130" s="7">
        <f>VLOOKUP(A130,'base ZITRHR129'!G30:W656,17,0)</f>
        <v>3957.48</v>
      </c>
      <c r="AQ130" s="7" t="b">
        <f>AP130=AK130</f>
        <v>1</v>
      </c>
      <c r="AR130" s="69"/>
    </row>
    <row r="131" spans="1:44" s="7" customFormat="1" ht="12" x14ac:dyDescent="0.2">
      <c r="A131" s="7">
        <v>10026763</v>
      </c>
      <c r="B131" s="8" t="s">
        <v>155</v>
      </c>
      <c r="C131" s="8" t="s">
        <v>680</v>
      </c>
      <c r="D131" s="8" t="s">
        <v>717</v>
      </c>
      <c r="E131" s="8" t="s">
        <v>729</v>
      </c>
      <c r="F131" s="8" t="s">
        <v>1406</v>
      </c>
      <c r="G131" s="8" t="s">
        <v>758</v>
      </c>
      <c r="H131" s="9">
        <v>17</v>
      </c>
      <c r="I131" s="8" t="s">
        <v>654</v>
      </c>
      <c r="J131" s="8" t="s">
        <v>904</v>
      </c>
      <c r="K131" s="8" t="s">
        <v>16</v>
      </c>
      <c r="L131" s="8" t="s">
        <v>17</v>
      </c>
      <c r="M131" s="10" t="s">
        <v>680</v>
      </c>
      <c r="N131" s="10" t="s">
        <v>717</v>
      </c>
      <c r="O131" s="10" t="s">
        <v>654</v>
      </c>
      <c r="P131" s="1"/>
      <c r="Q131" s="11" t="b">
        <f>O131=P131</f>
        <v>0</v>
      </c>
      <c r="R131" s="30">
        <v>30040807</v>
      </c>
      <c r="S131" s="1"/>
      <c r="T131" s="11" t="b">
        <f>R131=S131</f>
        <v>0</v>
      </c>
      <c r="U131" s="10" t="s">
        <v>16</v>
      </c>
      <c r="V131" s="1"/>
      <c r="W131" s="11" t="b">
        <f>U131=V131</f>
        <v>0</v>
      </c>
      <c r="X131" s="13" t="s">
        <v>15</v>
      </c>
      <c r="Y131" s="1"/>
      <c r="Z131" s="1"/>
      <c r="AA131" s="10">
        <v>22002447</v>
      </c>
      <c r="AB131" s="10" t="s">
        <v>1409</v>
      </c>
      <c r="AD131" s="11" t="b">
        <f>AB131=AC131</f>
        <v>0</v>
      </c>
      <c r="AE131" s="10" t="s">
        <v>758</v>
      </c>
      <c r="AF131" s="1"/>
      <c r="AG131" s="11" t="b">
        <f>AE131=AF131</f>
        <v>0</v>
      </c>
      <c r="AH131" s="1">
        <v>17</v>
      </c>
      <c r="AI131" s="1">
        <v>14.48</v>
      </c>
      <c r="AJ131" s="16">
        <f>AI131*220/30*30.4375</f>
        <v>3232.0566666666668</v>
      </c>
      <c r="AK131" s="18">
        <v>3232.06</v>
      </c>
      <c r="AL131" s="71" t="s">
        <v>654</v>
      </c>
      <c r="AM131" s="19" t="b">
        <f>AL131=O131</f>
        <v>1</v>
      </c>
      <c r="AN131" s="7">
        <f>VLOOKUP(A131,'base ZITRHR129'!$G$1:$H$628,2,0)</f>
        <v>30040807</v>
      </c>
      <c r="AO131" s="7" t="b">
        <f>AN131=R131</f>
        <v>1</v>
      </c>
      <c r="AP131" s="7">
        <f>VLOOKUP(A131,'base ZITRHR129'!G29:W655,17,0)</f>
        <v>3232.06</v>
      </c>
      <c r="AQ131" s="7" t="b">
        <f>AP131=AK131</f>
        <v>1</v>
      </c>
      <c r="AR131" s="69"/>
    </row>
    <row r="132" spans="1:44" s="7" customFormat="1" ht="12" x14ac:dyDescent="0.2">
      <c r="A132" s="7">
        <v>10026764</v>
      </c>
      <c r="B132" s="8" t="s">
        <v>156</v>
      </c>
      <c r="C132" s="8" t="s">
        <v>681</v>
      </c>
      <c r="D132" s="8" t="s">
        <v>717</v>
      </c>
      <c r="E132" s="8" t="s">
        <v>720</v>
      </c>
      <c r="F132" s="8" t="s">
        <v>1406</v>
      </c>
      <c r="G132" s="8" t="s">
        <v>751</v>
      </c>
      <c r="H132" s="9">
        <v>18</v>
      </c>
      <c r="I132" s="8" t="s">
        <v>653</v>
      </c>
      <c r="J132" s="8" t="s">
        <v>905</v>
      </c>
      <c r="K132" s="8" t="s">
        <v>16</v>
      </c>
      <c r="L132" s="8" t="s">
        <v>17</v>
      </c>
      <c r="M132" s="10" t="s">
        <v>681</v>
      </c>
      <c r="N132" s="10" t="s">
        <v>717</v>
      </c>
      <c r="O132" s="10" t="s">
        <v>653</v>
      </c>
      <c r="P132" s="1"/>
      <c r="Q132" s="11" t="b">
        <f>O132=P132</f>
        <v>0</v>
      </c>
      <c r="R132" s="30">
        <v>30040808</v>
      </c>
      <c r="S132" s="1"/>
      <c r="T132" s="11" t="b">
        <f>R132=S132</f>
        <v>0</v>
      </c>
      <c r="U132" s="10" t="s">
        <v>16</v>
      </c>
      <c r="V132" s="1"/>
      <c r="W132" s="11" t="b">
        <f>U132=V132</f>
        <v>0</v>
      </c>
      <c r="X132" s="13" t="s">
        <v>15</v>
      </c>
      <c r="Y132" s="1"/>
      <c r="Z132" s="1"/>
      <c r="AA132" s="59">
        <v>22003015</v>
      </c>
      <c r="AB132" s="10" t="s">
        <v>1409</v>
      </c>
      <c r="AD132" s="11" t="b">
        <f>AB132=AC132</f>
        <v>0</v>
      </c>
      <c r="AE132" s="10" t="s">
        <v>751</v>
      </c>
      <c r="AF132" s="1"/>
      <c r="AG132" s="11" t="b">
        <f>AE132=AF132</f>
        <v>0</v>
      </c>
      <c r="AH132" s="1">
        <v>18</v>
      </c>
      <c r="AI132" s="1">
        <v>17.73</v>
      </c>
      <c r="AJ132" s="16">
        <f>AI132*220/30*30.4375</f>
        <v>3957.4837500000003</v>
      </c>
      <c r="AK132" s="18">
        <v>3957.48</v>
      </c>
      <c r="AL132" s="71" t="s">
        <v>653</v>
      </c>
      <c r="AM132" s="19" t="b">
        <f>AL132=O132</f>
        <v>1</v>
      </c>
      <c r="AN132" s="7">
        <f>VLOOKUP(A132,'base ZITRHR129'!$G$1:$H$628,2,0)</f>
        <v>30040808</v>
      </c>
      <c r="AO132" s="7" t="b">
        <f>AN132=R132</f>
        <v>1</v>
      </c>
      <c r="AP132" s="7">
        <f>VLOOKUP(A132,'base ZITRHR129'!G28:W654,17,0)</f>
        <v>3957.48</v>
      </c>
      <c r="AQ132" s="7" t="b">
        <f>AP132=AK132</f>
        <v>1</v>
      </c>
      <c r="AR132" s="69"/>
    </row>
    <row r="133" spans="1:44" s="7" customFormat="1" ht="12" x14ac:dyDescent="0.2">
      <c r="A133" s="7">
        <v>10027061</v>
      </c>
      <c r="B133" s="8" t="s">
        <v>157</v>
      </c>
      <c r="C133" s="8" t="s">
        <v>687</v>
      </c>
      <c r="D133" s="8" t="s">
        <v>717</v>
      </c>
      <c r="E133" s="8" t="s">
        <v>724</v>
      </c>
      <c r="F133" s="8" t="s">
        <v>1406</v>
      </c>
      <c r="G133" s="8" t="s">
        <v>21</v>
      </c>
      <c r="H133" s="9">
        <v>16</v>
      </c>
      <c r="I133" s="8" t="s">
        <v>660</v>
      </c>
      <c r="J133" s="8" t="s">
        <v>906</v>
      </c>
      <c r="K133" s="8" t="s">
        <v>16</v>
      </c>
      <c r="L133" s="8" t="s">
        <v>17</v>
      </c>
      <c r="M133" s="10" t="s">
        <v>687</v>
      </c>
      <c r="N133" s="10" t="s">
        <v>717</v>
      </c>
      <c r="O133" s="10" t="s">
        <v>660</v>
      </c>
      <c r="P133" s="1"/>
      <c r="Q133" s="11" t="b">
        <f>O133=P133</f>
        <v>0</v>
      </c>
      <c r="R133" s="30">
        <v>30040809</v>
      </c>
      <c r="S133" s="1"/>
      <c r="T133" s="11" t="b">
        <f>R133=S133</f>
        <v>0</v>
      </c>
      <c r="U133" s="10" t="s">
        <v>16</v>
      </c>
      <c r="V133" s="1"/>
      <c r="W133" s="11" t="b">
        <f>U133=V133</f>
        <v>0</v>
      </c>
      <c r="X133" s="13" t="s">
        <v>15</v>
      </c>
      <c r="Y133" s="1"/>
      <c r="Z133" s="1"/>
      <c r="AA133" s="10">
        <v>22002616</v>
      </c>
      <c r="AB133" s="10" t="s">
        <v>1409</v>
      </c>
      <c r="AD133" s="11" t="b">
        <f>AB133=AC133</f>
        <v>0</v>
      </c>
      <c r="AE133" s="10" t="s">
        <v>21</v>
      </c>
      <c r="AF133" s="1"/>
      <c r="AG133" s="11" t="b">
        <f>AE133=AF133</f>
        <v>0</v>
      </c>
      <c r="AH133" s="1">
        <v>16</v>
      </c>
      <c r="AI133" s="1">
        <v>11.71</v>
      </c>
      <c r="AJ133" s="16">
        <f>AI133*220/30*30.4375</f>
        <v>2613.7695833333337</v>
      </c>
      <c r="AK133" s="18">
        <v>2613.77</v>
      </c>
      <c r="AL133" s="71" t="s">
        <v>660</v>
      </c>
      <c r="AM133" s="19" t="b">
        <f>AL133=O133</f>
        <v>1</v>
      </c>
      <c r="AN133" s="7">
        <f>VLOOKUP(A133,'base ZITRHR129'!$G$1:$H$628,2,0)</f>
        <v>30040809</v>
      </c>
      <c r="AO133" s="7" t="b">
        <f>AN133=R133</f>
        <v>1</v>
      </c>
      <c r="AP133" s="7">
        <f>VLOOKUP(A133,'base ZITRHR129'!G27:W653,17,0)</f>
        <v>2613.77</v>
      </c>
      <c r="AQ133" s="7" t="b">
        <f>AP133=AK133</f>
        <v>1</v>
      </c>
      <c r="AR133" s="69"/>
    </row>
    <row r="134" spans="1:44" s="7" customFormat="1" ht="12" x14ac:dyDescent="0.2">
      <c r="A134" s="7">
        <v>10027066</v>
      </c>
      <c r="B134" s="8" t="s">
        <v>158</v>
      </c>
      <c r="C134" s="8" t="s">
        <v>706</v>
      </c>
      <c r="D134" s="8" t="s">
        <v>717</v>
      </c>
      <c r="E134" s="8" t="s">
        <v>724</v>
      </c>
      <c r="F134" s="8" t="s">
        <v>1406</v>
      </c>
      <c r="G134" s="8" t="s">
        <v>21</v>
      </c>
      <c r="H134" s="9">
        <v>16</v>
      </c>
      <c r="I134" s="8" t="s">
        <v>660</v>
      </c>
      <c r="J134" s="8" t="s">
        <v>907</v>
      </c>
      <c r="K134" s="8" t="s">
        <v>16</v>
      </c>
      <c r="L134" s="8" t="s">
        <v>17</v>
      </c>
      <c r="M134" s="10" t="s">
        <v>706</v>
      </c>
      <c r="N134" s="10" t="s">
        <v>717</v>
      </c>
      <c r="O134" s="10" t="s">
        <v>660</v>
      </c>
      <c r="P134" s="1"/>
      <c r="Q134" s="11" t="b">
        <f>O134=P134</f>
        <v>0</v>
      </c>
      <c r="R134" s="30">
        <v>30040810</v>
      </c>
      <c r="S134" s="1"/>
      <c r="T134" s="11" t="b">
        <f>R134=S134</f>
        <v>0</v>
      </c>
      <c r="U134" s="10" t="s">
        <v>16</v>
      </c>
      <c r="V134" s="1"/>
      <c r="W134" s="11" t="b">
        <f>U134=V134</f>
        <v>0</v>
      </c>
      <c r="X134" s="13" t="s">
        <v>15</v>
      </c>
      <c r="Y134" s="1"/>
      <c r="Z134" s="1"/>
      <c r="AA134" s="10">
        <v>22002616</v>
      </c>
      <c r="AB134" s="10" t="s">
        <v>1409</v>
      </c>
      <c r="AD134" s="11" t="b">
        <f>AB134=AC134</f>
        <v>0</v>
      </c>
      <c r="AE134" s="10" t="s">
        <v>21</v>
      </c>
      <c r="AF134" s="1"/>
      <c r="AG134" s="11" t="b">
        <f>AE134=AF134</f>
        <v>0</v>
      </c>
      <c r="AH134" s="1">
        <v>16</v>
      </c>
      <c r="AI134" s="1">
        <v>11.71</v>
      </c>
      <c r="AJ134" s="16">
        <f>AI134*220/30*30.4375</f>
        <v>2613.7695833333337</v>
      </c>
      <c r="AK134" s="18">
        <v>2613.77</v>
      </c>
      <c r="AL134" s="71" t="s">
        <v>660</v>
      </c>
      <c r="AM134" s="19" t="b">
        <f>AL134=O134</f>
        <v>1</v>
      </c>
      <c r="AN134" s="7">
        <f>VLOOKUP(A134,'base ZITRHR129'!$G$1:$H$628,2,0)</f>
        <v>30040810</v>
      </c>
      <c r="AO134" s="7" t="b">
        <f>AN134=R134</f>
        <v>1</v>
      </c>
      <c r="AP134" s="7">
        <f>VLOOKUP(A134,'base ZITRHR129'!G26:W652,17,0)</f>
        <v>2613.77</v>
      </c>
      <c r="AQ134" s="7" t="b">
        <f>AP134=AK134</f>
        <v>1</v>
      </c>
      <c r="AR134" s="69"/>
    </row>
    <row r="135" spans="1:44" s="7" customFormat="1" ht="12" x14ac:dyDescent="0.2">
      <c r="A135" s="7">
        <v>10027300</v>
      </c>
      <c r="B135" s="8" t="s">
        <v>159</v>
      </c>
      <c r="C135" s="8" t="s">
        <v>701</v>
      </c>
      <c r="D135" s="8" t="s">
        <v>717</v>
      </c>
      <c r="E135" s="8" t="s">
        <v>720</v>
      </c>
      <c r="F135" s="8" t="s">
        <v>1406</v>
      </c>
      <c r="G135" s="8" t="s">
        <v>751</v>
      </c>
      <c r="H135" s="9">
        <v>18</v>
      </c>
      <c r="I135" s="8" t="s">
        <v>668</v>
      </c>
      <c r="J135" s="8" t="s">
        <v>908</v>
      </c>
      <c r="K135" s="8" t="s">
        <v>16</v>
      </c>
      <c r="L135" s="8" t="s">
        <v>17</v>
      </c>
      <c r="M135" s="10" t="s">
        <v>701</v>
      </c>
      <c r="N135" s="10" t="s">
        <v>717</v>
      </c>
      <c r="O135" s="10" t="s">
        <v>668</v>
      </c>
      <c r="P135" s="1"/>
      <c r="Q135" s="11" t="b">
        <f>O135=P135</f>
        <v>0</v>
      </c>
      <c r="R135" s="30">
        <v>30040811</v>
      </c>
      <c r="S135" s="1"/>
      <c r="T135" s="11" t="b">
        <f>R135=S135</f>
        <v>0</v>
      </c>
      <c r="U135" s="10" t="s">
        <v>16</v>
      </c>
      <c r="V135" s="1"/>
      <c r="W135" s="11" t="b">
        <f>U135=V135</f>
        <v>0</v>
      </c>
      <c r="X135" s="13" t="s">
        <v>15</v>
      </c>
      <c r="Y135" s="1"/>
      <c r="Z135" s="1"/>
      <c r="AA135" s="10">
        <v>22003015</v>
      </c>
      <c r="AB135" s="10" t="s">
        <v>1409</v>
      </c>
      <c r="AD135" s="11" t="b">
        <f>AB135=AC135</f>
        <v>0</v>
      </c>
      <c r="AE135" s="10" t="s">
        <v>751</v>
      </c>
      <c r="AF135" s="1"/>
      <c r="AG135" s="11" t="b">
        <f>AE135=AF135</f>
        <v>0</v>
      </c>
      <c r="AH135" s="1">
        <v>18</v>
      </c>
      <c r="AI135" s="1">
        <v>17.73</v>
      </c>
      <c r="AJ135" s="16">
        <f>AI135*220/30*30.4375</f>
        <v>3957.4837500000003</v>
      </c>
      <c r="AK135" s="18">
        <v>3957.48</v>
      </c>
      <c r="AL135" s="71" t="s">
        <v>668</v>
      </c>
      <c r="AM135" s="19" t="b">
        <f>AL135=O135</f>
        <v>1</v>
      </c>
      <c r="AN135" s="7">
        <f>VLOOKUP(A135,'base ZITRHR129'!$G$1:$H$628,2,0)</f>
        <v>30040811</v>
      </c>
      <c r="AO135" s="7" t="b">
        <f>AN135=R135</f>
        <v>1</v>
      </c>
      <c r="AP135" s="7">
        <f>VLOOKUP(A135,'base ZITRHR129'!G25:W651,17,0)</f>
        <v>3957.48</v>
      </c>
      <c r="AQ135" s="7" t="b">
        <f>AP135=AK135</f>
        <v>1</v>
      </c>
      <c r="AR135" s="69"/>
    </row>
    <row r="136" spans="1:44" s="7" customFormat="1" ht="12" x14ac:dyDescent="0.2">
      <c r="A136" s="7">
        <v>10027398</v>
      </c>
      <c r="B136" s="8" t="s">
        <v>160</v>
      </c>
      <c r="C136" s="8" t="s">
        <v>695</v>
      </c>
      <c r="D136" s="8" t="s">
        <v>717</v>
      </c>
      <c r="E136" s="8" t="s">
        <v>724</v>
      </c>
      <c r="F136" s="8" t="s">
        <v>1406</v>
      </c>
      <c r="G136" s="8" t="s">
        <v>21</v>
      </c>
      <c r="H136" s="9">
        <v>16</v>
      </c>
      <c r="I136" s="8" t="s">
        <v>660</v>
      </c>
      <c r="J136" s="8" t="s">
        <v>909</v>
      </c>
      <c r="K136" s="8" t="s">
        <v>16</v>
      </c>
      <c r="L136" s="8" t="s">
        <v>17</v>
      </c>
      <c r="M136" s="10" t="s">
        <v>695</v>
      </c>
      <c r="N136" s="10" t="s">
        <v>717</v>
      </c>
      <c r="O136" s="10" t="s">
        <v>660</v>
      </c>
      <c r="P136" s="1"/>
      <c r="Q136" s="11" t="b">
        <f>O136=P136</f>
        <v>0</v>
      </c>
      <c r="R136" s="30">
        <v>30040812</v>
      </c>
      <c r="S136" s="1"/>
      <c r="T136" s="11" t="b">
        <f>R136=S136</f>
        <v>0</v>
      </c>
      <c r="U136" s="10" t="s">
        <v>16</v>
      </c>
      <c r="V136" s="1"/>
      <c r="W136" s="11" t="b">
        <f>U136=V136</f>
        <v>0</v>
      </c>
      <c r="X136" s="13" t="s">
        <v>15</v>
      </c>
      <c r="Y136" s="1"/>
      <c r="Z136" s="1"/>
      <c r="AA136" s="59">
        <v>22002616</v>
      </c>
      <c r="AB136" s="10" t="s">
        <v>1409</v>
      </c>
      <c r="AD136" s="11" t="b">
        <f>AB136=AC136</f>
        <v>0</v>
      </c>
      <c r="AE136" s="10" t="s">
        <v>21</v>
      </c>
      <c r="AF136" s="1"/>
      <c r="AG136" s="11" t="b">
        <f>AE136=AF136</f>
        <v>0</v>
      </c>
      <c r="AH136" s="1">
        <v>16</v>
      </c>
      <c r="AI136" s="1">
        <v>11.71</v>
      </c>
      <c r="AJ136" s="16">
        <f>AI136*220/30*30.4375</f>
        <v>2613.7695833333337</v>
      </c>
      <c r="AK136" s="18">
        <v>2613.77</v>
      </c>
      <c r="AL136" s="71" t="s">
        <v>660</v>
      </c>
      <c r="AM136" s="19" t="b">
        <f>AL136=O136</f>
        <v>1</v>
      </c>
      <c r="AN136" s="7">
        <f>VLOOKUP(A136,'base ZITRHR129'!$G$1:$H$628,2,0)</f>
        <v>30040812</v>
      </c>
      <c r="AO136" s="7" t="b">
        <f>AN136=R136</f>
        <v>1</v>
      </c>
      <c r="AP136" s="7">
        <f>VLOOKUP(A136,'base ZITRHR129'!G24:W650,17,0)</f>
        <v>2613.77</v>
      </c>
      <c r="AQ136" s="7" t="b">
        <f>AP136=AK136</f>
        <v>1</v>
      </c>
      <c r="AR136" s="69"/>
    </row>
    <row r="137" spans="1:44" s="7" customFormat="1" ht="12" x14ac:dyDescent="0.2">
      <c r="A137" s="7">
        <v>10027463</v>
      </c>
      <c r="B137" s="8" t="s">
        <v>161</v>
      </c>
      <c r="C137" s="8" t="s">
        <v>702</v>
      </c>
      <c r="D137" s="8" t="s">
        <v>717</v>
      </c>
      <c r="E137" s="8" t="s">
        <v>720</v>
      </c>
      <c r="F137" s="8" t="s">
        <v>1406</v>
      </c>
      <c r="G137" s="8" t="s">
        <v>751</v>
      </c>
      <c r="H137" s="9">
        <v>18</v>
      </c>
      <c r="I137" s="8" t="s">
        <v>668</v>
      </c>
      <c r="J137" s="8" t="s">
        <v>910</v>
      </c>
      <c r="K137" s="8" t="s">
        <v>16</v>
      </c>
      <c r="L137" s="8" t="s">
        <v>17</v>
      </c>
      <c r="M137" s="10" t="s">
        <v>702</v>
      </c>
      <c r="N137" s="10" t="s">
        <v>717</v>
      </c>
      <c r="O137" s="10" t="s">
        <v>668</v>
      </c>
      <c r="P137" s="1"/>
      <c r="Q137" s="11" t="b">
        <f>O137=P137</f>
        <v>0</v>
      </c>
      <c r="R137" s="30">
        <v>30040813</v>
      </c>
      <c r="S137" s="1"/>
      <c r="T137" s="11" t="b">
        <f>R137=S137</f>
        <v>0</v>
      </c>
      <c r="U137" s="10" t="s">
        <v>16</v>
      </c>
      <c r="V137" s="1"/>
      <c r="W137" s="11" t="b">
        <f>U137=V137</f>
        <v>0</v>
      </c>
      <c r="X137" s="13" t="s">
        <v>15</v>
      </c>
      <c r="Y137" s="1"/>
      <c r="Z137" s="1"/>
      <c r="AA137" s="10">
        <v>22003015</v>
      </c>
      <c r="AB137" s="10" t="s">
        <v>1409</v>
      </c>
      <c r="AD137" s="11" t="b">
        <f>AB137=AC137</f>
        <v>0</v>
      </c>
      <c r="AE137" s="10" t="s">
        <v>751</v>
      </c>
      <c r="AF137" s="1"/>
      <c r="AG137" s="11" t="b">
        <f>AE137=AF137</f>
        <v>0</v>
      </c>
      <c r="AH137" s="1">
        <v>18</v>
      </c>
      <c r="AI137" s="1">
        <v>17.73</v>
      </c>
      <c r="AJ137" s="16">
        <f>AI137*220/30*30.4375</f>
        <v>3957.4837500000003</v>
      </c>
      <c r="AK137" s="18">
        <v>3957.48</v>
      </c>
      <c r="AL137" s="71" t="s">
        <v>668</v>
      </c>
      <c r="AM137" s="19" t="b">
        <f>AL137=O137</f>
        <v>1</v>
      </c>
      <c r="AN137" s="7">
        <f>VLOOKUP(A137,'base ZITRHR129'!$G$1:$H$628,2,0)</f>
        <v>30040813</v>
      </c>
      <c r="AO137" s="7" t="b">
        <f>AN137=R137</f>
        <v>1</v>
      </c>
      <c r="AP137" s="7">
        <f>VLOOKUP(A137,'base ZITRHR129'!G23:W649,17,0)</f>
        <v>3957.48</v>
      </c>
      <c r="AQ137" s="7" t="b">
        <f>AP137=AK137</f>
        <v>1</v>
      </c>
      <c r="AR137" s="69"/>
    </row>
    <row r="138" spans="1:44" s="7" customFormat="1" ht="12" x14ac:dyDescent="0.2">
      <c r="A138" s="7">
        <v>10027533</v>
      </c>
      <c r="B138" s="8" t="s">
        <v>162</v>
      </c>
      <c r="C138" s="8" t="s">
        <v>679</v>
      </c>
      <c r="D138" s="8" t="s">
        <v>717</v>
      </c>
      <c r="E138" s="8" t="s">
        <v>720</v>
      </c>
      <c r="F138" s="8" t="s">
        <v>1406</v>
      </c>
      <c r="G138" s="8" t="s">
        <v>751</v>
      </c>
      <c r="H138" s="9">
        <v>18</v>
      </c>
      <c r="I138" s="8" t="s">
        <v>653</v>
      </c>
      <c r="J138" s="8" t="s">
        <v>911</v>
      </c>
      <c r="K138" s="8" t="s">
        <v>16</v>
      </c>
      <c r="L138" s="8" t="s">
        <v>17</v>
      </c>
      <c r="M138" s="10" t="s">
        <v>679</v>
      </c>
      <c r="N138" s="10" t="s">
        <v>717</v>
      </c>
      <c r="O138" s="10" t="s">
        <v>653</v>
      </c>
      <c r="P138" s="1"/>
      <c r="Q138" s="11" t="b">
        <f>O138=P138</f>
        <v>0</v>
      </c>
      <c r="R138" s="30">
        <v>30040814</v>
      </c>
      <c r="S138" s="1"/>
      <c r="T138" s="11" t="b">
        <f>R138=S138</f>
        <v>0</v>
      </c>
      <c r="U138" s="10" t="s">
        <v>16</v>
      </c>
      <c r="V138" s="1"/>
      <c r="W138" s="11" t="b">
        <f>U138=V138</f>
        <v>0</v>
      </c>
      <c r="X138" s="13" t="s">
        <v>15</v>
      </c>
      <c r="Y138" s="1"/>
      <c r="Z138" s="1"/>
      <c r="AA138" s="10">
        <v>22003015</v>
      </c>
      <c r="AB138" s="10" t="s">
        <v>1409</v>
      </c>
      <c r="AD138" s="11" t="b">
        <f>AB138=AC138</f>
        <v>0</v>
      </c>
      <c r="AE138" s="10" t="s">
        <v>751</v>
      </c>
      <c r="AF138" s="1"/>
      <c r="AG138" s="11" t="b">
        <f>AE138=AF138</f>
        <v>0</v>
      </c>
      <c r="AH138" s="1">
        <v>18</v>
      </c>
      <c r="AI138" s="1">
        <v>17.73</v>
      </c>
      <c r="AJ138" s="16">
        <f>AI138*220/30*30.4375</f>
        <v>3957.4837500000003</v>
      </c>
      <c r="AK138" s="18">
        <v>3957.48</v>
      </c>
      <c r="AL138" s="71" t="s">
        <v>653</v>
      </c>
      <c r="AM138" s="19" t="b">
        <f>AL138=O138</f>
        <v>1</v>
      </c>
      <c r="AN138" s="7">
        <f>VLOOKUP(A138,'base ZITRHR129'!$G$1:$H$628,2,0)</f>
        <v>30040814</v>
      </c>
      <c r="AO138" s="7" t="b">
        <f>AN138=R138</f>
        <v>1</v>
      </c>
      <c r="AP138" s="7">
        <f>VLOOKUP(A138,'base ZITRHR129'!G22:W648,17,0)</f>
        <v>3957.48</v>
      </c>
      <c r="AQ138" s="7" t="b">
        <f>AP138=AK138</f>
        <v>1</v>
      </c>
      <c r="AR138" s="69"/>
    </row>
    <row r="139" spans="1:44" s="7" customFormat="1" ht="12" x14ac:dyDescent="0.2">
      <c r="A139" s="7">
        <v>10027587</v>
      </c>
      <c r="B139" s="8" t="s">
        <v>163</v>
      </c>
      <c r="C139" s="8" t="s">
        <v>706</v>
      </c>
      <c r="D139" s="8" t="s">
        <v>717</v>
      </c>
      <c r="E139" s="8" t="s">
        <v>724</v>
      </c>
      <c r="F139" s="8" t="s">
        <v>1406</v>
      </c>
      <c r="G139" s="8" t="s">
        <v>21</v>
      </c>
      <c r="H139" s="9">
        <v>16</v>
      </c>
      <c r="I139" s="8" t="s">
        <v>660</v>
      </c>
      <c r="J139" s="8" t="s">
        <v>912</v>
      </c>
      <c r="K139" s="8" t="s">
        <v>16</v>
      </c>
      <c r="L139" s="8" t="s">
        <v>17</v>
      </c>
      <c r="M139" s="10" t="s">
        <v>706</v>
      </c>
      <c r="N139" s="10" t="s">
        <v>717</v>
      </c>
      <c r="O139" s="10" t="s">
        <v>660</v>
      </c>
      <c r="P139" s="1"/>
      <c r="Q139" s="11" t="b">
        <f>O139=P139</f>
        <v>0</v>
      </c>
      <c r="R139" s="30">
        <v>30040815</v>
      </c>
      <c r="S139" s="1"/>
      <c r="T139" s="11" t="b">
        <f>R139=S139</f>
        <v>0</v>
      </c>
      <c r="U139" s="10" t="s">
        <v>16</v>
      </c>
      <c r="V139" s="1"/>
      <c r="W139" s="11" t="b">
        <f>U139=V139</f>
        <v>0</v>
      </c>
      <c r="X139" s="13" t="s">
        <v>15</v>
      </c>
      <c r="Y139" s="1"/>
      <c r="Z139" s="1"/>
      <c r="AA139" s="10">
        <v>22002616</v>
      </c>
      <c r="AB139" s="10" t="s">
        <v>1409</v>
      </c>
      <c r="AD139" s="11" t="b">
        <f>AB139=AC139</f>
        <v>0</v>
      </c>
      <c r="AE139" s="10" t="s">
        <v>21</v>
      </c>
      <c r="AF139" s="1"/>
      <c r="AG139" s="11" t="b">
        <f>AE139=AF139</f>
        <v>0</v>
      </c>
      <c r="AH139" s="1">
        <v>16</v>
      </c>
      <c r="AI139" s="1">
        <v>11.71</v>
      </c>
      <c r="AJ139" s="16">
        <f>AI139*220/30*30.4375</f>
        <v>2613.7695833333337</v>
      </c>
      <c r="AK139" s="18">
        <v>2613.77</v>
      </c>
      <c r="AL139" s="71" t="s">
        <v>660</v>
      </c>
      <c r="AM139" s="19" t="b">
        <f>AL139=O139</f>
        <v>1</v>
      </c>
      <c r="AN139" s="7">
        <f>VLOOKUP(A139,'base ZITRHR129'!$G$1:$H$628,2,0)</f>
        <v>30040815</v>
      </c>
      <c r="AO139" s="7" t="b">
        <f>AN139=R139</f>
        <v>1</v>
      </c>
      <c r="AP139" s="7">
        <f>VLOOKUP(A139,'base ZITRHR129'!G21:W647,17,0)</f>
        <v>2613.77</v>
      </c>
      <c r="AQ139" s="7" t="b">
        <f>AP139=AK139</f>
        <v>1</v>
      </c>
      <c r="AR139" s="69"/>
    </row>
    <row r="140" spans="1:44" s="20" customFormat="1" ht="12" x14ac:dyDescent="0.2">
      <c r="A140" s="7">
        <v>10027633</v>
      </c>
      <c r="B140" s="8" t="s">
        <v>164</v>
      </c>
      <c r="C140" s="8" t="s">
        <v>702</v>
      </c>
      <c r="D140" s="8" t="s">
        <v>717</v>
      </c>
      <c r="E140" s="8" t="s">
        <v>720</v>
      </c>
      <c r="F140" s="8" t="s">
        <v>1406</v>
      </c>
      <c r="G140" s="8" t="s">
        <v>751</v>
      </c>
      <c r="H140" s="9">
        <v>18</v>
      </c>
      <c r="I140" s="8" t="s">
        <v>668</v>
      </c>
      <c r="J140" s="8" t="s">
        <v>913</v>
      </c>
      <c r="K140" s="8" t="s">
        <v>16</v>
      </c>
      <c r="L140" s="8" t="s">
        <v>17</v>
      </c>
      <c r="M140" s="10" t="s">
        <v>702</v>
      </c>
      <c r="N140" s="10" t="s">
        <v>717</v>
      </c>
      <c r="O140" s="10" t="s">
        <v>668</v>
      </c>
      <c r="P140" s="1"/>
      <c r="Q140" s="11" t="b">
        <f>O140=P140</f>
        <v>0</v>
      </c>
      <c r="R140" s="30">
        <v>30040816</v>
      </c>
      <c r="S140" s="1"/>
      <c r="T140" s="11" t="b">
        <f>R140=S140</f>
        <v>0</v>
      </c>
      <c r="U140" s="10" t="s">
        <v>16</v>
      </c>
      <c r="V140" s="1"/>
      <c r="W140" s="11" t="b">
        <f>U140=V140</f>
        <v>0</v>
      </c>
      <c r="X140" s="13" t="s">
        <v>15</v>
      </c>
      <c r="Y140" s="1"/>
      <c r="Z140" s="1"/>
      <c r="AA140" s="59">
        <v>22003015</v>
      </c>
      <c r="AB140" s="10" t="s">
        <v>1409</v>
      </c>
      <c r="AC140" s="7"/>
      <c r="AD140" s="11" t="b">
        <f>AB140=AC140</f>
        <v>0</v>
      </c>
      <c r="AE140" s="10" t="s">
        <v>751</v>
      </c>
      <c r="AF140" s="1"/>
      <c r="AG140" s="11" t="b">
        <f>AE140=AF140</f>
        <v>0</v>
      </c>
      <c r="AH140" s="1">
        <v>18</v>
      </c>
      <c r="AI140" s="1">
        <v>17.73</v>
      </c>
      <c r="AJ140" s="16">
        <f>AI140*220/30*30.4375</f>
        <v>3957.4837500000003</v>
      </c>
      <c r="AK140" s="18">
        <v>3957.48</v>
      </c>
      <c r="AL140" s="71" t="s">
        <v>668</v>
      </c>
      <c r="AM140" s="19" t="b">
        <f>AL140=O140</f>
        <v>1</v>
      </c>
      <c r="AN140" s="7">
        <f>VLOOKUP(A140,'base ZITRHR129'!$G$1:$H$628,2,0)</f>
        <v>30040816</v>
      </c>
      <c r="AO140" s="7" t="b">
        <f>AN140=R140</f>
        <v>1</v>
      </c>
      <c r="AP140" s="7">
        <f>VLOOKUP(A140,'base ZITRHR129'!G20:W646,17,0)</f>
        <v>3957.48</v>
      </c>
      <c r="AQ140" s="7" t="b">
        <f>AP140=AK140</f>
        <v>1</v>
      </c>
      <c r="AR140" s="69"/>
    </row>
    <row r="141" spans="1:44" s="7" customFormat="1" ht="12" x14ac:dyDescent="0.2">
      <c r="A141" s="7">
        <v>10027720</v>
      </c>
      <c r="B141" s="8" t="s">
        <v>165</v>
      </c>
      <c r="C141" s="8" t="s">
        <v>696</v>
      </c>
      <c r="D141" s="8" t="s">
        <v>717</v>
      </c>
      <c r="E141" s="8" t="s">
        <v>731</v>
      </c>
      <c r="F141" s="8" t="s">
        <v>1406</v>
      </c>
      <c r="G141" s="8" t="s">
        <v>760</v>
      </c>
      <c r="H141" s="9">
        <v>19</v>
      </c>
      <c r="I141" s="8" t="s">
        <v>658</v>
      </c>
      <c r="J141" s="8" t="s">
        <v>914</v>
      </c>
      <c r="K141" s="8" t="s">
        <v>6</v>
      </c>
      <c r="L141" s="8" t="s">
        <v>17</v>
      </c>
      <c r="M141" s="10" t="s">
        <v>696</v>
      </c>
      <c r="N141" s="10" t="s">
        <v>717</v>
      </c>
      <c r="O141" s="10" t="s">
        <v>658</v>
      </c>
      <c r="P141" s="1"/>
      <c r="Q141" s="11" t="b">
        <f>O141=P141</f>
        <v>0</v>
      </c>
      <c r="R141" s="30">
        <v>30040817</v>
      </c>
      <c r="S141" s="1"/>
      <c r="T141" s="11" t="b">
        <f>R141=S141</f>
        <v>0</v>
      </c>
      <c r="U141" s="10" t="s">
        <v>6</v>
      </c>
      <c r="V141" s="1"/>
      <c r="W141" s="11" t="b">
        <f>U141=V141</f>
        <v>0</v>
      </c>
      <c r="X141" s="13" t="s">
        <v>15</v>
      </c>
      <c r="Y141" s="1"/>
      <c r="Z141" s="1"/>
      <c r="AA141" s="59">
        <v>22002451</v>
      </c>
      <c r="AB141" s="10" t="s">
        <v>1409</v>
      </c>
      <c r="AD141" s="11" t="b">
        <f>AB141=AC141</f>
        <v>0</v>
      </c>
      <c r="AE141" s="10" t="s">
        <v>760</v>
      </c>
      <c r="AF141" s="1"/>
      <c r="AG141" s="11" t="b">
        <f>AE141=AF141</f>
        <v>0</v>
      </c>
      <c r="AH141" s="1">
        <v>19</v>
      </c>
      <c r="AI141" s="1">
        <v>18.62</v>
      </c>
      <c r="AJ141" s="16">
        <f>AI141*220/30*30.4375</f>
        <v>4156.1391666666668</v>
      </c>
      <c r="AK141" s="18">
        <v>4156.1400000000003</v>
      </c>
      <c r="AL141" s="72" t="s">
        <v>676</v>
      </c>
      <c r="AM141" s="48" t="b">
        <f>AL141=O141</f>
        <v>0</v>
      </c>
      <c r="AN141" s="7">
        <f>VLOOKUP(A141,'base ZITRHR129'!$G$1:$H$628,2,0)</f>
        <v>30040817</v>
      </c>
      <c r="AO141" s="7" t="b">
        <f>AN141=R141</f>
        <v>1</v>
      </c>
      <c r="AP141" s="7">
        <f>VLOOKUP(A141,'base ZITRHR129'!G19:W645,17,0)</f>
        <v>4156.1400000000003</v>
      </c>
      <c r="AQ141" s="7" t="b">
        <f>AP141=AK141</f>
        <v>1</v>
      </c>
      <c r="AR141" s="69" t="s">
        <v>1517</v>
      </c>
    </row>
    <row r="142" spans="1:44" s="7" customFormat="1" ht="12" x14ac:dyDescent="0.2">
      <c r="A142" s="7">
        <v>10027724</v>
      </c>
      <c r="B142" s="8" t="s">
        <v>166</v>
      </c>
      <c r="C142" s="8" t="s">
        <v>705</v>
      </c>
      <c r="D142" s="8" t="s">
        <v>717</v>
      </c>
      <c r="E142" s="8" t="s">
        <v>734</v>
      </c>
      <c r="F142" s="8" t="s">
        <v>1406</v>
      </c>
      <c r="G142" s="8" t="s">
        <v>761</v>
      </c>
      <c r="H142" s="9">
        <v>15</v>
      </c>
      <c r="I142" s="8" t="s">
        <v>670</v>
      </c>
      <c r="J142" s="8" t="s">
        <v>915</v>
      </c>
      <c r="K142" s="8" t="s">
        <v>16</v>
      </c>
      <c r="L142" s="8" t="s">
        <v>17</v>
      </c>
      <c r="M142" s="10" t="s">
        <v>705</v>
      </c>
      <c r="N142" s="10" t="s">
        <v>717</v>
      </c>
      <c r="O142" s="10" t="s">
        <v>670</v>
      </c>
      <c r="P142" s="1"/>
      <c r="Q142" s="11" t="b">
        <f>O142=P142</f>
        <v>0</v>
      </c>
      <c r="R142" s="12">
        <v>30041345</v>
      </c>
      <c r="S142" s="1"/>
      <c r="T142" s="11" t="b">
        <f>R142=S142</f>
        <v>0</v>
      </c>
      <c r="U142" s="10" t="s">
        <v>16</v>
      </c>
      <c r="V142" s="1"/>
      <c r="W142" s="11" t="b">
        <f>U142=V142</f>
        <v>0</v>
      </c>
      <c r="X142" s="13" t="s">
        <v>15</v>
      </c>
      <c r="Y142" s="1"/>
      <c r="Z142" s="1"/>
      <c r="AA142" s="61">
        <v>22002860</v>
      </c>
      <c r="AB142" s="10" t="s">
        <v>1409</v>
      </c>
      <c r="AD142" s="11" t="b">
        <f>AB142=AC142</f>
        <v>0</v>
      </c>
      <c r="AE142" s="10" t="s">
        <v>761</v>
      </c>
      <c r="AF142" s="1"/>
      <c r="AG142" s="11" t="b">
        <f>AE142=AF142</f>
        <v>0</v>
      </c>
      <c r="AH142" s="1">
        <v>15</v>
      </c>
      <c r="AI142" s="1">
        <v>11.43</v>
      </c>
      <c r="AJ142" s="16">
        <f>AI142*220/30*30.4375</f>
        <v>2551.2712499999998</v>
      </c>
      <c r="AK142" s="18">
        <v>2551.27</v>
      </c>
      <c r="AL142" s="71" t="s">
        <v>670</v>
      </c>
      <c r="AM142" s="19" t="b">
        <f>AL142=O142</f>
        <v>1</v>
      </c>
      <c r="AN142" s="7">
        <f>VLOOKUP(A142,'base ZITRHR129'!$G$1:$H$628,2,0)</f>
        <v>30041345</v>
      </c>
      <c r="AO142" s="7" t="b">
        <f>AN142=R142</f>
        <v>1</v>
      </c>
      <c r="AP142" s="7">
        <f>VLOOKUP(A142,'base ZITRHR129'!G18:W644,17,0)</f>
        <v>2551.27</v>
      </c>
      <c r="AQ142" s="7" t="b">
        <f>AP142=AK142</f>
        <v>1</v>
      </c>
      <c r="AR142" s="69"/>
    </row>
    <row r="143" spans="1:44" s="7" customFormat="1" ht="12" x14ac:dyDescent="0.2">
      <c r="A143" s="7">
        <v>10027735</v>
      </c>
      <c r="B143" s="8" t="s">
        <v>167</v>
      </c>
      <c r="C143" s="8" t="s">
        <v>679</v>
      </c>
      <c r="D143" s="8" t="s">
        <v>717</v>
      </c>
      <c r="E143" s="8" t="s">
        <v>720</v>
      </c>
      <c r="F143" s="8" t="s">
        <v>1406</v>
      </c>
      <c r="G143" s="8" t="s">
        <v>751</v>
      </c>
      <c r="H143" s="9">
        <v>18</v>
      </c>
      <c r="I143" s="8" t="s">
        <v>653</v>
      </c>
      <c r="J143" s="8" t="s">
        <v>916</v>
      </c>
      <c r="K143" s="8" t="s">
        <v>16</v>
      </c>
      <c r="L143" s="8" t="s">
        <v>17</v>
      </c>
      <c r="M143" s="10" t="s">
        <v>679</v>
      </c>
      <c r="N143" s="10" t="s">
        <v>717</v>
      </c>
      <c r="O143" s="10" t="s">
        <v>653</v>
      </c>
      <c r="P143" s="1"/>
      <c r="Q143" s="11" t="b">
        <f>O143=P143</f>
        <v>0</v>
      </c>
      <c r="R143" s="30">
        <v>30040819</v>
      </c>
      <c r="S143" s="1"/>
      <c r="T143" s="11" t="b">
        <f>R143=S143</f>
        <v>0</v>
      </c>
      <c r="U143" s="10" t="s">
        <v>16</v>
      </c>
      <c r="V143" s="1"/>
      <c r="W143" s="11" t="b">
        <f>U143=V143</f>
        <v>0</v>
      </c>
      <c r="X143" s="13" t="s">
        <v>15</v>
      </c>
      <c r="Y143" s="1"/>
      <c r="Z143" s="1"/>
      <c r="AA143" s="10">
        <v>22003015</v>
      </c>
      <c r="AB143" s="10" t="s">
        <v>1409</v>
      </c>
      <c r="AD143" s="11" t="b">
        <f>AB143=AC143</f>
        <v>0</v>
      </c>
      <c r="AE143" s="10" t="s">
        <v>751</v>
      </c>
      <c r="AF143" s="1"/>
      <c r="AG143" s="11" t="b">
        <f>AE143=AF143</f>
        <v>0</v>
      </c>
      <c r="AH143" s="1">
        <v>18</v>
      </c>
      <c r="AI143" s="1">
        <v>17.73</v>
      </c>
      <c r="AJ143" s="16">
        <f>AI143*220/30*30.4375</f>
        <v>3957.4837500000003</v>
      </c>
      <c r="AK143" s="18">
        <v>3957.48</v>
      </c>
      <c r="AL143" s="71" t="s">
        <v>653</v>
      </c>
      <c r="AM143" s="19" t="b">
        <f>AL143=O143</f>
        <v>1</v>
      </c>
      <c r="AN143" s="7">
        <f>VLOOKUP(A143,'base ZITRHR129'!$G$1:$H$628,2,0)</f>
        <v>30040819</v>
      </c>
      <c r="AO143" s="7" t="b">
        <f>AN143=R143</f>
        <v>1</v>
      </c>
      <c r="AP143" s="7">
        <f>VLOOKUP(A143,'base ZITRHR129'!G17:W643,17,0)</f>
        <v>3957.48</v>
      </c>
      <c r="AQ143" s="7" t="b">
        <f>AP143=AK143</f>
        <v>1</v>
      </c>
      <c r="AR143" s="69"/>
    </row>
    <row r="144" spans="1:44" s="7" customFormat="1" ht="12" x14ac:dyDescent="0.2">
      <c r="A144" s="7">
        <v>10027873</v>
      </c>
      <c r="B144" s="8" t="s">
        <v>168</v>
      </c>
      <c r="C144" s="8" t="s">
        <v>689</v>
      </c>
      <c r="D144" s="8" t="s">
        <v>717</v>
      </c>
      <c r="E144" s="8" t="s">
        <v>730</v>
      </c>
      <c r="F144" s="8" t="s">
        <v>1406</v>
      </c>
      <c r="G144" s="8" t="s">
        <v>759</v>
      </c>
      <c r="H144" s="9">
        <v>17</v>
      </c>
      <c r="I144" s="8" t="s">
        <v>662</v>
      </c>
      <c r="J144" s="8" t="s">
        <v>917</v>
      </c>
      <c r="K144" s="8" t="s">
        <v>16</v>
      </c>
      <c r="L144" s="8" t="s">
        <v>17</v>
      </c>
      <c r="M144" s="10" t="s">
        <v>689</v>
      </c>
      <c r="N144" s="10" t="s">
        <v>717</v>
      </c>
      <c r="O144" s="10" t="s">
        <v>662</v>
      </c>
      <c r="P144" s="1"/>
      <c r="Q144" s="11" t="b">
        <f>O144=P144</f>
        <v>0</v>
      </c>
      <c r="R144" s="30">
        <v>30040820</v>
      </c>
      <c r="S144" s="1"/>
      <c r="T144" s="11" t="b">
        <f>R144=S144</f>
        <v>0</v>
      </c>
      <c r="U144" s="10" t="s">
        <v>16</v>
      </c>
      <c r="V144" s="1"/>
      <c r="W144" s="11" t="b">
        <f>U144=V144</f>
        <v>0</v>
      </c>
      <c r="X144" s="13" t="s">
        <v>15</v>
      </c>
      <c r="Y144" s="1"/>
      <c r="Z144" s="1"/>
      <c r="AA144" s="10">
        <v>22002605</v>
      </c>
      <c r="AB144" s="10" t="s">
        <v>1409</v>
      </c>
      <c r="AD144" s="11" t="b">
        <f>AB144=AC144</f>
        <v>0</v>
      </c>
      <c r="AE144" s="10" t="s">
        <v>759</v>
      </c>
      <c r="AF144" s="1"/>
      <c r="AG144" s="11" t="b">
        <f>AE144=AF144</f>
        <v>0</v>
      </c>
      <c r="AH144" s="1">
        <v>17</v>
      </c>
      <c r="AI144" s="1">
        <v>14.04</v>
      </c>
      <c r="AJ144" s="16">
        <f>AI144*220/30*30.4375</f>
        <v>3133.8449999999998</v>
      </c>
      <c r="AK144" s="18">
        <v>3133.85</v>
      </c>
      <c r="AL144" s="71" t="s">
        <v>662</v>
      </c>
      <c r="AM144" s="19" t="b">
        <f>AL144=O144</f>
        <v>1</v>
      </c>
      <c r="AN144" s="7">
        <f>VLOOKUP(A144,'base ZITRHR129'!$G$1:$H$628,2,0)</f>
        <v>30040820</v>
      </c>
      <c r="AO144" s="7" t="b">
        <f>AN144=R144</f>
        <v>1</v>
      </c>
      <c r="AP144" s="7">
        <f>VLOOKUP(A144,'base ZITRHR129'!G16:W642,17,0)</f>
        <v>3133.85</v>
      </c>
      <c r="AQ144" s="7" t="b">
        <f>AP144=AK144</f>
        <v>1</v>
      </c>
      <c r="AR144" s="69"/>
    </row>
    <row r="145" spans="1:44" s="7" customFormat="1" ht="12" x14ac:dyDescent="0.2">
      <c r="A145" s="7">
        <v>10028083</v>
      </c>
      <c r="B145" s="8" t="s">
        <v>169</v>
      </c>
      <c r="C145" s="8" t="s">
        <v>679</v>
      </c>
      <c r="D145" s="8" t="s">
        <v>717</v>
      </c>
      <c r="E145" s="8" t="s">
        <v>720</v>
      </c>
      <c r="F145" s="8" t="s">
        <v>1406</v>
      </c>
      <c r="G145" s="8" t="s">
        <v>751</v>
      </c>
      <c r="H145" s="9">
        <v>18</v>
      </c>
      <c r="I145" s="8" t="s">
        <v>653</v>
      </c>
      <c r="J145" s="8" t="s">
        <v>918</v>
      </c>
      <c r="K145" s="8" t="s">
        <v>16</v>
      </c>
      <c r="L145" s="8" t="s">
        <v>17</v>
      </c>
      <c r="M145" s="10" t="s">
        <v>679</v>
      </c>
      <c r="N145" s="10" t="s">
        <v>717</v>
      </c>
      <c r="O145" s="10" t="s">
        <v>653</v>
      </c>
      <c r="P145" s="1"/>
      <c r="Q145" s="11" t="b">
        <f>O145=P145</f>
        <v>0</v>
      </c>
      <c r="R145" s="30">
        <v>30040821</v>
      </c>
      <c r="S145" s="1"/>
      <c r="T145" s="11" t="b">
        <f>R145=S145</f>
        <v>0</v>
      </c>
      <c r="U145" s="10" t="s">
        <v>16</v>
      </c>
      <c r="V145" s="1"/>
      <c r="W145" s="11" t="b">
        <f>U145=V145</f>
        <v>0</v>
      </c>
      <c r="X145" s="13" t="s">
        <v>15</v>
      </c>
      <c r="Y145" s="1"/>
      <c r="Z145" s="1"/>
      <c r="AA145" s="10">
        <v>22003015</v>
      </c>
      <c r="AB145" s="10" t="s">
        <v>1409</v>
      </c>
      <c r="AD145" s="11" t="b">
        <f>AB145=AC145</f>
        <v>0</v>
      </c>
      <c r="AE145" s="10" t="s">
        <v>751</v>
      </c>
      <c r="AF145" s="1"/>
      <c r="AG145" s="11" t="b">
        <f>AE145=AF145</f>
        <v>0</v>
      </c>
      <c r="AH145" s="1">
        <v>18</v>
      </c>
      <c r="AI145" s="1">
        <v>17.73</v>
      </c>
      <c r="AJ145" s="16">
        <f>AI145*220/30*30.4375</f>
        <v>3957.4837500000003</v>
      </c>
      <c r="AK145" s="18">
        <v>3957.48</v>
      </c>
      <c r="AL145" s="71" t="s">
        <v>653</v>
      </c>
      <c r="AM145" s="19" t="b">
        <f>AL145=O145</f>
        <v>1</v>
      </c>
      <c r="AN145" s="7">
        <f>VLOOKUP(A145,'base ZITRHR129'!$G$1:$H$628,2,0)</f>
        <v>30040821</v>
      </c>
      <c r="AO145" s="7" t="b">
        <f>AN145=R145</f>
        <v>1</v>
      </c>
      <c r="AP145" s="7">
        <f>VLOOKUP(A145,'base ZITRHR129'!G15:W641,17,0)</f>
        <v>3957.48</v>
      </c>
      <c r="AQ145" s="7" t="b">
        <f>AP145=AK145</f>
        <v>1</v>
      </c>
      <c r="AR145" s="69"/>
    </row>
    <row r="146" spans="1:44" s="7" customFormat="1" ht="12" x14ac:dyDescent="0.2">
      <c r="A146" s="7">
        <v>10028084</v>
      </c>
      <c r="B146" s="8" t="s">
        <v>170</v>
      </c>
      <c r="C146" s="8" t="s">
        <v>701</v>
      </c>
      <c r="D146" s="8" t="s">
        <v>717</v>
      </c>
      <c r="E146" s="8" t="s">
        <v>720</v>
      </c>
      <c r="F146" s="8" t="s">
        <v>1406</v>
      </c>
      <c r="G146" s="8" t="s">
        <v>751</v>
      </c>
      <c r="H146" s="9">
        <v>18</v>
      </c>
      <c r="I146" s="8" t="s">
        <v>668</v>
      </c>
      <c r="J146" s="8" t="s">
        <v>919</v>
      </c>
      <c r="K146" s="8" t="s">
        <v>16</v>
      </c>
      <c r="L146" s="8" t="s">
        <v>17</v>
      </c>
      <c r="M146" s="10" t="s">
        <v>701</v>
      </c>
      <c r="N146" s="10" t="s">
        <v>717</v>
      </c>
      <c r="O146" s="10" t="s">
        <v>668</v>
      </c>
      <c r="P146" s="1"/>
      <c r="Q146" s="11" t="b">
        <f>O146=P146</f>
        <v>0</v>
      </c>
      <c r="R146" s="30">
        <v>30040822</v>
      </c>
      <c r="S146" s="1"/>
      <c r="T146" s="11" t="b">
        <f>R146=S146</f>
        <v>0</v>
      </c>
      <c r="U146" s="10" t="s">
        <v>16</v>
      </c>
      <c r="V146" s="1"/>
      <c r="W146" s="11" t="b">
        <f>U146=V146</f>
        <v>0</v>
      </c>
      <c r="X146" s="13" t="s">
        <v>15</v>
      </c>
      <c r="Y146" s="1"/>
      <c r="Z146" s="1"/>
      <c r="AA146" s="59">
        <v>22003015</v>
      </c>
      <c r="AB146" s="10" t="s">
        <v>1409</v>
      </c>
      <c r="AD146" s="11" t="b">
        <f>AB146=AC146</f>
        <v>0</v>
      </c>
      <c r="AE146" s="10" t="s">
        <v>751</v>
      </c>
      <c r="AF146" s="1"/>
      <c r="AG146" s="11" t="b">
        <f>AE146=AF146</f>
        <v>0</v>
      </c>
      <c r="AH146" s="1">
        <v>18</v>
      </c>
      <c r="AI146" s="1">
        <v>17.73</v>
      </c>
      <c r="AJ146" s="16">
        <f>AI146*220/30*30.4375</f>
        <v>3957.4837500000003</v>
      </c>
      <c r="AK146" s="18">
        <v>3957.48</v>
      </c>
      <c r="AL146" s="71" t="s">
        <v>668</v>
      </c>
      <c r="AM146" s="19" t="b">
        <f>AL146=O146</f>
        <v>1</v>
      </c>
      <c r="AN146" s="7">
        <f>VLOOKUP(A146,'base ZITRHR129'!$G$1:$H$628,2,0)</f>
        <v>30040822</v>
      </c>
      <c r="AO146" s="7" t="b">
        <f>AN146=R146</f>
        <v>1</v>
      </c>
      <c r="AP146" s="7">
        <f>VLOOKUP(A146,'base ZITRHR129'!G14:W640,17,0)</f>
        <v>3957.48</v>
      </c>
      <c r="AQ146" s="7" t="b">
        <f>AP146=AK146</f>
        <v>1</v>
      </c>
      <c r="AR146" s="69"/>
    </row>
    <row r="147" spans="1:44" s="7" customFormat="1" ht="12" x14ac:dyDescent="0.2">
      <c r="A147" s="7">
        <v>10028087</v>
      </c>
      <c r="B147" s="8" t="s">
        <v>171</v>
      </c>
      <c r="C147" s="8" t="s">
        <v>682</v>
      </c>
      <c r="D147" s="8" t="s">
        <v>717</v>
      </c>
      <c r="E147" s="8" t="s">
        <v>720</v>
      </c>
      <c r="F147" s="8" t="s">
        <v>1406</v>
      </c>
      <c r="G147" s="8" t="s">
        <v>751</v>
      </c>
      <c r="H147" s="9">
        <v>18</v>
      </c>
      <c r="I147" s="8" t="s">
        <v>655</v>
      </c>
      <c r="J147" s="8" t="s">
        <v>920</v>
      </c>
      <c r="K147" s="8" t="s">
        <v>16</v>
      </c>
      <c r="L147" s="8" t="s">
        <v>17</v>
      </c>
      <c r="M147" s="10" t="s">
        <v>682</v>
      </c>
      <c r="N147" s="10" t="s">
        <v>717</v>
      </c>
      <c r="O147" s="10" t="s">
        <v>655</v>
      </c>
      <c r="P147" s="1"/>
      <c r="Q147" s="11" t="b">
        <f>O147=P147</f>
        <v>0</v>
      </c>
      <c r="R147" s="30">
        <v>30040823</v>
      </c>
      <c r="S147" s="1"/>
      <c r="T147" s="11" t="b">
        <f>R147=S147</f>
        <v>0</v>
      </c>
      <c r="U147" s="10" t="s">
        <v>16</v>
      </c>
      <c r="V147" s="1"/>
      <c r="W147" s="11" t="b">
        <f>U147=V147</f>
        <v>0</v>
      </c>
      <c r="X147" s="13" t="s">
        <v>15</v>
      </c>
      <c r="Y147" s="1"/>
      <c r="Z147" s="1"/>
      <c r="AA147" s="10">
        <v>22003015</v>
      </c>
      <c r="AB147" s="10" t="s">
        <v>1409</v>
      </c>
      <c r="AD147" s="11" t="b">
        <f>AB147=AC147</f>
        <v>0</v>
      </c>
      <c r="AE147" s="10" t="s">
        <v>751</v>
      </c>
      <c r="AF147" s="1"/>
      <c r="AG147" s="11" t="b">
        <f>AE147=AF147</f>
        <v>0</v>
      </c>
      <c r="AH147" s="1">
        <v>18</v>
      </c>
      <c r="AI147" s="1">
        <v>17.73</v>
      </c>
      <c r="AJ147" s="16">
        <f>AI147*220/30*30.4375</f>
        <v>3957.4837500000003</v>
      </c>
      <c r="AK147" s="18">
        <v>3957.48</v>
      </c>
      <c r="AL147" s="71" t="s">
        <v>655</v>
      </c>
      <c r="AM147" s="19" t="b">
        <f>AL147=O147</f>
        <v>1</v>
      </c>
      <c r="AN147" s="7">
        <f>VLOOKUP(A147,'base ZITRHR129'!$G$1:$H$628,2,0)</f>
        <v>30040823</v>
      </c>
      <c r="AO147" s="7" t="b">
        <f>AN147=R147</f>
        <v>1</v>
      </c>
      <c r="AP147" s="7">
        <f>VLOOKUP(A147,'base ZITRHR129'!G13:W639,17,0)</f>
        <v>3957.48</v>
      </c>
      <c r="AQ147" s="7" t="b">
        <f>AP147=AK147</f>
        <v>1</v>
      </c>
      <c r="AR147" s="69"/>
    </row>
    <row r="148" spans="1:44" s="7" customFormat="1" ht="12" x14ac:dyDescent="0.2">
      <c r="A148" s="7">
        <v>10028139</v>
      </c>
      <c r="B148" s="8" t="s">
        <v>172</v>
      </c>
      <c r="C148" s="8" t="s">
        <v>701</v>
      </c>
      <c r="D148" s="8" t="s">
        <v>717</v>
      </c>
      <c r="E148" s="8" t="s">
        <v>720</v>
      </c>
      <c r="F148" s="8" t="s">
        <v>1406</v>
      </c>
      <c r="G148" s="8" t="s">
        <v>751</v>
      </c>
      <c r="H148" s="9">
        <v>18</v>
      </c>
      <c r="I148" s="8" t="s">
        <v>668</v>
      </c>
      <c r="J148" s="8" t="s">
        <v>921</v>
      </c>
      <c r="K148" s="8" t="s">
        <v>16</v>
      </c>
      <c r="L148" s="8" t="s">
        <v>17</v>
      </c>
      <c r="M148" s="10" t="s">
        <v>701</v>
      </c>
      <c r="N148" s="10" t="s">
        <v>717</v>
      </c>
      <c r="O148" s="10" t="s">
        <v>668</v>
      </c>
      <c r="P148" s="1"/>
      <c r="Q148" s="11" t="b">
        <f>O148=P148</f>
        <v>0</v>
      </c>
      <c r="R148" s="30">
        <v>30040824</v>
      </c>
      <c r="S148" s="1"/>
      <c r="T148" s="11" t="b">
        <f>R148=S148</f>
        <v>0</v>
      </c>
      <c r="U148" s="10" t="s">
        <v>16</v>
      </c>
      <c r="V148" s="1"/>
      <c r="W148" s="11" t="b">
        <f>U148=V148</f>
        <v>0</v>
      </c>
      <c r="X148" s="13" t="s">
        <v>15</v>
      </c>
      <c r="Y148" s="1"/>
      <c r="Z148" s="1"/>
      <c r="AA148" s="10">
        <v>22003015</v>
      </c>
      <c r="AB148" s="10" t="s">
        <v>1409</v>
      </c>
      <c r="AD148" s="11" t="b">
        <f>AB148=AC148</f>
        <v>0</v>
      </c>
      <c r="AE148" s="10" t="s">
        <v>751</v>
      </c>
      <c r="AF148" s="1"/>
      <c r="AG148" s="11" t="b">
        <f>AE148=AF148</f>
        <v>0</v>
      </c>
      <c r="AH148" s="1">
        <v>18</v>
      </c>
      <c r="AI148" s="1">
        <v>17.73</v>
      </c>
      <c r="AJ148" s="16">
        <f>AI148*220/30*30.4375</f>
        <v>3957.4837500000003</v>
      </c>
      <c r="AK148" s="18">
        <v>3957.48</v>
      </c>
      <c r="AL148" s="71" t="s">
        <v>668</v>
      </c>
      <c r="AM148" s="19" t="b">
        <f>AL148=O148</f>
        <v>1</v>
      </c>
      <c r="AN148" s="7">
        <f>VLOOKUP(A148,'base ZITRHR129'!$G$1:$H$628,2,0)</f>
        <v>30040824</v>
      </c>
      <c r="AO148" s="7" t="b">
        <f>AN148=R148</f>
        <v>1</v>
      </c>
      <c r="AP148" s="7">
        <f>VLOOKUP(A148,'base ZITRHR129'!G12:W638,17,0)</f>
        <v>3957.48</v>
      </c>
      <c r="AQ148" s="7" t="b">
        <f>AP148=AK148</f>
        <v>1</v>
      </c>
      <c r="AR148" s="69"/>
    </row>
    <row r="149" spans="1:44" s="7" customFormat="1" ht="12" x14ac:dyDescent="0.2">
      <c r="A149" s="7">
        <v>10028155</v>
      </c>
      <c r="B149" s="8" t="s">
        <v>173</v>
      </c>
      <c r="C149" s="8" t="s">
        <v>681</v>
      </c>
      <c r="D149" s="8" t="s">
        <v>717</v>
      </c>
      <c r="E149" s="8" t="s">
        <v>720</v>
      </c>
      <c r="F149" s="8" t="s">
        <v>1406</v>
      </c>
      <c r="G149" s="8" t="s">
        <v>751</v>
      </c>
      <c r="H149" s="9">
        <v>18</v>
      </c>
      <c r="I149" s="8" t="s">
        <v>653</v>
      </c>
      <c r="J149" s="8" t="s">
        <v>922</v>
      </c>
      <c r="K149" s="8" t="s">
        <v>16</v>
      </c>
      <c r="L149" s="8" t="s">
        <v>17</v>
      </c>
      <c r="M149" s="10" t="s">
        <v>681</v>
      </c>
      <c r="N149" s="10" t="s">
        <v>717</v>
      </c>
      <c r="O149" s="10" t="s">
        <v>653</v>
      </c>
      <c r="P149" s="1"/>
      <c r="Q149" s="11" t="b">
        <f>O149=P149</f>
        <v>0</v>
      </c>
      <c r="R149" s="30">
        <v>30040825</v>
      </c>
      <c r="S149" s="1"/>
      <c r="T149" s="11" t="b">
        <f>R149=S149</f>
        <v>0</v>
      </c>
      <c r="U149" s="10" t="s">
        <v>16</v>
      </c>
      <c r="V149" s="1"/>
      <c r="W149" s="11" t="b">
        <f>U149=V149</f>
        <v>0</v>
      </c>
      <c r="X149" s="13" t="s">
        <v>15</v>
      </c>
      <c r="Y149" s="1"/>
      <c r="Z149" s="1"/>
      <c r="AA149" s="10">
        <v>22003015</v>
      </c>
      <c r="AB149" s="10" t="s">
        <v>1409</v>
      </c>
      <c r="AD149" s="11" t="b">
        <f>AB149=AC149</f>
        <v>0</v>
      </c>
      <c r="AE149" s="10" t="s">
        <v>751</v>
      </c>
      <c r="AF149" s="1"/>
      <c r="AG149" s="11" t="b">
        <f>AE149=AF149</f>
        <v>0</v>
      </c>
      <c r="AH149" s="1">
        <v>18</v>
      </c>
      <c r="AI149" s="1">
        <v>17.73</v>
      </c>
      <c r="AJ149" s="16">
        <f>AI149*220/30*30.4375</f>
        <v>3957.4837500000003</v>
      </c>
      <c r="AK149" s="18">
        <v>3957.48</v>
      </c>
      <c r="AL149" s="71" t="s">
        <v>653</v>
      </c>
      <c r="AM149" s="19" t="b">
        <f>AL149=O149</f>
        <v>1</v>
      </c>
      <c r="AN149" s="7">
        <f>VLOOKUP(A149,'base ZITRHR129'!$G$1:$H$628,2,0)</f>
        <v>30040825</v>
      </c>
      <c r="AO149" s="7" t="b">
        <f>AN149=R149</f>
        <v>1</v>
      </c>
      <c r="AP149" s="7">
        <f>VLOOKUP(A149,'base ZITRHR129'!G11:W637,17,0)</f>
        <v>3957.48</v>
      </c>
      <c r="AQ149" s="7" t="b">
        <f>AP149=AK149</f>
        <v>1</v>
      </c>
      <c r="AR149" s="69"/>
    </row>
    <row r="150" spans="1:44" s="7" customFormat="1" ht="12" x14ac:dyDescent="0.2">
      <c r="A150" s="7">
        <v>10028309</v>
      </c>
      <c r="B150" s="8" t="s">
        <v>174</v>
      </c>
      <c r="C150" s="8" t="s">
        <v>701</v>
      </c>
      <c r="D150" s="8" t="s">
        <v>717</v>
      </c>
      <c r="E150" s="8" t="s">
        <v>720</v>
      </c>
      <c r="F150" s="8" t="s">
        <v>1406</v>
      </c>
      <c r="G150" s="8" t="s">
        <v>751</v>
      </c>
      <c r="H150" s="9">
        <v>18</v>
      </c>
      <c r="I150" s="8" t="s">
        <v>668</v>
      </c>
      <c r="J150" s="8" t="s">
        <v>923</v>
      </c>
      <c r="K150" s="8" t="s">
        <v>16</v>
      </c>
      <c r="L150" s="8" t="s">
        <v>17</v>
      </c>
      <c r="M150" s="10" t="s">
        <v>701</v>
      </c>
      <c r="N150" s="10" t="s">
        <v>717</v>
      </c>
      <c r="O150" s="10" t="s">
        <v>668</v>
      </c>
      <c r="P150" s="1"/>
      <c r="Q150" s="11" t="b">
        <f>O150=P150</f>
        <v>0</v>
      </c>
      <c r="R150" s="30">
        <v>30040826</v>
      </c>
      <c r="S150" s="1"/>
      <c r="T150" s="11" t="b">
        <f>R150=S150</f>
        <v>0</v>
      </c>
      <c r="U150" s="10" t="s">
        <v>16</v>
      </c>
      <c r="V150" s="1"/>
      <c r="W150" s="11" t="b">
        <f>U150=V150</f>
        <v>0</v>
      </c>
      <c r="X150" s="13" t="s">
        <v>15</v>
      </c>
      <c r="Y150" s="1"/>
      <c r="Z150" s="1"/>
      <c r="AA150" s="10">
        <v>22003015</v>
      </c>
      <c r="AB150" s="10" t="s">
        <v>1409</v>
      </c>
      <c r="AD150" s="11" t="b">
        <f>AB150=AC150</f>
        <v>0</v>
      </c>
      <c r="AE150" s="10" t="s">
        <v>751</v>
      </c>
      <c r="AF150" s="1"/>
      <c r="AG150" s="11" t="b">
        <f>AE150=AF150</f>
        <v>0</v>
      </c>
      <c r="AH150" s="1">
        <v>18</v>
      </c>
      <c r="AI150" s="1">
        <v>17.73</v>
      </c>
      <c r="AJ150" s="16">
        <f>AI150*220/30*30.4375</f>
        <v>3957.4837500000003</v>
      </c>
      <c r="AK150" s="18">
        <v>3957.48</v>
      </c>
      <c r="AL150" s="71" t="s">
        <v>668</v>
      </c>
      <c r="AM150" s="19" t="b">
        <f>AL150=O150</f>
        <v>1</v>
      </c>
      <c r="AN150" s="7">
        <f>VLOOKUP(A150,'base ZITRHR129'!$G$1:$H$628,2,0)</f>
        <v>30040826</v>
      </c>
      <c r="AO150" s="7" t="b">
        <f>AN150=R150</f>
        <v>1</v>
      </c>
      <c r="AP150" s="7">
        <f>VLOOKUP(A150,'base ZITRHR129'!G10:W636,17,0)</f>
        <v>3957.48</v>
      </c>
      <c r="AQ150" s="7" t="b">
        <f>AP150=AK150</f>
        <v>1</v>
      </c>
      <c r="AR150" s="69"/>
    </row>
    <row r="151" spans="1:44" s="7" customFormat="1" ht="12" x14ac:dyDescent="0.2">
      <c r="A151" s="7">
        <v>10028377</v>
      </c>
      <c r="B151" s="8" t="s">
        <v>175</v>
      </c>
      <c r="C151" s="8" t="s">
        <v>681</v>
      </c>
      <c r="D151" s="8" t="s">
        <v>717</v>
      </c>
      <c r="E151" s="8" t="s">
        <v>720</v>
      </c>
      <c r="F151" s="8" t="s">
        <v>1406</v>
      </c>
      <c r="G151" s="8" t="s">
        <v>751</v>
      </c>
      <c r="H151" s="9">
        <v>18</v>
      </c>
      <c r="I151" s="8" t="s">
        <v>653</v>
      </c>
      <c r="J151" s="8" t="s">
        <v>924</v>
      </c>
      <c r="K151" s="8" t="s">
        <v>16</v>
      </c>
      <c r="L151" s="8" t="s">
        <v>17</v>
      </c>
      <c r="M151" s="10" t="s">
        <v>681</v>
      </c>
      <c r="N151" s="10" t="s">
        <v>717</v>
      </c>
      <c r="O151" s="10" t="s">
        <v>653</v>
      </c>
      <c r="P151" s="1"/>
      <c r="Q151" s="11" t="b">
        <f>O151=P151</f>
        <v>0</v>
      </c>
      <c r="R151" s="30">
        <v>30040827</v>
      </c>
      <c r="S151" s="1"/>
      <c r="T151" s="11" t="b">
        <f>R151=S151</f>
        <v>0</v>
      </c>
      <c r="U151" s="10" t="s">
        <v>16</v>
      </c>
      <c r="V151" s="1"/>
      <c r="W151" s="11" t="b">
        <f>U151=V151</f>
        <v>0</v>
      </c>
      <c r="X151" s="13" t="s">
        <v>15</v>
      </c>
      <c r="Y151" s="1"/>
      <c r="Z151" s="1"/>
      <c r="AA151" s="59">
        <v>22003015</v>
      </c>
      <c r="AB151" s="10" t="s">
        <v>1409</v>
      </c>
      <c r="AD151" s="11" t="b">
        <f>AB151=AC151</f>
        <v>0</v>
      </c>
      <c r="AE151" s="10" t="s">
        <v>751</v>
      </c>
      <c r="AF151" s="1"/>
      <c r="AG151" s="11" t="b">
        <f>AE151=AF151</f>
        <v>0</v>
      </c>
      <c r="AH151" s="1">
        <v>18</v>
      </c>
      <c r="AI151" s="1">
        <v>17.73</v>
      </c>
      <c r="AJ151" s="16">
        <f>AI151*220/30*30.4375</f>
        <v>3957.4837500000003</v>
      </c>
      <c r="AK151" s="18">
        <v>3957.48</v>
      </c>
      <c r="AL151" s="71" t="s">
        <v>653</v>
      </c>
      <c r="AM151" s="19" t="b">
        <f>AL151=O151</f>
        <v>1</v>
      </c>
      <c r="AN151" s="7">
        <f>VLOOKUP(A151,'base ZITRHR129'!$G$1:$H$628,2,0)</f>
        <v>30040827</v>
      </c>
      <c r="AO151" s="7" t="b">
        <f>AN151=R151</f>
        <v>1</v>
      </c>
      <c r="AP151" s="7">
        <f>VLOOKUP(A151,'base ZITRHR129'!G9:W635,17,0)</f>
        <v>3957.48</v>
      </c>
      <c r="AQ151" s="7" t="b">
        <f>AP151=AK151</f>
        <v>1</v>
      </c>
      <c r="AR151" s="69"/>
    </row>
    <row r="152" spans="1:44" s="7" customFormat="1" ht="12" x14ac:dyDescent="0.2">
      <c r="A152" s="7">
        <v>10028408</v>
      </c>
      <c r="B152" s="8" t="s">
        <v>176</v>
      </c>
      <c r="C152" s="8" t="s">
        <v>681</v>
      </c>
      <c r="D152" s="8" t="s">
        <v>717</v>
      </c>
      <c r="E152" s="8" t="s">
        <v>720</v>
      </c>
      <c r="F152" s="8" t="s">
        <v>1406</v>
      </c>
      <c r="G152" s="8" t="s">
        <v>751</v>
      </c>
      <c r="H152" s="9">
        <v>18</v>
      </c>
      <c r="I152" s="8" t="s">
        <v>653</v>
      </c>
      <c r="J152" s="8" t="s">
        <v>925</v>
      </c>
      <c r="K152" s="8" t="s">
        <v>16</v>
      </c>
      <c r="L152" s="8" t="s">
        <v>17</v>
      </c>
      <c r="M152" s="10" t="s">
        <v>681</v>
      </c>
      <c r="N152" s="10" t="s">
        <v>717</v>
      </c>
      <c r="O152" s="10" t="s">
        <v>653</v>
      </c>
      <c r="P152" s="1"/>
      <c r="Q152" s="11" t="b">
        <f>O152=P152</f>
        <v>0</v>
      </c>
      <c r="R152" s="30">
        <v>30040828</v>
      </c>
      <c r="S152" s="1"/>
      <c r="T152" s="11" t="b">
        <f>R152=S152</f>
        <v>0</v>
      </c>
      <c r="U152" s="10" t="s">
        <v>16</v>
      </c>
      <c r="V152" s="1"/>
      <c r="W152" s="11" t="b">
        <f>U152=V152</f>
        <v>0</v>
      </c>
      <c r="X152" s="13" t="s">
        <v>15</v>
      </c>
      <c r="Y152" s="1"/>
      <c r="Z152" s="1"/>
      <c r="AA152" s="10">
        <v>22003015</v>
      </c>
      <c r="AB152" s="10" t="s">
        <v>1409</v>
      </c>
      <c r="AD152" s="11" t="b">
        <f>AB152=AC152</f>
        <v>0</v>
      </c>
      <c r="AE152" s="10" t="s">
        <v>751</v>
      </c>
      <c r="AF152" s="1"/>
      <c r="AG152" s="11" t="b">
        <f>AE152=AF152</f>
        <v>0</v>
      </c>
      <c r="AH152" s="1">
        <v>18</v>
      </c>
      <c r="AI152" s="1">
        <v>17.73</v>
      </c>
      <c r="AJ152" s="16">
        <f>AI152*220/30*30.4375</f>
        <v>3957.4837500000003</v>
      </c>
      <c r="AK152" s="18">
        <v>3957.48</v>
      </c>
      <c r="AL152" s="71" t="s">
        <v>653</v>
      </c>
      <c r="AM152" s="19" t="b">
        <f>AL152=O152</f>
        <v>1</v>
      </c>
      <c r="AN152" s="7">
        <f>VLOOKUP(A152,'base ZITRHR129'!$G$1:$H$628,2,0)</f>
        <v>30040828</v>
      </c>
      <c r="AO152" s="7" t="b">
        <f>AN152=R152</f>
        <v>1</v>
      </c>
      <c r="AP152" s="7">
        <f>VLOOKUP(A152,'base ZITRHR129'!G8:W634,17,0)</f>
        <v>3957.48</v>
      </c>
      <c r="AQ152" s="7" t="b">
        <f>AP152=AK152</f>
        <v>1</v>
      </c>
      <c r="AR152" s="69"/>
    </row>
    <row r="153" spans="1:44" s="7" customFormat="1" ht="12" x14ac:dyDescent="0.2">
      <c r="A153" s="7">
        <v>10028425</v>
      </c>
      <c r="B153" s="8" t="s">
        <v>177</v>
      </c>
      <c r="C153" s="8" t="s">
        <v>684</v>
      </c>
      <c r="D153" s="8" t="s">
        <v>717</v>
      </c>
      <c r="E153" s="8" t="s">
        <v>720</v>
      </c>
      <c r="F153" s="8" t="s">
        <v>1406</v>
      </c>
      <c r="G153" s="8" t="s">
        <v>751</v>
      </c>
      <c r="H153" s="9">
        <v>18</v>
      </c>
      <c r="I153" s="8" t="s">
        <v>657</v>
      </c>
      <c r="J153" s="8" t="s">
        <v>926</v>
      </c>
      <c r="K153" s="8" t="s">
        <v>16</v>
      </c>
      <c r="L153" s="8" t="s">
        <v>17</v>
      </c>
      <c r="M153" s="10" t="s">
        <v>684</v>
      </c>
      <c r="N153" s="10" t="s">
        <v>717</v>
      </c>
      <c r="O153" s="10" t="s">
        <v>657</v>
      </c>
      <c r="P153" s="1"/>
      <c r="Q153" s="11" t="b">
        <f>O153=P153</f>
        <v>0</v>
      </c>
      <c r="R153" s="30">
        <v>30040829</v>
      </c>
      <c r="S153" s="1"/>
      <c r="T153" s="11" t="b">
        <f>R153=S153</f>
        <v>0</v>
      </c>
      <c r="U153" s="10" t="s">
        <v>16</v>
      </c>
      <c r="V153" s="1"/>
      <c r="W153" s="11" t="b">
        <f>U153=V153</f>
        <v>0</v>
      </c>
      <c r="X153" s="13" t="s">
        <v>15</v>
      </c>
      <c r="Y153" s="1"/>
      <c r="Z153" s="1"/>
      <c r="AA153" s="10">
        <v>22003015</v>
      </c>
      <c r="AB153" s="10" t="s">
        <v>1409</v>
      </c>
      <c r="AD153" s="11" t="b">
        <f>AB153=AC153</f>
        <v>0</v>
      </c>
      <c r="AE153" s="10" t="s">
        <v>751</v>
      </c>
      <c r="AF153" s="1"/>
      <c r="AG153" s="11" t="b">
        <f>AE153=AF153</f>
        <v>0</v>
      </c>
      <c r="AH153" s="1">
        <v>18</v>
      </c>
      <c r="AI153" s="1">
        <v>17.73</v>
      </c>
      <c r="AJ153" s="16">
        <f>AI153*220/30*30.4375</f>
        <v>3957.4837500000003</v>
      </c>
      <c r="AK153" s="18">
        <v>3957.48</v>
      </c>
      <c r="AL153" s="71" t="s">
        <v>657</v>
      </c>
      <c r="AM153" s="19" t="b">
        <f>AL153=O153</f>
        <v>1</v>
      </c>
      <c r="AN153" s="7">
        <f>VLOOKUP(A153,'base ZITRHR129'!$G$1:$H$628,2,0)</f>
        <v>30040829</v>
      </c>
      <c r="AO153" s="7" t="b">
        <f>AN153=R153</f>
        <v>1</v>
      </c>
      <c r="AP153" s="7">
        <f>VLOOKUP(A153,'base ZITRHR129'!G7:W633,17,0)</f>
        <v>3957.48</v>
      </c>
      <c r="AQ153" s="7" t="b">
        <f>AP153=AK153</f>
        <v>1</v>
      </c>
      <c r="AR153" s="69"/>
    </row>
    <row r="154" spans="1:44" s="7" customFormat="1" ht="12" x14ac:dyDescent="0.2">
      <c r="A154" s="7">
        <v>10028445</v>
      </c>
      <c r="B154" s="8" t="s">
        <v>178</v>
      </c>
      <c r="C154" s="8" t="s">
        <v>680</v>
      </c>
      <c r="D154" s="8" t="s">
        <v>717</v>
      </c>
      <c r="E154" s="8" t="s">
        <v>729</v>
      </c>
      <c r="F154" s="8" t="s">
        <v>1406</v>
      </c>
      <c r="G154" s="8" t="s">
        <v>758</v>
      </c>
      <c r="H154" s="9">
        <v>17</v>
      </c>
      <c r="I154" s="8" t="s">
        <v>654</v>
      </c>
      <c r="J154" s="8" t="s">
        <v>927</v>
      </c>
      <c r="K154" s="8" t="s">
        <v>16</v>
      </c>
      <c r="L154" s="8" t="s">
        <v>17</v>
      </c>
      <c r="M154" s="10" t="s">
        <v>680</v>
      </c>
      <c r="N154" s="10" t="s">
        <v>717</v>
      </c>
      <c r="O154" s="10" t="s">
        <v>654</v>
      </c>
      <c r="P154" s="1"/>
      <c r="Q154" s="11" t="b">
        <f>O154=P154</f>
        <v>0</v>
      </c>
      <c r="R154" s="30">
        <v>30040830</v>
      </c>
      <c r="S154" s="1"/>
      <c r="T154" s="11" t="b">
        <f>R154=S154</f>
        <v>0</v>
      </c>
      <c r="U154" s="10" t="s">
        <v>16</v>
      </c>
      <c r="V154" s="1"/>
      <c r="W154" s="11" t="b">
        <f>U154=V154</f>
        <v>0</v>
      </c>
      <c r="X154" s="13" t="s">
        <v>15</v>
      </c>
      <c r="Y154" s="1"/>
      <c r="Z154" s="1"/>
      <c r="AA154" s="59">
        <v>22002447</v>
      </c>
      <c r="AB154" s="10" t="s">
        <v>1409</v>
      </c>
      <c r="AD154" s="11" t="b">
        <f>AB154=AC154</f>
        <v>0</v>
      </c>
      <c r="AE154" s="10" t="s">
        <v>758</v>
      </c>
      <c r="AF154" s="1"/>
      <c r="AG154" s="11" t="b">
        <f>AE154=AF154</f>
        <v>0</v>
      </c>
      <c r="AH154" s="1">
        <v>17</v>
      </c>
      <c r="AI154" s="1">
        <v>14.48</v>
      </c>
      <c r="AJ154" s="16">
        <f>AI154*220/30*30.4375</f>
        <v>3232.0566666666668</v>
      </c>
      <c r="AK154" s="18">
        <v>3232.06</v>
      </c>
      <c r="AL154" s="71" t="s">
        <v>654</v>
      </c>
      <c r="AM154" s="19" t="b">
        <f>AL154=O154</f>
        <v>1</v>
      </c>
      <c r="AN154" s="7">
        <f>VLOOKUP(A154,'base ZITRHR129'!$G$1:$H$628,2,0)</f>
        <v>30040830</v>
      </c>
      <c r="AO154" s="7" t="b">
        <f>AN154=R154</f>
        <v>1</v>
      </c>
      <c r="AP154" s="7">
        <f>VLOOKUP(A154,'base ZITRHR129'!G6:W632,17,0)</f>
        <v>3232.06</v>
      </c>
      <c r="AQ154" s="7" t="b">
        <f>AP154=AK154</f>
        <v>1</v>
      </c>
      <c r="AR154" s="69"/>
    </row>
    <row r="155" spans="1:44" s="7" customFormat="1" ht="12" x14ac:dyDescent="0.2">
      <c r="A155" s="7">
        <v>10028569</v>
      </c>
      <c r="B155" s="8" t="s">
        <v>179</v>
      </c>
      <c r="C155" s="8" t="s">
        <v>682</v>
      </c>
      <c r="D155" s="8" t="s">
        <v>717</v>
      </c>
      <c r="E155" s="8" t="s">
        <v>720</v>
      </c>
      <c r="F155" s="8" t="s">
        <v>1406</v>
      </c>
      <c r="G155" s="8" t="s">
        <v>751</v>
      </c>
      <c r="H155" s="9">
        <v>18</v>
      </c>
      <c r="I155" s="8" t="s">
        <v>655</v>
      </c>
      <c r="J155" s="8" t="s">
        <v>928</v>
      </c>
      <c r="K155" s="8" t="s">
        <v>16</v>
      </c>
      <c r="L155" s="8" t="s">
        <v>17</v>
      </c>
      <c r="M155" s="10" t="s">
        <v>682</v>
      </c>
      <c r="N155" s="10" t="s">
        <v>717</v>
      </c>
      <c r="O155" s="10" t="s">
        <v>655</v>
      </c>
      <c r="P155" s="1"/>
      <c r="Q155" s="11" t="b">
        <f>O155=P155</f>
        <v>0</v>
      </c>
      <c r="R155" s="30">
        <v>30040831</v>
      </c>
      <c r="S155" s="1"/>
      <c r="T155" s="11" t="b">
        <f>R155=S155</f>
        <v>0</v>
      </c>
      <c r="U155" s="10" t="s">
        <v>16</v>
      </c>
      <c r="V155" s="1"/>
      <c r="W155" s="11" t="b">
        <f>U155=V155</f>
        <v>0</v>
      </c>
      <c r="X155" s="13" t="s">
        <v>15</v>
      </c>
      <c r="Y155" s="1"/>
      <c r="Z155" s="1"/>
      <c r="AA155" s="10">
        <v>22003015</v>
      </c>
      <c r="AB155" s="10" t="s">
        <v>1409</v>
      </c>
      <c r="AD155" s="11" t="b">
        <f>AB155=AC155</f>
        <v>0</v>
      </c>
      <c r="AE155" s="10" t="s">
        <v>751</v>
      </c>
      <c r="AF155" s="1"/>
      <c r="AG155" s="11" t="b">
        <f>AE155=AF155</f>
        <v>0</v>
      </c>
      <c r="AH155" s="1">
        <v>18</v>
      </c>
      <c r="AI155" s="1">
        <v>17.73</v>
      </c>
      <c r="AJ155" s="16">
        <f>AI155*220/30*30.4375</f>
        <v>3957.4837500000003</v>
      </c>
      <c r="AK155" s="18">
        <v>3957.48</v>
      </c>
      <c r="AL155" s="71" t="s">
        <v>655</v>
      </c>
      <c r="AM155" s="19" t="b">
        <f>AL155=O155</f>
        <v>1</v>
      </c>
      <c r="AN155" s="7">
        <f>VLOOKUP(A155,'base ZITRHR129'!$G$1:$H$628,2,0)</f>
        <v>30040831</v>
      </c>
      <c r="AO155" s="7" t="b">
        <f>AN155=R155</f>
        <v>1</v>
      </c>
      <c r="AP155" s="7">
        <f>VLOOKUP(A155,'base ZITRHR129'!G5:W631,17,0)</f>
        <v>3957.48</v>
      </c>
      <c r="AQ155" s="7" t="b">
        <f>AP155=AK155</f>
        <v>1</v>
      </c>
      <c r="AR155" s="69"/>
    </row>
    <row r="156" spans="1:44" s="7" customFormat="1" ht="12" x14ac:dyDescent="0.2">
      <c r="A156" s="7">
        <v>10028738</v>
      </c>
      <c r="B156" s="8" t="s">
        <v>180</v>
      </c>
      <c r="C156" s="8" t="s">
        <v>681</v>
      </c>
      <c r="D156" s="8" t="s">
        <v>717</v>
      </c>
      <c r="E156" s="8" t="s">
        <v>720</v>
      </c>
      <c r="F156" s="8" t="s">
        <v>1406</v>
      </c>
      <c r="G156" s="8" t="s">
        <v>751</v>
      </c>
      <c r="H156" s="9">
        <v>18</v>
      </c>
      <c r="I156" s="8" t="s">
        <v>653</v>
      </c>
      <c r="J156" s="8" t="s">
        <v>929</v>
      </c>
      <c r="K156" s="8" t="s">
        <v>16</v>
      </c>
      <c r="L156" s="8" t="s">
        <v>17</v>
      </c>
      <c r="M156" s="10" t="s">
        <v>681</v>
      </c>
      <c r="N156" s="10" t="s">
        <v>717</v>
      </c>
      <c r="O156" s="10" t="s">
        <v>653</v>
      </c>
      <c r="P156" s="1"/>
      <c r="Q156" s="11" t="b">
        <f>O156=P156</f>
        <v>0</v>
      </c>
      <c r="R156" s="30">
        <v>30040832</v>
      </c>
      <c r="S156" s="1"/>
      <c r="T156" s="11" t="b">
        <f>R156=S156</f>
        <v>0</v>
      </c>
      <c r="U156" s="10" t="s">
        <v>16</v>
      </c>
      <c r="V156" s="1"/>
      <c r="W156" s="11" t="b">
        <f>U156=V156</f>
        <v>0</v>
      </c>
      <c r="X156" s="13" t="s">
        <v>15</v>
      </c>
      <c r="Y156" s="1"/>
      <c r="Z156" s="1"/>
      <c r="AA156" s="59">
        <v>22003015</v>
      </c>
      <c r="AB156" s="10" t="s">
        <v>1409</v>
      </c>
      <c r="AD156" s="11" t="b">
        <f>AB156=AC156</f>
        <v>0</v>
      </c>
      <c r="AE156" s="10" t="s">
        <v>751</v>
      </c>
      <c r="AF156" s="1"/>
      <c r="AG156" s="11" t="b">
        <f>AE156=AF156</f>
        <v>0</v>
      </c>
      <c r="AH156" s="1">
        <v>18</v>
      </c>
      <c r="AI156" s="1">
        <v>17.73</v>
      </c>
      <c r="AJ156" s="16">
        <f>AI156*220/30*30.4375</f>
        <v>3957.4837500000003</v>
      </c>
      <c r="AK156" s="18">
        <v>3957.48</v>
      </c>
      <c r="AL156" s="71" t="s">
        <v>653</v>
      </c>
      <c r="AM156" s="19" t="b">
        <f>AL156=O156</f>
        <v>1</v>
      </c>
      <c r="AN156" s="7">
        <f>VLOOKUP(A156,'base ZITRHR129'!$G$1:$H$628,2,0)</f>
        <v>30040832</v>
      </c>
      <c r="AO156" s="7" t="b">
        <f>AN156=R156</f>
        <v>1</v>
      </c>
      <c r="AP156" s="7">
        <f>VLOOKUP(A156,'base ZITRHR129'!G4:W630,17,0)</f>
        <v>3957.48</v>
      </c>
      <c r="AQ156" s="7" t="b">
        <f>AP156=AK156</f>
        <v>1</v>
      </c>
      <c r="AR156" s="69"/>
    </row>
    <row r="157" spans="1:44" s="7" customFormat="1" ht="12" x14ac:dyDescent="0.2">
      <c r="A157" s="7">
        <v>10028747</v>
      </c>
      <c r="B157" s="8" t="s">
        <v>181</v>
      </c>
      <c r="C157" s="8" t="s">
        <v>681</v>
      </c>
      <c r="D157" s="8" t="s">
        <v>717</v>
      </c>
      <c r="E157" s="8" t="s">
        <v>720</v>
      </c>
      <c r="F157" s="8" t="s">
        <v>1406</v>
      </c>
      <c r="G157" s="8" t="s">
        <v>751</v>
      </c>
      <c r="H157" s="9">
        <v>18</v>
      </c>
      <c r="I157" s="8" t="s">
        <v>653</v>
      </c>
      <c r="J157" s="8" t="s">
        <v>930</v>
      </c>
      <c r="K157" s="8" t="s">
        <v>16</v>
      </c>
      <c r="L157" s="8" t="s">
        <v>17</v>
      </c>
      <c r="M157" s="10" t="s">
        <v>681</v>
      </c>
      <c r="N157" s="10" t="s">
        <v>717</v>
      </c>
      <c r="O157" s="10" t="s">
        <v>653</v>
      </c>
      <c r="P157" s="1"/>
      <c r="Q157" s="11" t="b">
        <f>O157=P157</f>
        <v>0</v>
      </c>
      <c r="R157" s="30">
        <v>30040833</v>
      </c>
      <c r="S157" s="1"/>
      <c r="T157" s="11" t="b">
        <f>R157=S157</f>
        <v>0</v>
      </c>
      <c r="U157" s="10" t="s">
        <v>16</v>
      </c>
      <c r="V157" s="1"/>
      <c r="W157" s="11" t="b">
        <f>U157=V157</f>
        <v>0</v>
      </c>
      <c r="X157" s="13" t="s">
        <v>15</v>
      </c>
      <c r="Y157" s="1"/>
      <c r="Z157" s="1"/>
      <c r="AA157" s="10">
        <v>22003015</v>
      </c>
      <c r="AB157" s="10" t="s">
        <v>1409</v>
      </c>
      <c r="AD157" s="11" t="b">
        <f>AB157=AC157</f>
        <v>0</v>
      </c>
      <c r="AE157" s="10" t="s">
        <v>751</v>
      </c>
      <c r="AF157" s="1"/>
      <c r="AG157" s="11" t="b">
        <f>AE157=AF157</f>
        <v>0</v>
      </c>
      <c r="AH157" s="1">
        <v>18</v>
      </c>
      <c r="AI157" s="1">
        <v>17.73</v>
      </c>
      <c r="AJ157" s="16">
        <f>AI157*220/30*30.4375</f>
        <v>3957.4837500000003</v>
      </c>
      <c r="AK157" s="18">
        <v>3957.48</v>
      </c>
      <c r="AL157" s="71" t="s">
        <v>653</v>
      </c>
      <c r="AM157" s="19" t="b">
        <f>AL157=O157</f>
        <v>1</v>
      </c>
      <c r="AN157" s="7">
        <f>VLOOKUP(A157,'base ZITRHR129'!$G$1:$H$628,2,0)</f>
        <v>30040833</v>
      </c>
      <c r="AO157" s="7" t="b">
        <f>AN157=R157</f>
        <v>1</v>
      </c>
      <c r="AP157" s="7">
        <f>VLOOKUP(A157,'base ZITRHR129'!G3:W629,17,0)</f>
        <v>3957.48</v>
      </c>
      <c r="AQ157" s="7" t="b">
        <f>AP157=AK157</f>
        <v>1</v>
      </c>
      <c r="AR157" s="69"/>
    </row>
    <row r="158" spans="1:44" s="7" customFormat="1" ht="12" x14ac:dyDescent="0.2">
      <c r="A158" s="7">
        <v>10028748</v>
      </c>
      <c r="B158" s="8" t="s">
        <v>182</v>
      </c>
      <c r="C158" s="8" t="s">
        <v>704</v>
      </c>
      <c r="D158" s="8" t="s">
        <v>717</v>
      </c>
      <c r="E158" s="8" t="s">
        <v>733</v>
      </c>
      <c r="F158" s="8" t="s">
        <v>1406</v>
      </c>
      <c r="G158" s="8" t="s">
        <v>762</v>
      </c>
      <c r="H158" s="9">
        <v>17</v>
      </c>
      <c r="I158" s="8" t="s">
        <v>669</v>
      </c>
      <c r="J158" s="8" t="s">
        <v>931</v>
      </c>
      <c r="K158" s="8" t="s">
        <v>16</v>
      </c>
      <c r="L158" s="8" t="s">
        <v>17</v>
      </c>
      <c r="M158" s="10" t="s">
        <v>704</v>
      </c>
      <c r="N158" s="10" t="s">
        <v>717</v>
      </c>
      <c r="O158" s="10" t="s">
        <v>669</v>
      </c>
      <c r="P158" s="1"/>
      <c r="Q158" s="11" t="b">
        <f>O158=P158</f>
        <v>0</v>
      </c>
      <c r="R158" s="30">
        <v>30040834</v>
      </c>
      <c r="S158" s="1"/>
      <c r="T158" s="11" t="b">
        <f>R158=S158</f>
        <v>0</v>
      </c>
      <c r="U158" s="10" t="s">
        <v>16</v>
      </c>
      <c r="V158" s="1"/>
      <c r="W158" s="11" t="b">
        <f>U158=V158</f>
        <v>0</v>
      </c>
      <c r="X158" s="13" t="s">
        <v>15</v>
      </c>
      <c r="Y158" s="1"/>
      <c r="Z158" s="1"/>
      <c r="AA158" s="59">
        <v>22001158</v>
      </c>
      <c r="AB158" s="10" t="s">
        <v>1409</v>
      </c>
      <c r="AD158" s="11" t="b">
        <f>AB158=AC158</f>
        <v>0</v>
      </c>
      <c r="AE158" s="10" t="s">
        <v>762</v>
      </c>
      <c r="AF158" s="1"/>
      <c r="AG158" s="11" t="b">
        <f>AE158=AF158</f>
        <v>0</v>
      </c>
      <c r="AH158" s="1">
        <v>17</v>
      </c>
      <c r="AI158" s="1">
        <v>11.43</v>
      </c>
      <c r="AJ158" s="16">
        <f>AI158*220/30*30.4375</f>
        <v>2551.2712499999998</v>
      </c>
      <c r="AK158" s="18">
        <v>2551.27</v>
      </c>
      <c r="AL158" s="71" t="s">
        <v>669</v>
      </c>
      <c r="AM158" s="19" t="b">
        <f>AL158=O158</f>
        <v>1</v>
      </c>
      <c r="AN158" s="7">
        <f>VLOOKUP(A158,'base ZITRHR129'!$G$1:$H$628,2,0)</f>
        <v>30040834</v>
      </c>
      <c r="AO158" s="7" t="b">
        <f>AN158=R158</f>
        <v>1</v>
      </c>
      <c r="AP158" s="7">
        <f>VLOOKUP(A158,'base ZITRHR129'!G2:W628,17,0)</f>
        <v>2551.27</v>
      </c>
      <c r="AQ158" s="7" t="b">
        <f>AP158=AK158</f>
        <v>1</v>
      </c>
      <c r="AR158" s="69"/>
    </row>
    <row r="159" spans="1:44" s="7" customFormat="1" ht="12" x14ac:dyDescent="0.2">
      <c r="A159" s="7">
        <v>10028804</v>
      </c>
      <c r="B159" s="8" t="s">
        <v>183</v>
      </c>
      <c r="C159" s="8" t="s">
        <v>706</v>
      </c>
      <c r="D159" s="8" t="s">
        <v>717</v>
      </c>
      <c r="E159" s="8" t="s">
        <v>724</v>
      </c>
      <c r="F159" s="8" t="s">
        <v>1406</v>
      </c>
      <c r="G159" s="8" t="s">
        <v>21</v>
      </c>
      <c r="H159" s="9">
        <v>16</v>
      </c>
      <c r="I159" s="8" t="s">
        <v>660</v>
      </c>
      <c r="J159" s="8" t="s">
        <v>932</v>
      </c>
      <c r="K159" s="8" t="s">
        <v>16</v>
      </c>
      <c r="L159" s="8" t="s">
        <v>17</v>
      </c>
      <c r="M159" s="10" t="s">
        <v>706</v>
      </c>
      <c r="N159" s="10" t="s">
        <v>717</v>
      </c>
      <c r="O159" s="10" t="s">
        <v>660</v>
      </c>
      <c r="P159" s="1"/>
      <c r="Q159" s="11" t="b">
        <f>O159=P159</f>
        <v>0</v>
      </c>
      <c r="R159" s="30">
        <v>30040835</v>
      </c>
      <c r="S159" s="1"/>
      <c r="T159" s="11" t="b">
        <f>R159=S159</f>
        <v>0</v>
      </c>
      <c r="U159" s="10" t="s">
        <v>16</v>
      </c>
      <c r="V159" s="1"/>
      <c r="W159" s="11" t="b">
        <f>U159=V159</f>
        <v>0</v>
      </c>
      <c r="X159" s="13" t="s">
        <v>15</v>
      </c>
      <c r="Y159" s="1"/>
      <c r="Z159" s="1"/>
      <c r="AA159" s="10">
        <v>22002616</v>
      </c>
      <c r="AB159" s="10" t="s">
        <v>1409</v>
      </c>
      <c r="AD159" s="11" t="b">
        <f>AB159=AC159</f>
        <v>0</v>
      </c>
      <c r="AE159" s="10" t="s">
        <v>21</v>
      </c>
      <c r="AF159" s="1"/>
      <c r="AG159" s="11" t="b">
        <f>AE159=AF159</f>
        <v>0</v>
      </c>
      <c r="AH159" s="1">
        <v>16</v>
      </c>
      <c r="AI159" s="1">
        <v>11.71</v>
      </c>
      <c r="AJ159" s="16">
        <f>AI159*220/30*30.4375</f>
        <v>2613.7695833333337</v>
      </c>
      <c r="AK159" s="18">
        <v>2613.77</v>
      </c>
      <c r="AL159" s="71" t="s">
        <v>660</v>
      </c>
      <c r="AM159" s="19" t="b">
        <f>AL159=O159</f>
        <v>1</v>
      </c>
      <c r="AN159" s="7">
        <f>VLOOKUP(A159,'base ZITRHR129'!$G$1:$H$628,2,0)</f>
        <v>30040835</v>
      </c>
      <c r="AO159" s="7" t="b">
        <f>AN159=R159</f>
        <v>1</v>
      </c>
      <c r="AP159" s="7">
        <f>VLOOKUP(A159,'base ZITRHR129'!G158:W784,17,0)</f>
        <v>2613.77</v>
      </c>
      <c r="AQ159" s="7" t="b">
        <f>AP159=AK159</f>
        <v>1</v>
      </c>
      <c r="AR159" s="69"/>
    </row>
    <row r="160" spans="1:44" s="7" customFormat="1" ht="12" x14ac:dyDescent="0.2">
      <c r="A160" s="7">
        <v>10028823</v>
      </c>
      <c r="B160" s="8" t="s">
        <v>184</v>
      </c>
      <c r="C160" s="8" t="s">
        <v>701</v>
      </c>
      <c r="D160" s="8" t="s">
        <v>717</v>
      </c>
      <c r="E160" s="8" t="s">
        <v>720</v>
      </c>
      <c r="F160" s="8" t="s">
        <v>1406</v>
      </c>
      <c r="G160" s="8" t="s">
        <v>751</v>
      </c>
      <c r="H160" s="9">
        <v>18</v>
      </c>
      <c r="I160" s="8" t="s">
        <v>668</v>
      </c>
      <c r="J160" s="8" t="s">
        <v>933</v>
      </c>
      <c r="K160" s="8" t="s">
        <v>16</v>
      </c>
      <c r="L160" s="8" t="s">
        <v>17</v>
      </c>
      <c r="M160" s="10" t="s">
        <v>701</v>
      </c>
      <c r="N160" s="10" t="s">
        <v>717</v>
      </c>
      <c r="O160" s="10" t="s">
        <v>668</v>
      </c>
      <c r="P160" s="1"/>
      <c r="Q160" s="11" t="b">
        <f>O160=P160</f>
        <v>0</v>
      </c>
      <c r="R160" s="30">
        <v>30040836</v>
      </c>
      <c r="S160" s="1"/>
      <c r="T160" s="11" t="b">
        <f>R160=S160</f>
        <v>0</v>
      </c>
      <c r="U160" s="10" t="s">
        <v>16</v>
      </c>
      <c r="V160" s="1"/>
      <c r="W160" s="11" t="b">
        <f>U160=V160</f>
        <v>0</v>
      </c>
      <c r="X160" s="13" t="s">
        <v>15</v>
      </c>
      <c r="Y160" s="1"/>
      <c r="Z160" s="1"/>
      <c r="AA160" s="59">
        <v>22003015</v>
      </c>
      <c r="AB160" s="10" t="s">
        <v>1409</v>
      </c>
      <c r="AD160" s="11" t="b">
        <f>AB160=AC160</f>
        <v>0</v>
      </c>
      <c r="AE160" s="10" t="s">
        <v>751</v>
      </c>
      <c r="AF160" s="1"/>
      <c r="AG160" s="11" t="b">
        <f>AE160=AF160</f>
        <v>0</v>
      </c>
      <c r="AH160" s="1">
        <v>18</v>
      </c>
      <c r="AI160" s="1">
        <v>17.73</v>
      </c>
      <c r="AJ160" s="16">
        <f>AI160*220/30*30.4375</f>
        <v>3957.4837500000003</v>
      </c>
      <c r="AK160" s="18">
        <v>3957.48</v>
      </c>
      <c r="AL160" s="71" t="s">
        <v>668</v>
      </c>
      <c r="AM160" s="19" t="b">
        <f>AL160=O160</f>
        <v>1</v>
      </c>
      <c r="AN160" s="7">
        <f>VLOOKUP(A160,'base ZITRHR129'!$G$1:$H$628,2,0)</f>
        <v>30040836</v>
      </c>
      <c r="AO160" s="7" t="b">
        <f>AN160=R160</f>
        <v>1</v>
      </c>
      <c r="AP160" s="7">
        <f>VLOOKUP(A160,'base ZITRHR129'!G157:W783,17,0)</f>
        <v>3957.48</v>
      </c>
      <c r="AQ160" s="7" t="b">
        <f>AP160=AK160</f>
        <v>1</v>
      </c>
      <c r="AR160" s="69"/>
    </row>
    <row r="161" spans="1:44" s="7" customFormat="1" ht="12" x14ac:dyDescent="0.2">
      <c r="A161" s="7">
        <v>10028828</v>
      </c>
      <c r="B161" s="8" t="s">
        <v>185</v>
      </c>
      <c r="C161" s="8" t="s">
        <v>684</v>
      </c>
      <c r="D161" s="8" t="s">
        <v>717</v>
      </c>
      <c r="E161" s="8" t="s">
        <v>720</v>
      </c>
      <c r="F161" s="8" t="s">
        <v>1406</v>
      </c>
      <c r="G161" s="8" t="s">
        <v>751</v>
      </c>
      <c r="H161" s="9">
        <v>18</v>
      </c>
      <c r="I161" s="8" t="s">
        <v>657</v>
      </c>
      <c r="J161" s="8" t="s">
        <v>934</v>
      </c>
      <c r="K161" s="8" t="s">
        <v>16</v>
      </c>
      <c r="L161" s="8" t="s">
        <v>17</v>
      </c>
      <c r="M161" s="10" t="s">
        <v>684</v>
      </c>
      <c r="N161" s="10" t="s">
        <v>717</v>
      </c>
      <c r="O161" s="10" t="s">
        <v>657</v>
      </c>
      <c r="P161" s="1"/>
      <c r="Q161" s="11" t="b">
        <f>O161=P161</f>
        <v>0</v>
      </c>
      <c r="R161" s="30">
        <v>30040837</v>
      </c>
      <c r="S161" s="1"/>
      <c r="T161" s="11" t="b">
        <f>R161=S161</f>
        <v>0</v>
      </c>
      <c r="U161" s="10" t="s">
        <v>16</v>
      </c>
      <c r="V161" s="1"/>
      <c r="W161" s="11" t="b">
        <f>U161=V161</f>
        <v>0</v>
      </c>
      <c r="X161" s="13" t="s">
        <v>15</v>
      </c>
      <c r="Y161" s="1"/>
      <c r="Z161" s="1"/>
      <c r="AA161" s="10">
        <v>22003015</v>
      </c>
      <c r="AB161" s="10" t="s">
        <v>1409</v>
      </c>
      <c r="AD161" s="11" t="b">
        <f>AB161=AC161</f>
        <v>0</v>
      </c>
      <c r="AE161" s="10" t="s">
        <v>751</v>
      </c>
      <c r="AF161" s="1"/>
      <c r="AG161" s="11" t="b">
        <f>AE161=AF161</f>
        <v>0</v>
      </c>
      <c r="AH161" s="1">
        <v>18</v>
      </c>
      <c r="AI161" s="1">
        <v>17.73</v>
      </c>
      <c r="AJ161" s="16">
        <f>AI161*220/30*30.4375</f>
        <v>3957.4837500000003</v>
      </c>
      <c r="AK161" s="18">
        <v>3957.48</v>
      </c>
      <c r="AL161" s="71" t="s">
        <v>657</v>
      </c>
      <c r="AM161" s="19" t="b">
        <f>AL161=O161</f>
        <v>1</v>
      </c>
      <c r="AN161" s="7">
        <f>VLOOKUP(A161,'base ZITRHR129'!$G$1:$H$628,2,0)</f>
        <v>30040837</v>
      </c>
      <c r="AO161" s="7" t="b">
        <f>AN161=R161</f>
        <v>1</v>
      </c>
      <c r="AP161" s="7">
        <f>VLOOKUP(A161,'base ZITRHR129'!G156:W782,17,0)</f>
        <v>3957.48</v>
      </c>
      <c r="AQ161" s="7" t="b">
        <f>AP161=AK161</f>
        <v>1</v>
      </c>
      <c r="AR161" s="69"/>
    </row>
    <row r="162" spans="1:44" s="7" customFormat="1" ht="12" x14ac:dyDescent="0.2">
      <c r="A162" s="7">
        <v>10028847</v>
      </c>
      <c r="B162" s="8" t="s">
        <v>186</v>
      </c>
      <c r="C162" s="8" t="s">
        <v>681</v>
      </c>
      <c r="D162" s="8" t="s">
        <v>717</v>
      </c>
      <c r="E162" s="8" t="s">
        <v>720</v>
      </c>
      <c r="F162" s="8" t="s">
        <v>1406</v>
      </c>
      <c r="G162" s="8" t="s">
        <v>751</v>
      </c>
      <c r="H162" s="9">
        <v>18</v>
      </c>
      <c r="I162" s="8" t="s">
        <v>653</v>
      </c>
      <c r="J162" s="8" t="s">
        <v>935</v>
      </c>
      <c r="K162" s="8" t="s">
        <v>16</v>
      </c>
      <c r="L162" s="8" t="s">
        <v>17</v>
      </c>
      <c r="M162" s="10" t="s">
        <v>681</v>
      </c>
      <c r="N162" s="10" t="s">
        <v>717</v>
      </c>
      <c r="O162" s="10" t="s">
        <v>653</v>
      </c>
      <c r="P162" s="1"/>
      <c r="Q162" s="11" t="b">
        <f>O162=P162</f>
        <v>0</v>
      </c>
      <c r="R162" s="30">
        <v>30040838</v>
      </c>
      <c r="S162" s="1"/>
      <c r="T162" s="11" t="b">
        <f>R162=S162</f>
        <v>0</v>
      </c>
      <c r="U162" s="10" t="s">
        <v>16</v>
      </c>
      <c r="V162" s="1"/>
      <c r="W162" s="11" t="b">
        <f>U162=V162</f>
        <v>0</v>
      </c>
      <c r="X162" s="13" t="s">
        <v>15</v>
      </c>
      <c r="Y162" s="1"/>
      <c r="Z162" s="1"/>
      <c r="AA162" s="10">
        <v>22003015</v>
      </c>
      <c r="AB162" s="10" t="s">
        <v>1409</v>
      </c>
      <c r="AD162" s="11" t="b">
        <f>AB162=AC162</f>
        <v>0</v>
      </c>
      <c r="AE162" s="10" t="s">
        <v>751</v>
      </c>
      <c r="AF162" s="1"/>
      <c r="AG162" s="11" t="b">
        <f>AE162=AF162</f>
        <v>0</v>
      </c>
      <c r="AH162" s="1">
        <v>18</v>
      </c>
      <c r="AI162" s="1">
        <v>13.14</v>
      </c>
      <c r="AJ162" s="16">
        <f>AI162*220/30*30.4375</f>
        <v>2932.9575</v>
      </c>
      <c r="AK162" s="18">
        <v>2932.96</v>
      </c>
      <c r="AL162" s="71" t="s">
        <v>653</v>
      </c>
      <c r="AM162" s="19" t="b">
        <f>AL162=O162</f>
        <v>1</v>
      </c>
      <c r="AN162" s="7">
        <f>VLOOKUP(A162,'base ZITRHR129'!$G$1:$H$628,2,0)</f>
        <v>30040838</v>
      </c>
      <c r="AO162" s="7" t="b">
        <f>AN162=R162</f>
        <v>1</v>
      </c>
      <c r="AP162" s="7">
        <f>VLOOKUP(A162,'base ZITRHR129'!G155:W781,17,0)</f>
        <v>2932.96</v>
      </c>
      <c r="AQ162" s="7" t="b">
        <f>AP162=AK162</f>
        <v>1</v>
      </c>
      <c r="AR162" s="69"/>
    </row>
    <row r="163" spans="1:44" s="7" customFormat="1" ht="12" x14ac:dyDescent="0.2">
      <c r="A163" s="7">
        <v>10029098</v>
      </c>
      <c r="B163" s="8" t="s">
        <v>187</v>
      </c>
      <c r="C163" s="8" t="s">
        <v>680</v>
      </c>
      <c r="D163" s="8" t="s">
        <v>717</v>
      </c>
      <c r="E163" s="8" t="s">
        <v>729</v>
      </c>
      <c r="F163" s="8" t="s">
        <v>1406</v>
      </c>
      <c r="G163" s="8" t="s">
        <v>758</v>
      </c>
      <c r="H163" s="9">
        <v>17</v>
      </c>
      <c r="I163" s="8" t="s">
        <v>654</v>
      </c>
      <c r="J163" s="8" t="s">
        <v>936</v>
      </c>
      <c r="K163" s="8" t="s">
        <v>16</v>
      </c>
      <c r="L163" s="8" t="s">
        <v>17</v>
      </c>
      <c r="M163" s="10" t="s">
        <v>680</v>
      </c>
      <c r="N163" s="10" t="s">
        <v>717</v>
      </c>
      <c r="O163" s="10" t="s">
        <v>654</v>
      </c>
      <c r="P163" s="1"/>
      <c r="Q163" s="11" t="b">
        <f>O163=P163</f>
        <v>0</v>
      </c>
      <c r="R163" s="30">
        <v>30040839</v>
      </c>
      <c r="S163" s="1"/>
      <c r="T163" s="11" t="b">
        <f>R163=S163</f>
        <v>0</v>
      </c>
      <c r="U163" s="10" t="s">
        <v>16</v>
      </c>
      <c r="V163" s="1"/>
      <c r="W163" s="11" t="b">
        <f>U163=V163</f>
        <v>0</v>
      </c>
      <c r="X163" s="13" t="s">
        <v>15</v>
      </c>
      <c r="Y163" s="1"/>
      <c r="Z163" s="1"/>
      <c r="AA163" s="10">
        <v>22002447</v>
      </c>
      <c r="AB163" s="10" t="s">
        <v>1409</v>
      </c>
      <c r="AD163" s="11" t="b">
        <f>AB163=AC163</f>
        <v>0</v>
      </c>
      <c r="AE163" s="10" t="s">
        <v>758</v>
      </c>
      <c r="AF163" s="1"/>
      <c r="AG163" s="11" t="b">
        <f>AE163=AF163</f>
        <v>0</v>
      </c>
      <c r="AH163" s="1">
        <v>17</v>
      </c>
      <c r="AI163" s="1">
        <v>14.48</v>
      </c>
      <c r="AJ163" s="16">
        <f>AI163*220/30*30.4375</f>
        <v>3232.0566666666668</v>
      </c>
      <c r="AK163" s="18">
        <v>3232.06</v>
      </c>
      <c r="AL163" s="71" t="s">
        <v>654</v>
      </c>
      <c r="AM163" s="19" t="b">
        <f>AL163=O163</f>
        <v>1</v>
      </c>
      <c r="AN163" s="7">
        <f>VLOOKUP(A163,'base ZITRHR129'!$G$1:$H$628,2,0)</f>
        <v>30040839</v>
      </c>
      <c r="AO163" s="7" t="b">
        <f>AN163=R163</f>
        <v>1</v>
      </c>
      <c r="AP163" s="7">
        <f>VLOOKUP(A163,'base ZITRHR129'!G154:W780,17,0)</f>
        <v>3232.06</v>
      </c>
      <c r="AQ163" s="7" t="b">
        <f>AP163=AK163</f>
        <v>1</v>
      </c>
      <c r="AR163" s="69"/>
    </row>
    <row r="164" spans="1:44" s="7" customFormat="1" ht="12" x14ac:dyDescent="0.2">
      <c r="A164" s="7">
        <v>10029166</v>
      </c>
      <c r="B164" s="8" t="s">
        <v>188</v>
      </c>
      <c r="C164" s="8" t="s">
        <v>698</v>
      </c>
      <c r="D164" s="8" t="s">
        <v>717</v>
      </c>
      <c r="E164" s="8" t="s">
        <v>727</v>
      </c>
      <c r="F164" s="8" t="s">
        <v>1406</v>
      </c>
      <c r="G164" s="8" t="s">
        <v>756</v>
      </c>
      <c r="H164" s="9">
        <v>17</v>
      </c>
      <c r="I164" s="8" t="s">
        <v>664</v>
      </c>
      <c r="J164" s="8" t="s">
        <v>937</v>
      </c>
      <c r="K164" s="8" t="s">
        <v>16</v>
      </c>
      <c r="L164" s="8" t="s">
        <v>17</v>
      </c>
      <c r="M164" s="10" t="s">
        <v>698</v>
      </c>
      <c r="N164" s="10" t="s">
        <v>717</v>
      </c>
      <c r="O164" s="10" t="s">
        <v>664</v>
      </c>
      <c r="P164" s="1"/>
      <c r="Q164" s="11" t="b">
        <f>O164=P164</f>
        <v>0</v>
      </c>
      <c r="R164" s="30">
        <v>30040840</v>
      </c>
      <c r="S164" s="1"/>
      <c r="T164" s="11" t="b">
        <f>R164=S164</f>
        <v>0</v>
      </c>
      <c r="U164" s="10" t="s">
        <v>16</v>
      </c>
      <c r="V164" s="1"/>
      <c r="W164" s="11" t="b">
        <f>U164=V164</f>
        <v>0</v>
      </c>
      <c r="X164" s="13" t="s">
        <v>15</v>
      </c>
      <c r="Y164" s="1"/>
      <c r="Z164" s="1"/>
      <c r="AA164" s="59">
        <v>22003017</v>
      </c>
      <c r="AB164" s="10" t="s">
        <v>1409</v>
      </c>
      <c r="AD164" s="11" t="b">
        <f>AB164=AC164</f>
        <v>0</v>
      </c>
      <c r="AE164" s="10" t="s">
        <v>756</v>
      </c>
      <c r="AF164" s="1"/>
      <c r="AG164" s="11" t="b">
        <f>AE164=AF164</f>
        <v>0</v>
      </c>
      <c r="AH164" s="1">
        <v>17</v>
      </c>
      <c r="AI164" s="1">
        <v>14.04</v>
      </c>
      <c r="AJ164" s="16">
        <f>AI164*220/30*30.4375</f>
        <v>3133.8449999999998</v>
      </c>
      <c r="AK164" s="18">
        <v>3133.85</v>
      </c>
      <c r="AL164" s="71" t="s">
        <v>664</v>
      </c>
      <c r="AM164" s="19" t="b">
        <f>AL164=O164</f>
        <v>1</v>
      </c>
      <c r="AN164" s="7">
        <f>VLOOKUP(A164,'base ZITRHR129'!$G$1:$H$628,2,0)</f>
        <v>30040840</v>
      </c>
      <c r="AO164" s="7" t="b">
        <f>AN164=R164</f>
        <v>1</v>
      </c>
      <c r="AP164" s="7">
        <f>VLOOKUP(A164,'base ZITRHR129'!G153:W779,17,0)</f>
        <v>3133.85</v>
      </c>
      <c r="AQ164" s="7" t="b">
        <f>AP164=AK164</f>
        <v>1</v>
      </c>
      <c r="AR164" s="69"/>
    </row>
    <row r="165" spans="1:44" s="7" customFormat="1" ht="12" x14ac:dyDescent="0.2">
      <c r="A165" s="7">
        <v>10029169</v>
      </c>
      <c r="B165" s="8" t="s">
        <v>189</v>
      </c>
      <c r="C165" s="8" t="s">
        <v>679</v>
      </c>
      <c r="D165" s="8" t="s">
        <v>717</v>
      </c>
      <c r="E165" s="8" t="s">
        <v>720</v>
      </c>
      <c r="F165" s="8" t="s">
        <v>1406</v>
      </c>
      <c r="G165" s="8" t="s">
        <v>751</v>
      </c>
      <c r="H165" s="9">
        <v>18</v>
      </c>
      <c r="I165" s="8" t="s">
        <v>653</v>
      </c>
      <c r="J165" s="8" t="s">
        <v>938</v>
      </c>
      <c r="K165" s="8" t="s">
        <v>16</v>
      </c>
      <c r="L165" s="8" t="s">
        <v>17</v>
      </c>
      <c r="M165" s="10" t="s">
        <v>679</v>
      </c>
      <c r="N165" s="10" t="s">
        <v>717</v>
      </c>
      <c r="O165" s="10" t="s">
        <v>653</v>
      </c>
      <c r="P165" s="1"/>
      <c r="Q165" s="11" t="b">
        <f>O165=P165</f>
        <v>0</v>
      </c>
      <c r="R165" s="30">
        <v>30040841</v>
      </c>
      <c r="S165" s="1"/>
      <c r="T165" s="11" t="b">
        <f>R165=S165</f>
        <v>0</v>
      </c>
      <c r="U165" s="10" t="s">
        <v>16</v>
      </c>
      <c r="V165" s="1"/>
      <c r="W165" s="11" t="b">
        <f>U165=V165</f>
        <v>0</v>
      </c>
      <c r="X165" s="13" t="s">
        <v>15</v>
      </c>
      <c r="Y165" s="1"/>
      <c r="Z165" s="1"/>
      <c r="AA165" s="10">
        <v>22003015</v>
      </c>
      <c r="AB165" s="10" t="s">
        <v>1409</v>
      </c>
      <c r="AD165" s="11" t="b">
        <f>AB165=AC165</f>
        <v>0</v>
      </c>
      <c r="AE165" s="10" t="s">
        <v>751</v>
      </c>
      <c r="AF165" s="1"/>
      <c r="AG165" s="11" t="b">
        <f>AE165=AF165</f>
        <v>0</v>
      </c>
      <c r="AH165" s="1">
        <v>18</v>
      </c>
      <c r="AI165" s="1">
        <v>12.43</v>
      </c>
      <c r="AJ165" s="16">
        <f>AI165*220/30*30.4375</f>
        <v>2774.4795833333333</v>
      </c>
      <c r="AK165" s="18">
        <v>2774.48</v>
      </c>
      <c r="AL165" s="71" t="s">
        <v>653</v>
      </c>
      <c r="AM165" s="19" t="b">
        <f>AL165=O165</f>
        <v>1</v>
      </c>
      <c r="AN165" s="7">
        <f>VLOOKUP(A165,'base ZITRHR129'!$G$1:$H$628,2,0)</f>
        <v>30040841</v>
      </c>
      <c r="AO165" s="7" t="b">
        <f>AN165=R165</f>
        <v>1</v>
      </c>
      <c r="AP165" s="7">
        <f>VLOOKUP(A165,'base ZITRHR129'!G152:W778,17,0)</f>
        <v>2774.48</v>
      </c>
      <c r="AQ165" s="7" t="b">
        <f>AP165=AK165</f>
        <v>1</v>
      </c>
      <c r="AR165" s="69"/>
    </row>
    <row r="166" spans="1:44" s="7" customFormat="1" ht="12" x14ac:dyDescent="0.2">
      <c r="A166" s="7">
        <v>10029181</v>
      </c>
      <c r="B166" s="8" t="s">
        <v>190</v>
      </c>
      <c r="C166" s="8" t="s">
        <v>679</v>
      </c>
      <c r="D166" s="8" t="s">
        <v>717</v>
      </c>
      <c r="E166" s="8" t="s">
        <v>720</v>
      </c>
      <c r="F166" s="8" t="s">
        <v>1406</v>
      </c>
      <c r="G166" s="8" t="s">
        <v>751</v>
      </c>
      <c r="H166" s="9">
        <v>18</v>
      </c>
      <c r="I166" s="8" t="s">
        <v>653</v>
      </c>
      <c r="J166" s="8" t="s">
        <v>939</v>
      </c>
      <c r="K166" s="8" t="s">
        <v>16</v>
      </c>
      <c r="L166" s="8" t="s">
        <v>17</v>
      </c>
      <c r="M166" s="10" t="s">
        <v>679</v>
      </c>
      <c r="N166" s="10" t="s">
        <v>717</v>
      </c>
      <c r="O166" s="10" t="s">
        <v>653</v>
      </c>
      <c r="P166" s="1"/>
      <c r="Q166" s="11" t="b">
        <f>O166=P166</f>
        <v>0</v>
      </c>
      <c r="R166" s="30">
        <v>30040842</v>
      </c>
      <c r="S166" s="1"/>
      <c r="T166" s="11" t="b">
        <f>R166=S166</f>
        <v>0</v>
      </c>
      <c r="U166" s="10" t="s">
        <v>16</v>
      </c>
      <c r="V166" s="1"/>
      <c r="W166" s="11" t="b">
        <f>U166=V166</f>
        <v>0</v>
      </c>
      <c r="X166" s="13" t="s">
        <v>15</v>
      </c>
      <c r="Y166" s="1"/>
      <c r="Z166" s="1"/>
      <c r="AA166" s="10">
        <v>22003015</v>
      </c>
      <c r="AB166" s="10" t="s">
        <v>1409</v>
      </c>
      <c r="AD166" s="11" t="b">
        <f>AB166=AC166</f>
        <v>0</v>
      </c>
      <c r="AE166" s="10" t="s">
        <v>751</v>
      </c>
      <c r="AF166" s="1"/>
      <c r="AG166" s="11" t="b">
        <f>AE166=AF166</f>
        <v>0</v>
      </c>
      <c r="AH166" s="1">
        <v>18</v>
      </c>
      <c r="AI166" s="1">
        <v>17.73</v>
      </c>
      <c r="AJ166" s="16">
        <f>AI166*220/30*30.4375</f>
        <v>3957.4837500000003</v>
      </c>
      <c r="AK166" s="18">
        <v>3957.48</v>
      </c>
      <c r="AL166" s="71" t="s">
        <v>653</v>
      </c>
      <c r="AM166" s="19" t="b">
        <f>AL166=O166</f>
        <v>1</v>
      </c>
      <c r="AN166" s="7">
        <f>VLOOKUP(A166,'base ZITRHR129'!$G$1:$H$628,2,0)</f>
        <v>30040842</v>
      </c>
      <c r="AO166" s="7" t="b">
        <f>AN166=R166</f>
        <v>1</v>
      </c>
      <c r="AP166" s="7">
        <f>VLOOKUP(A166,'base ZITRHR129'!G151:W777,17,0)</f>
        <v>3957.48</v>
      </c>
      <c r="AQ166" s="7" t="b">
        <f>AP166=AK166</f>
        <v>1</v>
      </c>
      <c r="AR166" s="69"/>
    </row>
    <row r="167" spans="1:44" s="7" customFormat="1" ht="12" x14ac:dyDescent="0.2">
      <c r="A167" s="7">
        <v>10029238</v>
      </c>
      <c r="B167" s="8" t="s">
        <v>191</v>
      </c>
      <c r="C167" s="8" t="s">
        <v>691</v>
      </c>
      <c r="D167" s="8" t="s">
        <v>717</v>
      </c>
      <c r="E167" s="8" t="s">
        <v>727</v>
      </c>
      <c r="F167" s="8" t="s">
        <v>1406</v>
      </c>
      <c r="G167" s="8" t="s">
        <v>756</v>
      </c>
      <c r="H167" s="9">
        <v>17</v>
      </c>
      <c r="I167" s="8" t="s">
        <v>664</v>
      </c>
      <c r="J167" s="8" t="s">
        <v>940</v>
      </c>
      <c r="K167" s="8" t="s">
        <v>16</v>
      </c>
      <c r="L167" s="8" t="s">
        <v>17</v>
      </c>
      <c r="M167" s="10" t="s">
        <v>691</v>
      </c>
      <c r="N167" s="10" t="s">
        <v>717</v>
      </c>
      <c r="O167" s="10" t="s">
        <v>664</v>
      </c>
      <c r="P167" s="1"/>
      <c r="Q167" s="11" t="b">
        <f>O167=P167</f>
        <v>0</v>
      </c>
      <c r="R167" s="30">
        <v>30040843</v>
      </c>
      <c r="S167" s="1"/>
      <c r="T167" s="11" t="b">
        <f>R167=S167</f>
        <v>0</v>
      </c>
      <c r="U167" s="10" t="s">
        <v>16</v>
      </c>
      <c r="V167" s="1"/>
      <c r="W167" s="11" t="b">
        <f>U167=V167</f>
        <v>0</v>
      </c>
      <c r="X167" s="13" t="s">
        <v>15</v>
      </c>
      <c r="Y167" s="1"/>
      <c r="Z167" s="1"/>
      <c r="AA167" s="10">
        <v>22003017</v>
      </c>
      <c r="AB167" s="10" t="s">
        <v>1409</v>
      </c>
      <c r="AD167" s="11" t="b">
        <f>AB167=AC167</f>
        <v>0</v>
      </c>
      <c r="AE167" s="10" t="s">
        <v>756</v>
      </c>
      <c r="AF167" s="1"/>
      <c r="AG167" s="11" t="b">
        <f>AE167=AF167</f>
        <v>0</v>
      </c>
      <c r="AH167" s="1">
        <v>17</v>
      </c>
      <c r="AI167" s="1">
        <v>14.04</v>
      </c>
      <c r="AJ167" s="16">
        <f>AI167*220/30*30.4375</f>
        <v>3133.8449999999998</v>
      </c>
      <c r="AK167" s="18">
        <v>3133.85</v>
      </c>
      <c r="AL167" s="71" t="s">
        <v>664</v>
      </c>
      <c r="AM167" s="19" t="b">
        <f>AL167=O167</f>
        <v>1</v>
      </c>
      <c r="AN167" s="7">
        <f>VLOOKUP(A167,'base ZITRHR129'!$G$1:$H$628,2,0)</f>
        <v>30040843</v>
      </c>
      <c r="AO167" s="7" t="b">
        <f>AN167=R167</f>
        <v>1</v>
      </c>
      <c r="AP167" s="7">
        <f>VLOOKUP(A167,'base ZITRHR129'!G150:W776,17,0)</f>
        <v>3133.85</v>
      </c>
      <c r="AQ167" s="7" t="b">
        <f>AP167=AK167</f>
        <v>1</v>
      </c>
      <c r="AR167" s="69"/>
    </row>
    <row r="168" spans="1:44" s="7" customFormat="1" ht="12" x14ac:dyDescent="0.2">
      <c r="A168" s="7">
        <v>10029376</v>
      </c>
      <c r="B168" s="8" t="s">
        <v>192</v>
      </c>
      <c r="C168" s="8" t="s">
        <v>679</v>
      </c>
      <c r="D168" s="8" t="s">
        <v>717</v>
      </c>
      <c r="E168" s="8" t="s">
        <v>720</v>
      </c>
      <c r="F168" s="8" t="s">
        <v>1406</v>
      </c>
      <c r="G168" s="8" t="s">
        <v>751</v>
      </c>
      <c r="H168" s="9">
        <v>18</v>
      </c>
      <c r="I168" s="8" t="s">
        <v>653</v>
      </c>
      <c r="J168" s="8" t="s">
        <v>941</v>
      </c>
      <c r="K168" s="8" t="s">
        <v>16</v>
      </c>
      <c r="L168" s="8" t="s">
        <v>17</v>
      </c>
      <c r="M168" s="10" t="s">
        <v>679</v>
      </c>
      <c r="N168" s="10" t="s">
        <v>717</v>
      </c>
      <c r="O168" s="10" t="s">
        <v>653</v>
      </c>
      <c r="P168" s="1"/>
      <c r="Q168" s="11" t="b">
        <f>O168=P168</f>
        <v>0</v>
      </c>
      <c r="R168" s="30">
        <v>30040844</v>
      </c>
      <c r="S168" s="1"/>
      <c r="T168" s="11" t="b">
        <f>R168=S168</f>
        <v>0</v>
      </c>
      <c r="U168" s="10" t="s">
        <v>16</v>
      </c>
      <c r="V168" s="1"/>
      <c r="W168" s="11" t="b">
        <f>U168=V168</f>
        <v>0</v>
      </c>
      <c r="X168" s="13" t="s">
        <v>15</v>
      </c>
      <c r="Y168" s="1"/>
      <c r="Z168" s="1"/>
      <c r="AA168" s="10">
        <v>22003015</v>
      </c>
      <c r="AB168" s="10" t="s">
        <v>1409</v>
      </c>
      <c r="AD168" s="11" t="b">
        <f>AB168=AC168</f>
        <v>0</v>
      </c>
      <c r="AE168" s="10" t="s">
        <v>751</v>
      </c>
      <c r="AF168" s="1"/>
      <c r="AG168" s="11" t="b">
        <f>AE168=AF168</f>
        <v>0</v>
      </c>
      <c r="AH168" s="1">
        <v>18</v>
      </c>
      <c r="AI168" s="1">
        <v>17.73</v>
      </c>
      <c r="AJ168" s="16">
        <f>AI168*220/30*30.4375</f>
        <v>3957.4837500000003</v>
      </c>
      <c r="AK168" s="18">
        <v>3957.48</v>
      </c>
      <c r="AL168" s="71" t="s">
        <v>653</v>
      </c>
      <c r="AM168" s="19" t="b">
        <f>AL168=O168</f>
        <v>1</v>
      </c>
      <c r="AN168" s="7">
        <f>VLOOKUP(A168,'base ZITRHR129'!$G$1:$H$628,2,0)</f>
        <v>30040844</v>
      </c>
      <c r="AO168" s="7" t="b">
        <f>AN168=R168</f>
        <v>1</v>
      </c>
      <c r="AP168" s="7">
        <f>VLOOKUP(A168,'base ZITRHR129'!G149:W775,17,0)</f>
        <v>3957.48</v>
      </c>
      <c r="AQ168" s="7" t="b">
        <f>AP168=AK168</f>
        <v>1</v>
      </c>
      <c r="AR168" s="69"/>
    </row>
    <row r="169" spans="1:44" s="7" customFormat="1" ht="12" x14ac:dyDescent="0.2">
      <c r="A169" s="7">
        <v>10029400</v>
      </c>
      <c r="B169" s="8" t="s">
        <v>193</v>
      </c>
      <c r="C169" s="8" t="s">
        <v>679</v>
      </c>
      <c r="D169" s="8" t="s">
        <v>717</v>
      </c>
      <c r="E169" s="8" t="s">
        <v>720</v>
      </c>
      <c r="F169" s="8" t="s">
        <v>1406</v>
      </c>
      <c r="G169" s="8" t="s">
        <v>751</v>
      </c>
      <c r="H169" s="9">
        <v>18</v>
      </c>
      <c r="I169" s="8" t="s">
        <v>653</v>
      </c>
      <c r="J169" s="8" t="s">
        <v>942</v>
      </c>
      <c r="K169" s="8" t="s">
        <v>16</v>
      </c>
      <c r="L169" s="8" t="s">
        <v>17</v>
      </c>
      <c r="M169" s="10" t="s">
        <v>679</v>
      </c>
      <c r="N169" s="10" t="s">
        <v>717</v>
      </c>
      <c r="O169" s="10" t="s">
        <v>653</v>
      </c>
      <c r="P169" s="1"/>
      <c r="Q169" s="11" t="b">
        <f>O169=P169</f>
        <v>0</v>
      </c>
      <c r="R169" s="30">
        <v>30040845</v>
      </c>
      <c r="S169" s="1"/>
      <c r="T169" s="11" t="b">
        <f>R169=S169</f>
        <v>0</v>
      </c>
      <c r="U169" s="10" t="s">
        <v>16</v>
      </c>
      <c r="V169" s="1"/>
      <c r="W169" s="11" t="b">
        <f>U169=V169</f>
        <v>0</v>
      </c>
      <c r="X169" s="13" t="s">
        <v>15</v>
      </c>
      <c r="Y169" s="1"/>
      <c r="Z169" s="1"/>
      <c r="AA169" s="10">
        <v>22003015</v>
      </c>
      <c r="AB169" s="10" t="s">
        <v>1409</v>
      </c>
      <c r="AD169" s="11" t="b">
        <f>AB169=AC169</f>
        <v>0</v>
      </c>
      <c r="AE169" s="10" t="s">
        <v>751</v>
      </c>
      <c r="AF169" s="1"/>
      <c r="AG169" s="11" t="b">
        <f>AE169=AF169</f>
        <v>0</v>
      </c>
      <c r="AH169" s="1">
        <v>18</v>
      </c>
      <c r="AI169" s="1">
        <v>17.73</v>
      </c>
      <c r="AJ169" s="16">
        <f>AI169*220/30*30.4375</f>
        <v>3957.4837500000003</v>
      </c>
      <c r="AK169" s="18">
        <v>3957.48</v>
      </c>
      <c r="AL169" s="71" t="s">
        <v>653</v>
      </c>
      <c r="AM169" s="19" t="b">
        <f>AL169=O169</f>
        <v>1</v>
      </c>
      <c r="AN169" s="7">
        <f>VLOOKUP(A169,'base ZITRHR129'!$G$1:$H$628,2,0)</f>
        <v>30040845</v>
      </c>
      <c r="AO169" s="7" t="b">
        <f>AN169=R169</f>
        <v>1</v>
      </c>
      <c r="AP169" s="7">
        <f>VLOOKUP(A169,'base ZITRHR129'!G148:W774,17,0)</f>
        <v>3957.48</v>
      </c>
      <c r="AQ169" s="7" t="b">
        <f>AP169=AK169</f>
        <v>1</v>
      </c>
      <c r="AR169" s="69"/>
    </row>
    <row r="170" spans="1:44" s="7" customFormat="1" ht="12" x14ac:dyDescent="0.2">
      <c r="A170" s="7">
        <v>10029496</v>
      </c>
      <c r="B170" s="8" t="s">
        <v>194</v>
      </c>
      <c r="C170" s="8" t="s">
        <v>679</v>
      </c>
      <c r="D170" s="8" t="s">
        <v>717</v>
      </c>
      <c r="E170" s="8" t="s">
        <v>718</v>
      </c>
      <c r="F170" s="8" t="s">
        <v>1406</v>
      </c>
      <c r="G170" s="8" t="s">
        <v>750</v>
      </c>
      <c r="H170" s="9">
        <v>19</v>
      </c>
      <c r="I170" s="8" t="s">
        <v>653</v>
      </c>
      <c r="J170" s="8" t="s">
        <v>943</v>
      </c>
      <c r="K170" s="8" t="s">
        <v>16</v>
      </c>
      <c r="L170" s="8" t="s">
        <v>17</v>
      </c>
      <c r="M170" s="10" t="s">
        <v>679</v>
      </c>
      <c r="N170" s="10" t="s">
        <v>717</v>
      </c>
      <c r="O170" s="10" t="s">
        <v>653</v>
      </c>
      <c r="P170" s="1"/>
      <c r="Q170" s="11" t="b">
        <f>O170=P170</f>
        <v>0</v>
      </c>
      <c r="R170" s="30">
        <v>30040846</v>
      </c>
      <c r="S170" s="1"/>
      <c r="T170" s="11" t="b">
        <f>R170=S170</f>
        <v>0</v>
      </c>
      <c r="U170" s="10" t="s">
        <v>16</v>
      </c>
      <c r="V170" s="1"/>
      <c r="W170" s="11" t="b">
        <f>U170=V170</f>
        <v>0</v>
      </c>
      <c r="X170" s="13" t="s">
        <v>15</v>
      </c>
      <c r="Y170" s="1"/>
      <c r="Z170" s="1"/>
      <c r="AA170" s="10">
        <v>22003022</v>
      </c>
      <c r="AB170" s="10" t="s">
        <v>1409</v>
      </c>
      <c r="AD170" s="11" t="b">
        <f>AB170=AC170</f>
        <v>0</v>
      </c>
      <c r="AE170" s="10" t="s">
        <v>750</v>
      </c>
      <c r="AF170" s="1"/>
      <c r="AG170" s="11" t="b">
        <f>AE170=AF170</f>
        <v>0</v>
      </c>
      <c r="AH170" s="1">
        <v>19</v>
      </c>
      <c r="AI170" s="1">
        <v>18.62</v>
      </c>
      <c r="AJ170" s="16">
        <f>AI170*220/30*30.4375</f>
        <v>4156.1391666666668</v>
      </c>
      <c r="AK170" s="18">
        <v>4156.1400000000003</v>
      </c>
      <c r="AL170" s="71" t="s">
        <v>653</v>
      </c>
      <c r="AM170" s="19" t="b">
        <f>AL170=O170</f>
        <v>1</v>
      </c>
      <c r="AN170" s="7">
        <f>VLOOKUP(A170,'base ZITRHR129'!$G$1:$H$628,2,0)</f>
        <v>30040846</v>
      </c>
      <c r="AO170" s="7" t="b">
        <f>AN170=R170</f>
        <v>1</v>
      </c>
      <c r="AP170" s="7">
        <f>VLOOKUP(A170,'base ZITRHR129'!G147:W773,17,0)</f>
        <v>4156.1400000000003</v>
      </c>
      <c r="AQ170" s="7" t="b">
        <f>AP170=AK170</f>
        <v>1</v>
      </c>
      <c r="AR170" s="69"/>
    </row>
    <row r="171" spans="1:44" s="7" customFormat="1" ht="12" x14ac:dyDescent="0.2">
      <c r="A171" s="7">
        <v>10029518</v>
      </c>
      <c r="B171" s="8" t="s">
        <v>195</v>
      </c>
      <c r="C171" s="8" t="s">
        <v>690</v>
      </c>
      <c r="D171" s="8" t="s">
        <v>717</v>
      </c>
      <c r="E171" s="8" t="s">
        <v>726</v>
      </c>
      <c r="F171" s="8" t="s">
        <v>1406</v>
      </c>
      <c r="G171" s="8" t="s">
        <v>755</v>
      </c>
      <c r="H171" s="9">
        <v>15</v>
      </c>
      <c r="I171" s="8" t="s">
        <v>663</v>
      </c>
      <c r="J171" s="8" t="s">
        <v>944</v>
      </c>
      <c r="K171" s="8" t="s">
        <v>16</v>
      </c>
      <c r="L171" s="8" t="s">
        <v>17</v>
      </c>
      <c r="M171" s="10" t="s">
        <v>690</v>
      </c>
      <c r="N171" s="10" t="s">
        <v>717</v>
      </c>
      <c r="O171" s="10" t="s">
        <v>663</v>
      </c>
      <c r="P171" s="1"/>
      <c r="Q171" s="11" t="b">
        <f>O171=P171</f>
        <v>0</v>
      </c>
      <c r="R171" s="30">
        <v>30040847</v>
      </c>
      <c r="S171" s="1"/>
      <c r="T171" s="11" t="b">
        <f>R171=S171</f>
        <v>0</v>
      </c>
      <c r="U171" s="10" t="s">
        <v>16</v>
      </c>
      <c r="V171" s="1"/>
      <c r="W171" s="11" t="b">
        <f>U171=V171</f>
        <v>0</v>
      </c>
      <c r="X171" s="13" t="s">
        <v>15</v>
      </c>
      <c r="Y171" s="1"/>
      <c r="Z171" s="1"/>
      <c r="AA171" s="10">
        <v>22002617</v>
      </c>
      <c r="AB171" s="10" t="s">
        <v>1409</v>
      </c>
      <c r="AD171" s="11" t="b">
        <f>AB171=AC171</f>
        <v>0</v>
      </c>
      <c r="AE171" s="10" t="s">
        <v>755</v>
      </c>
      <c r="AF171" s="1"/>
      <c r="AG171" s="11" t="b">
        <f>AE171=AF171</f>
        <v>0</v>
      </c>
      <c r="AH171" s="1">
        <v>15</v>
      </c>
      <c r="AI171" s="1">
        <v>11.43</v>
      </c>
      <c r="AJ171" s="16">
        <f>AI171*220/30*30.4375</f>
        <v>2551.2712499999998</v>
      </c>
      <c r="AK171" s="18">
        <v>2551.27</v>
      </c>
      <c r="AL171" s="71" t="s">
        <v>663</v>
      </c>
      <c r="AM171" s="19" t="b">
        <f>AL171=O171</f>
        <v>1</v>
      </c>
      <c r="AN171" s="7">
        <f>VLOOKUP(A171,'base ZITRHR129'!$G$1:$H$628,2,0)</f>
        <v>30040847</v>
      </c>
      <c r="AO171" s="7" t="b">
        <f>AN171=R171</f>
        <v>1</v>
      </c>
      <c r="AP171" s="7">
        <f>VLOOKUP(A171,'base ZITRHR129'!G146:W772,17,0)</f>
        <v>2551.27</v>
      </c>
      <c r="AQ171" s="7" t="b">
        <f>AP171=AK171</f>
        <v>1</v>
      </c>
      <c r="AR171" s="69"/>
    </row>
    <row r="172" spans="1:44" s="7" customFormat="1" ht="12" x14ac:dyDescent="0.2">
      <c r="A172" s="7">
        <v>10029555</v>
      </c>
      <c r="B172" s="8" t="s">
        <v>196</v>
      </c>
      <c r="C172" s="8" t="s">
        <v>706</v>
      </c>
      <c r="D172" s="8" t="s">
        <v>717</v>
      </c>
      <c r="E172" s="8" t="s">
        <v>724</v>
      </c>
      <c r="F172" s="8" t="s">
        <v>1406</v>
      </c>
      <c r="G172" s="8" t="s">
        <v>21</v>
      </c>
      <c r="H172" s="9">
        <v>16</v>
      </c>
      <c r="I172" s="8" t="s">
        <v>660</v>
      </c>
      <c r="J172" s="8" t="s">
        <v>945</v>
      </c>
      <c r="K172" s="8" t="s">
        <v>16</v>
      </c>
      <c r="L172" s="8" t="s">
        <v>17</v>
      </c>
      <c r="M172" s="10" t="s">
        <v>706</v>
      </c>
      <c r="N172" s="10" t="s">
        <v>717</v>
      </c>
      <c r="O172" s="10" t="s">
        <v>660</v>
      </c>
      <c r="P172" s="1"/>
      <c r="Q172" s="11" t="b">
        <f>O172=P172</f>
        <v>0</v>
      </c>
      <c r="R172" s="30">
        <v>30040848</v>
      </c>
      <c r="S172" s="1"/>
      <c r="T172" s="11" t="b">
        <f>R172=S172</f>
        <v>0</v>
      </c>
      <c r="U172" s="10" t="s">
        <v>16</v>
      </c>
      <c r="V172" s="1"/>
      <c r="W172" s="11" t="b">
        <f>U172=V172</f>
        <v>0</v>
      </c>
      <c r="X172" s="13" t="s">
        <v>15</v>
      </c>
      <c r="Y172" s="1"/>
      <c r="Z172" s="1"/>
      <c r="AA172" s="10">
        <v>22002616</v>
      </c>
      <c r="AB172" s="10" t="s">
        <v>1409</v>
      </c>
      <c r="AD172" s="11" t="b">
        <f>AB172=AC172</f>
        <v>0</v>
      </c>
      <c r="AE172" s="10" t="s">
        <v>21</v>
      </c>
      <c r="AF172" s="1"/>
      <c r="AG172" s="11" t="b">
        <f>AE172=AF172</f>
        <v>0</v>
      </c>
      <c r="AH172" s="1">
        <v>16</v>
      </c>
      <c r="AI172" s="1">
        <v>11.71</v>
      </c>
      <c r="AJ172" s="16">
        <f>AI172*220/30*30.4375</f>
        <v>2613.7695833333337</v>
      </c>
      <c r="AK172" s="18">
        <v>2613.77</v>
      </c>
      <c r="AL172" s="71" t="s">
        <v>660</v>
      </c>
      <c r="AM172" s="19" t="b">
        <f>AL172=O172</f>
        <v>1</v>
      </c>
      <c r="AN172" s="7">
        <f>VLOOKUP(A172,'base ZITRHR129'!$G$1:$H$628,2,0)</f>
        <v>30040848</v>
      </c>
      <c r="AO172" s="7" t="b">
        <f>AN172=R172</f>
        <v>1</v>
      </c>
      <c r="AP172" s="7">
        <f>VLOOKUP(A172,'base ZITRHR129'!G145:W771,17,0)</f>
        <v>2613.77</v>
      </c>
      <c r="AQ172" s="7" t="b">
        <f>AP172=AK172</f>
        <v>1</v>
      </c>
      <c r="AR172" s="69"/>
    </row>
    <row r="173" spans="1:44" s="7" customFormat="1" ht="12" x14ac:dyDescent="0.2">
      <c r="A173" s="7">
        <v>10029565</v>
      </c>
      <c r="B173" s="8" t="s">
        <v>197</v>
      </c>
      <c r="C173" s="8" t="s">
        <v>704</v>
      </c>
      <c r="D173" s="8" t="s">
        <v>717</v>
      </c>
      <c r="E173" s="8" t="s">
        <v>735</v>
      </c>
      <c r="F173" s="8" t="s">
        <v>1406</v>
      </c>
      <c r="G173" s="8" t="s">
        <v>763</v>
      </c>
      <c r="H173" s="9">
        <v>17</v>
      </c>
      <c r="I173" s="8" t="s">
        <v>669</v>
      </c>
      <c r="J173" s="8" t="s">
        <v>946</v>
      </c>
      <c r="K173" s="8" t="s">
        <v>16</v>
      </c>
      <c r="L173" s="8" t="s">
        <v>17</v>
      </c>
      <c r="M173" s="10" t="s">
        <v>704</v>
      </c>
      <c r="N173" s="10" t="s">
        <v>717</v>
      </c>
      <c r="O173" s="10" t="s">
        <v>669</v>
      </c>
      <c r="P173" s="1"/>
      <c r="Q173" s="11" t="b">
        <f>O173=P173</f>
        <v>0</v>
      </c>
      <c r="R173" s="30">
        <v>30040849</v>
      </c>
      <c r="S173" s="1"/>
      <c r="T173" s="11" t="b">
        <f>R173=S173</f>
        <v>0</v>
      </c>
      <c r="U173" s="10" t="s">
        <v>16</v>
      </c>
      <c r="V173" s="1"/>
      <c r="W173" s="11" t="b">
        <f>U173=V173</f>
        <v>0</v>
      </c>
      <c r="X173" s="13" t="s">
        <v>15</v>
      </c>
      <c r="Y173" s="1"/>
      <c r="Z173" s="1"/>
      <c r="AA173" s="60">
        <v>22001161</v>
      </c>
      <c r="AB173" s="10" t="s">
        <v>1409</v>
      </c>
      <c r="AD173" s="11" t="b">
        <f>AB173=AC173</f>
        <v>0</v>
      </c>
      <c r="AE173" s="10" t="s">
        <v>763</v>
      </c>
      <c r="AF173" s="1"/>
      <c r="AG173" s="11" t="b">
        <f>AE173=AF173</f>
        <v>0</v>
      </c>
      <c r="AH173" s="1">
        <v>17</v>
      </c>
      <c r="AI173" s="1">
        <v>10.24</v>
      </c>
      <c r="AJ173" s="16">
        <f>AI173*220/30*30.4375</f>
        <v>2285.6533333333332</v>
      </c>
      <c r="AK173" s="18">
        <v>2285.65</v>
      </c>
      <c r="AL173" s="71" t="s">
        <v>669</v>
      </c>
      <c r="AM173" s="19" t="b">
        <f>AL173=O173</f>
        <v>1</v>
      </c>
      <c r="AN173" s="7">
        <f>VLOOKUP(A173,'base ZITRHR129'!$G$1:$H$628,2,0)</f>
        <v>30040849</v>
      </c>
      <c r="AO173" s="7" t="b">
        <f>AN173=R173</f>
        <v>1</v>
      </c>
      <c r="AP173" s="7">
        <f>VLOOKUP(A173,'base ZITRHR129'!G144:W770,17,0)</f>
        <v>2285.65</v>
      </c>
      <c r="AQ173" s="7" t="b">
        <f>AP173=AK173</f>
        <v>1</v>
      </c>
      <c r="AR173" s="69"/>
    </row>
    <row r="174" spans="1:44" s="7" customFormat="1" ht="12" x14ac:dyDescent="0.2">
      <c r="A174" s="7">
        <v>10029584</v>
      </c>
      <c r="B174" s="8" t="s">
        <v>198</v>
      </c>
      <c r="C174" s="8" t="s">
        <v>707</v>
      </c>
      <c r="D174" s="8" t="s">
        <v>717</v>
      </c>
      <c r="E174" s="8" t="s">
        <v>736</v>
      </c>
      <c r="F174" s="8" t="s">
        <v>1406</v>
      </c>
      <c r="G174" s="8" t="s">
        <v>764</v>
      </c>
      <c r="H174" s="9">
        <v>21</v>
      </c>
      <c r="I174" s="8" t="s">
        <v>671</v>
      </c>
      <c r="J174" s="8" t="s">
        <v>947</v>
      </c>
      <c r="K174" s="8" t="s">
        <v>6</v>
      </c>
      <c r="L174" s="8" t="s">
        <v>17</v>
      </c>
      <c r="M174" s="10" t="s">
        <v>707</v>
      </c>
      <c r="N174" s="10" t="s">
        <v>717</v>
      </c>
      <c r="O174" s="10" t="s">
        <v>671</v>
      </c>
      <c r="P174" s="1"/>
      <c r="Q174" s="11" t="b">
        <f>O174=P174</f>
        <v>0</v>
      </c>
      <c r="R174" s="30">
        <v>30040850</v>
      </c>
      <c r="S174" s="1"/>
      <c r="T174" s="11" t="b">
        <f>R174=S174</f>
        <v>0</v>
      </c>
      <c r="U174" s="10" t="s">
        <v>6</v>
      </c>
      <c r="V174" s="1"/>
      <c r="W174" s="11" t="b">
        <f>U174=V174</f>
        <v>0</v>
      </c>
      <c r="X174" s="13" t="s">
        <v>15</v>
      </c>
      <c r="Y174" s="1"/>
      <c r="Z174" s="1"/>
      <c r="AA174" s="10">
        <v>22003019</v>
      </c>
      <c r="AB174" s="10" t="s">
        <v>1409</v>
      </c>
      <c r="AD174" s="11" t="b">
        <f>AB174=AC174</f>
        <v>0</v>
      </c>
      <c r="AE174" s="10" t="s">
        <v>764</v>
      </c>
      <c r="AF174" s="1"/>
      <c r="AG174" s="11" t="b">
        <f>AE174=AF174</f>
        <v>0</v>
      </c>
      <c r="AH174" s="1">
        <v>21</v>
      </c>
      <c r="AI174" s="1">
        <v>25.83</v>
      </c>
      <c r="AJ174" s="16">
        <f>AI174*220/30*30.4375</f>
        <v>5765.4712499999996</v>
      </c>
      <c r="AK174" s="18">
        <v>5765.47</v>
      </c>
      <c r="AL174" s="71" t="s">
        <v>671</v>
      </c>
      <c r="AM174" s="19" t="b">
        <f>AL174=O174</f>
        <v>1</v>
      </c>
      <c r="AN174" s="7">
        <f>VLOOKUP(A174,'base ZITRHR129'!$G$1:$H$628,2,0)</f>
        <v>30040850</v>
      </c>
      <c r="AO174" s="7" t="b">
        <f>AN174=R174</f>
        <v>1</v>
      </c>
      <c r="AP174" s="7">
        <f>VLOOKUP(A174,'base ZITRHR129'!G143:W769,17,0)</f>
        <v>5765.47</v>
      </c>
      <c r="AQ174" s="7" t="b">
        <f>AP174=AK174</f>
        <v>1</v>
      </c>
      <c r="AR174" s="69"/>
    </row>
    <row r="175" spans="1:44" s="7" customFormat="1" ht="12" x14ac:dyDescent="0.2">
      <c r="A175" s="7">
        <v>10029632</v>
      </c>
      <c r="B175" s="8" t="s">
        <v>199</v>
      </c>
      <c r="C175" s="8" t="s">
        <v>681</v>
      </c>
      <c r="D175" s="8" t="s">
        <v>717</v>
      </c>
      <c r="E175" s="8" t="s">
        <v>720</v>
      </c>
      <c r="F175" s="8" t="s">
        <v>1406</v>
      </c>
      <c r="G175" s="8" t="s">
        <v>751</v>
      </c>
      <c r="H175" s="9">
        <v>18</v>
      </c>
      <c r="I175" s="8" t="s">
        <v>653</v>
      </c>
      <c r="J175" s="8" t="s">
        <v>948</v>
      </c>
      <c r="K175" s="8" t="s">
        <v>16</v>
      </c>
      <c r="L175" s="8" t="s">
        <v>17</v>
      </c>
      <c r="M175" s="10" t="s">
        <v>681</v>
      </c>
      <c r="N175" s="10" t="s">
        <v>717</v>
      </c>
      <c r="O175" s="10" t="s">
        <v>653</v>
      </c>
      <c r="P175" s="1"/>
      <c r="Q175" s="11" t="b">
        <f>O175=P175</f>
        <v>0</v>
      </c>
      <c r="R175" s="30">
        <v>30040851</v>
      </c>
      <c r="S175" s="1"/>
      <c r="T175" s="11" t="b">
        <f>R175=S175</f>
        <v>0</v>
      </c>
      <c r="U175" s="10" t="s">
        <v>16</v>
      </c>
      <c r="V175" s="1"/>
      <c r="W175" s="11" t="b">
        <f>U175=V175</f>
        <v>0</v>
      </c>
      <c r="X175" s="13" t="s">
        <v>15</v>
      </c>
      <c r="Y175" s="1"/>
      <c r="Z175" s="1"/>
      <c r="AA175" s="10">
        <v>22003015</v>
      </c>
      <c r="AB175" s="10" t="s">
        <v>1409</v>
      </c>
      <c r="AD175" s="11" t="b">
        <f>AB175=AC175</f>
        <v>0</v>
      </c>
      <c r="AE175" s="10" t="s">
        <v>751</v>
      </c>
      <c r="AF175" s="1"/>
      <c r="AG175" s="11" t="b">
        <f>AE175=AF175</f>
        <v>0</v>
      </c>
      <c r="AH175" s="1">
        <v>18</v>
      </c>
      <c r="AI175" s="1">
        <v>17.73</v>
      </c>
      <c r="AJ175" s="16">
        <f>AI175*220/30*30.4375</f>
        <v>3957.4837500000003</v>
      </c>
      <c r="AK175" s="18">
        <v>3957.48</v>
      </c>
      <c r="AL175" s="71" t="s">
        <v>653</v>
      </c>
      <c r="AM175" s="19" t="b">
        <f>AL175=O175</f>
        <v>1</v>
      </c>
      <c r="AN175" s="7">
        <f>VLOOKUP(A175,'base ZITRHR129'!$G$1:$H$628,2,0)</f>
        <v>30040851</v>
      </c>
      <c r="AO175" s="7" t="b">
        <f>AN175=R175</f>
        <v>1</v>
      </c>
      <c r="AP175" s="7">
        <f>VLOOKUP(A175,'base ZITRHR129'!G142:W768,17,0)</f>
        <v>3957.48</v>
      </c>
      <c r="AQ175" s="7" t="b">
        <f>AP175=AK175</f>
        <v>1</v>
      </c>
      <c r="AR175" s="69"/>
    </row>
    <row r="176" spans="1:44" s="7" customFormat="1" ht="12" x14ac:dyDescent="0.2">
      <c r="A176" s="7">
        <v>10029750</v>
      </c>
      <c r="B176" s="8" t="s">
        <v>200</v>
      </c>
      <c r="C176" s="8" t="s">
        <v>689</v>
      </c>
      <c r="D176" s="8" t="s">
        <v>717</v>
      </c>
      <c r="E176" s="8" t="s">
        <v>730</v>
      </c>
      <c r="F176" s="8" t="s">
        <v>1406</v>
      </c>
      <c r="G176" s="8" t="s">
        <v>759</v>
      </c>
      <c r="H176" s="9">
        <v>17</v>
      </c>
      <c r="I176" s="8" t="s">
        <v>662</v>
      </c>
      <c r="J176" s="8" t="s">
        <v>949</v>
      </c>
      <c r="K176" s="8" t="s">
        <v>16</v>
      </c>
      <c r="L176" s="8" t="s">
        <v>17</v>
      </c>
      <c r="M176" s="10" t="s">
        <v>689</v>
      </c>
      <c r="N176" s="10" t="s">
        <v>717</v>
      </c>
      <c r="O176" s="10" t="s">
        <v>662</v>
      </c>
      <c r="P176" s="1"/>
      <c r="Q176" s="11" t="b">
        <f>O176=P176</f>
        <v>0</v>
      </c>
      <c r="R176" s="30">
        <v>30040852</v>
      </c>
      <c r="S176" s="1"/>
      <c r="T176" s="11" t="b">
        <f>R176=S176</f>
        <v>0</v>
      </c>
      <c r="U176" s="10" t="s">
        <v>16</v>
      </c>
      <c r="V176" s="1"/>
      <c r="W176" s="11" t="b">
        <f>U176=V176</f>
        <v>0</v>
      </c>
      <c r="X176" s="13" t="s">
        <v>15</v>
      </c>
      <c r="Y176" s="1"/>
      <c r="Z176" s="1"/>
      <c r="AA176" s="10">
        <v>22002605</v>
      </c>
      <c r="AB176" s="10" t="s">
        <v>1409</v>
      </c>
      <c r="AD176" s="11" t="b">
        <f>AB176=AC176</f>
        <v>0</v>
      </c>
      <c r="AE176" s="10" t="s">
        <v>759</v>
      </c>
      <c r="AF176" s="1"/>
      <c r="AG176" s="11" t="b">
        <f>AE176=AF176</f>
        <v>0</v>
      </c>
      <c r="AH176" s="1">
        <v>17</v>
      </c>
      <c r="AI176" s="1">
        <v>14.04</v>
      </c>
      <c r="AJ176" s="16">
        <f>AI176*220/30*30.4375</f>
        <v>3133.8449999999998</v>
      </c>
      <c r="AK176" s="18">
        <v>3133.85</v>
      </c>
      <c r="AL176" s="71" t="s">
        <v>662</v>
      </c>
      <c r="AM176" s="19" t="b">
        <f>AL176=O176</f>
        <v>1</v>
      </c>
      <c r="AN176" s="7">
        <f>VLOOKUP(A176,'base ZITRHR129'!$G$1:$H$628,2,0)</f>
        <v>30040852</v>
      </c>
      <c r="AO176" s="7" t="b">
        <f>AN176=R176</f>
        <v>1</v>
      </c>
      <c r="AP176" s="7">
        <f>VLOOKUP(A176,'base ZITRHR129'!G141:W767,17,0)</f>
        <v>3133.85</v>
      </c>
      <c r="AQ176" s="7" t="b">
        <f>AP176=AK176</f>
        <v>1</v>
      </c>
      <c r="AR176" s="69"/>
    </row>
    <row r="177" spans="1:44" s="7" customFormat="1" ht="12" x14ac:dyDescent="0.2">
      <c r="A177" s="7">
        <v>10029970</v>
      </c>
      <c r="B177" s="8" t="s">
        <v>201</v>
      </c>
      <c r="C177" s="8" t="s">
        <v>695</v>
      </c>
      <c r="D177" s="8" t="s">
        <v>717</v>
      </c>
      <c r="E177" s="8" t="s">
        <v>724</v>
      </c>
      <c r="F177" s="8" t="s">
        <v>1406</v>
      </c>
      <c r="G177" s="8" t="s">
        <v>21</v>
      </c>
      <c r="H177" s="9">
        <v>16</v>
      </c>
      <c r="I177" s="8" t="s">
        <v>660</v>
      </c>
      <c r="J177" s="8" t="s">
        <v>950</v>
      </c>
      <c r="K177" s="8" t="s">
        <v>16</v>
      </c>
      <c r="L177" s="8" t="s">
        <v>17</v>
      </c>
      <c r="M177" s="10" t="s">
        <v>695</v>
      </c>
      <c r="N177" s="10" t="s">
        <v>717</v>
      </c>
      <c r="O177" s="10" t="s">
        <v>660</v>
      </c>
      <c r="P177" s="1"/>
      <c r="Q177" s="11" t="b">
        <f>O177=P177</f>
        <v>0</v>
      </c>
      <c r="R177" s="30">
        <v>30040853</v>
      </c>
      <c r="S177" s="1"/>
      <c r="T177" s="11" t="b">
        <f>R177=S177</f>
        <v>0</v>
      </c>
      <c r="U177" s="10" t="s">
        <v>16</v>
      </c>
      <c r="V177" s="1"/>
      <c r="W177" s="11" t="b">
        <f>U177=V177</f>
        <v>0</v>
      </c>
      <c r="X177" s="13" t="s">
        <v>15</v>
      </c>
      <c r="Y177" s="1"/>
      <c r="Z177" s="1"/>
      <c r="AA177" s="10">
        <v>22002616</v>
      </c>
      <c r="AB177" s="10" t="s">
        <v>1409</v>
      </c>
      <c r="AD177" s="11" t="b">
        <f>AB177=AC177</f>
        <v>0</v>
      </c>
      <c r="AE177" s="10" t="s">
        <v>21</v>
      </c>
      <c r="AF177" s="1"/>
      <c r="AG177" s="11" t="b">
        <f>AE177=AF177</f>
        <v>0</v>
      </c>
      <c r="AH177" s="1">
        <v>16</v>
      </c>
      <c r="AI177" s="1">
        <v>11.71</v>
      </c>
      <c r="AJ177" s="16">
        <f>AI177*220/30*30.4375</f>
        <v>2613.7695833333337</v>
      </c>
      <c r="AK177" s="18">
        <v>2613.77</v>
      </c>
      <c r="AL177" s="71" t="s">
        <v>660</v>
      </c>
      <c r="AM177" s="19" t="b">
        <f>AL177=O177</f>
        <v>1</v>
      </c>
      <c r="AN177" s="7">
        <f>VLOOKUP(A177,'base ZITRHR129'!$G$1:$H$628,2,0)</f>
        <v>30040853</v>
      </c>
      <c r="AO177" s="7" t="b">
        <f>AN177=R177</f>
        <v>1</v>
      </c>
      <c r="AP177" s="7">
        <f>VLOOKUP(A177,'base ZITRHR129'!G140:W766,17,0)</f>
        <v>2613.77</v>
      </c>
      <c r="AQ177" s="7" t="b">
        <f>AP177=AK177</f>
        <v>1</v>
      </c>
      <c r="AR177" s="69"/>
    </row>
    <row r="178" spans="1:44" s="7" customFormat="1" ht="12" x14ac:dyDescent="0.2">
      <c r="A178" s="7">
        <v>10030029</v>
      </c>
      <c r="B178" s="8" t="s">
        <v>202</v>
      </c>
      <c r="C178" s="8" t="s">
        <v>701</v>
      </c>
      <c r="D178" s="8" t="s">
        <v>717</v>
      </c>
      <c r="E178" s="8" t="s">
        <v>720</v>
      </c>
      <c r="F178" s="8" t="s">
        <v>1406</v>
      </c>
      <c r="G178" s="8" t="s">
        <v>751</v>
      </c>
      <c r="H178" s="9">
        <v>18</v>
      </c>
      <c r="I178" s="8" t="s">
        <v>668</v>
      </c>
      <c r="J178" s="8" t="s">
        <v>951</v>
      </c>
      <c r="K178" s="8" t="s">
        <v>16</v>
      </c>
      <c r="L178" s="8" t="s">
        <v>17</v>
      </c>
      <c r="M178" s="10" t="s">
        <v>701</v>
      </c>
      <c r="N178" s="10" t="s">
        <v>717</v>
      </c>
      <c r="O178" s="10" t="s">
        <v>668</v>
      </c>
      <c r="P178" s="1"/>
      <c r="Q178" s="11" t="b">
        <f>O178=P178</f>
        <v>0</v>
      </c>
      <c r="R178" s="30">
        <v>30040854</v>
      </c>
      <c r="S178" s="1"/>
      <c r="T178" s="11" t="b">
        <f>R178=S178</f>
        <v>0</v>
      </c>
      <c r="U178" s="10" t="s">
        <v>16</v>
      </c>
      <c r="V178" s="1"/>
      <c r="W178" s="11" t="b">
        <f>U178=V178</f>
        <v>0</v>
      </c>
      <c r="X178" s="13" t="s">
        <v>15</v>
      </c>
      <c r="Y178" s="1"/>
      <c r="Z178" s="1"/>
      <c r="AA178" s="10">
        <v>22003015</v>
      </c>
      <c r="AB178" s="10" t="s">
        <v>1409</v>
      </c>
      <c r="AD178" s="11" t="b">
        <f>AB178=AC178</f>
        <v>0</v>
      </c>
      <c r="AE178" s="10" t="s">
        <v>751</v>
      </c>
      <c r="AF178" s="1"/>
      <c r="AG178" s="11" t="b">
        <f>AE178=AF178</f>
        <v>0</v>
      </c>
      <c r="AH178" s="1">
        <v>18</v>
      </c>
      <c r="AI178" s="1">
        <v>17.73</v>
      </c>
      <c r="AJ178" s="16">
        <f>AI178*220/30*30.4375</f>
        <v>3957.4837500000003</v>
      </c>
      <c r="AK178" s="18">
        <v>3957.48</v>
      </c>
      <c r="AL178" s="71" t="s">
        <v>668</v>
      </c>
      <c r="AM178" s="19" t="b">
        <f>AL178=O178</f>
        <v>1</v>
      </c>
      <c r="AN178" s="7">
        <f>VLOOKUP(A178,'base ZITRHR129'!$G$1:$H$628,2,0)</f>
        <v>30040854</v>
      </c>
      <c r="AO178" s="7" t="b">
        <f>AN178=R178</f>
        <v>1</v>
      </c>
      <c r="AP178" s="7">
        <f>VLOOKUP(A178,'base ZITRHR129'!G139:W765,17,0)</f>
        <v>3957.48</v>
      </c>
      <c r="AQ178" s="7" t="b">
        <f>AP178=AK178</f>
        <v>1</v>
      </c>
      <c r="AR178" s="69"/>
    </row>
    <row r="179" spans="1:44" s="7" customFormat="1" ht="12" x14ac:dyDescent="0.2">
      <c r="A179" s="7">
        <v>10030070</v>
      </c>
      <c r="B179" s="8" t="s">
        <v>203</v>
      </c>
      <c r="C179" s="8" t="s">
        <v>695</v>
      </c>
      <c r="D179" s="8" t="s">
        <v>717</v>
      </c>
      <c r="E179" s="8" t="s">
        <v>724</v>
      </c>
      <c r="F179" s="8" t="s">
        <v>1406</v>
      </c>
      <c r="G179" s="8" t="s">
        <v>21</v>
      </c>
      <c r="H179" s="9">
        <v>16</v>
      </c>
      <c r="I179" s="8" t="s">
        <v>660</v>
      </c>
      <c r="J179" s="8" t="s">
        <v>952</v>
      </c>
      <c r="K179" s="8" t="s">
        <v>16</v>
      </c>
      <c r="L179" s="8" t="s">
        <v>17</v>
      </c>
      <c r="M179" s="10" t="s">
        <v>695</v>
      </c>
      <c r="N179" s="10" t="s">
        <v>717</v>
      </c>
      <c r="O179" s="10" t="s">
        <v>660</v>
      </c>
      <c r="P179" s="1"/>
      <c r="Q179" s="11" t="b">
        <f>O179=P179</f>
        <v>0</v>
      </c>
      <c r="R179" s="30">
        <v>30040855</v>
      </c>
      <c r="S179" s="1"/>
      <c r="T179" s="11" t="b">
        <f>R179=S179</f>
        <v>0</v>
      </c>
      <c r="U179" s="10" t="s">
        <v>16</v>
      </c>
      <c r="V179" s="1"/>
      <c r="W179" s="11" t="b">
        <f>U179=V179</f>
        <v>0</v>
      </c>
      <c r="X179" s="13" t="s">
        <v>15</v>
      </c>
      <c r="Y179" s="1"/>
      <c r="Z179" s="1"/>
      <c r="AA179" s="59">
        <v>22002616</v>
      </c>
      <c r="AB179" s="10" t="s">
        <v>1409</v>
      </c>
      <c r="AD179" s="11" t="b">
        <f>AB179=AC179</f>
        <v>0</v>
      </c>
      <c r="AE179" s="10" t="s">
        <v>21</v>
      </c>
      <c r="AF179" s="1"/>
      <c r="AG179" s="11" t="b">
        <f>AE179=AF179</f>
        <v>0</v>
      </c>
      <c r="AH179" s="1">
        <v>16</v>
      </c>
      <c r="AI179" s="1">
        <v>11.71</v>
      </c>
      <c r="AJ179" s="16">
        <f>AI179*220/30*30.4375</f>
        <v>2613.7695833333337</v>
      </c>
      <c r="AK179" s="18">
        <v>2613.77</v>
      </c>
      <c r="AL179" s="71" t="s">
        <v>660</v>
      </c>
      <c r="AM179" s="19" t="b">
        <f>AL179=O179</f>
        <v>1</v>
      </c>
      <c r="AN179" s="7">
        <f>VLOOKUP(A179,'base ZITRHR129'!$G$1:$H$628,2,0)</f>
        <v>30040855</v>
      </c>
      <c r="AO179" s="7" t="b">
        <f>AN179=R179</f>
        <v>1</v>
      </c>
      <c r="AP179" s="7">
        <f>VLOOKUP(A179,'base ZITRHR129'!G138:W764,17,0)</f>
        <v>2613.77</v>
      </c>
      <c r="AQ179" s="7" t="b">
        <f>AP179=AK179</f>
        <v>1</v>
      </c>
      <c r="AR179" s="69"/>
    </row>
    <row r="180" spans="1:44" s="7" customFormat="1" ht="12" x14ac:dyDescent="0.2">
      <c r="A180" s="7">
        <v>10030181</v>
      </c>
      <c r="B180" s="8" t="s">
        <v>204</v>
      </c>
      <c r="C180" s="8" t="s">
        <v>708</v>
      </c>
      <c r="D180" s="8" t="s">
        <v>717</v>
      </c>
      <c r="E180" s="8" t="s">
        <v>719</v>
      </c>
      <c r="F180" s="8" t="s">
        <v>1406</v>
      </c>
      <c r="G180" s="8" t="s">
        <v>20</v>
      </c>
      <c r="H180" s="9">
        <v>19</v>
      </c>
      <c r="I180" s="8" t="s">
        <v>672</v>
      </c>
      <c r="J180" s="8" t="s">
        <v>953</v>
      </c>
      <c r="K180" s="8" t="s">
        <v>16</v>
      </c>
      <c r="L180" s="8" t="s">
        <v>17</v>
      </c>
      <c r="M180" s="10" t="s">
        <v>708</v>
      </c>
      <c r="N180" s="10" t="s">
        <v>717</v>
      </c>
      <c r="O180" s="10" t="s">
        <v>672</v>
      </c>
      <c r="P180" s="1"/>
      <c r="Q180" s="11" t="b">
        <f>O180=P180</f>
        <v>0</v>
      </c>
      <c r="R180" s="30">
        <v>30040856</v>
      </c>
      <c r="S180" s="1"/>
      <c r="T180" s="11" t="b">
        <f>R180=S180</f>
        <v>0</v>
      </c>
      <c r="U180" s="10" t="s">
        <v>16</v>
      </c>
      <c r="V180" s="1"/>
      <c r="W180" s="11" t="b">
        <f>U180=V180</f>
        <v>0</v>
      </c>
      <c r="X180" s="13" t="s">
        <v>15</v>
      </c>
      <c r="Y180" s="1"/>
      <c r="Z180" s="1"/>
      <c r="AA180" s="10">
        <v>22002723</v>
      </c>
      <c r="AB180" s="10" t="s">
        <v>1409</v>
      </c>
      <c r="AD180" s="11" t="b">
        <f>AB180=AC180</f>
        <v>0</v>
      </c>
      <c r="AE180" s="10" t="s">
        <v>20</v>
      </c>
      <c r="AF180" s="1"/>
      <c r="AG180" s="11" t="b">
        <f>AE180=AF180</f>
        <v>0</v>
      </c>
      <c r="AH180" s="1">
        <v>19</v>
      </c>
      <c r="AI180" s="1">
        <v>14.04</v>
      </c>
      <c r="AJ180" s="16">
        <f>AI180*220/30*30.4375</f>
        <v>3133.8449999999998</v>
      </c>
      <c r="AK180" s="18">
        <v>3133.85</v>
      </c>
      <c r="AL180" s="71" t="s">
        <v>672</v>
      </c>
      <c r="AM180" s="19" t="b">
        <f>AL180=O180</f>
        <v>1</v>
      </c>
      <c r="AN180" s="7">
        <f>VLOOKUP(A180,'base ZITRHR129'!$G$1:$H$628,2,0)</f>
        <v>30040856</v>
      </c>
      <c r="AO180" s="7" t="b">
        <f>AN180=R180</f>
        <v>1</v>
      </c>
      <c r="AP180" s="7">
        <f>VLOOKUP(A180,'base ZITRHR129'!G137:W763,17,0)</f>
        <v>3133.85</v>
      </c>
      <c r="AQ180" s="7" t="b">
        <f>AP180=AK180</f>
        <v>1</v>
      </c>
      <c r="AR180" s="69"/>
    </row>
    <row r="181" spans="1:44" s="20" customFormat="1" ht="12" x14ac:dyDescent="0.2">
      <c r="A181" s="7">
        <v>10030272</v>
      </c>
      <c r="B181" s="8" t="s">
        <v>205</v>
      </c>
      <c r="C181" s="8" t="s">
        <v>679</v>
      </c>
      <c r="D181" s="8" t="s">
        <v>717</v>
      </c>
      <c r="E181" s="8" t="s">
        <v>720</v>
      </c>
      <c r="F181" s="8" t="s">
        <v>1406</v>
      </c>
      <c r="G181" s="8" t="s">
        <v>751</v>
      </c>
      <c r="H181" s="9">
        <v>18</v>
      </c>
      <c r="I181" s="8" t="s">
        <v>653</v>
      </c>
      <c r="J181" s="8" t="s">
        <v>954</v>
      </c>
      <c r="K181" s="8" t="s">
        <v>16</v>
      </c>
      <c r="L181" s="8" t="s">
        <v>17</v>
      </c>
      <c r="M181" s="10" t="s">
        <v>679</v>
      </c>
      <c r="N181" s="10" t="s">
        <v>717</v>
      </c>
      <c r="O181" s="10" t="s">
        <v>653</v>
      </c>
      <c r="P181" s="1"/>
      <c r="Q181" s="11" t="b">
        <f>O181=P181</f>
        <v>0</v>
      </c>
      <c r="R181" s="30">
        <v>30040857</v>
      </c>
      <c r="S181" s="1"/>
      <c r="T181" s="11" t="b">
        <f>R181=S181</f>
        <v>0</v>
      </c>
      <c r="U181" s="10" t="s">
        <v>16</v>
      </c>
      <c r="V181" s="1"/>
      <c r="W181" s="11" t="b">
        <f>U181=V181</f>
        <v>0</v>
      </c>
      <c r="X181" s="13" t="s">
        <v>15</v>
      </c>
      <c r="Y181" s="1"/>
      <c r="Z181" s="1"/>
      <c r="AA181" s="59">
        <v>22003015</v>
      </c>
      <c r="AB181" s="10" t="s">
        <v>1409</v>
      </c>
      <c r="AC181" s="7"/>
      <c r="AD181" s="11" t="b">
        <f>AB181=AC181</f>
        <v>0</v>
      </c>
      <c r="AE181" s="10" t="s">
        <v>751</v>
      </c>
      <c r="AF181" s="1"/>
      <c r="AG181" s="11" t="b">
        <f>AE181=AF181</f>
        <v>0</v>
      </c>
      <c r="AH181" s="1">
        <v>18</v>
      </c>
      <c r="AI181" s="1">
        <v>17.73</v>
      </c>
      <c r="AJ181" s="16">
        <f>AI181*220/30*30.4375</f>
        <v>3957.4837500000003</v>
      </c>
      <c r="AK181" s="18">
        <v>3957.48</v>
      </c>
      <c r="AL181" s="71" t="s">
        <v>653</v>
      </c>
      <c r="AM181" s="19" t="b">
        <f>AL181=O181</f>
        <v>1</v>
      </c>
      <c r="AN181" s="7">
        <f>VLOOKUP(A181,'base ZITRHR129'!$G$1:$H$628,2,0)</f>
        <v>30040857</v>
      </c>
      <c r="AO181" s="7" t="b">
        <f>AN181=R181</f>
        <v>1</v>
      </c>
      <c r="AP181" s="7">
        <f>VLOOKUP(A181,'base ZITRHR129'!G136:W762,17,0)</f>
        <v>3957.48</v>
      </c>
      <c r="AQ181" s="7" t="b">
        <f>AP181=AK181</f>
        <v>1</v>
      </c>
      <c r="AR181" s="69"/>
    </row>
    <row r="182" spans="1:44" s="7" customFormat="1" ht="12" x14ac:dyDescent="0.2">
      <c r="A182" s="7">
        <v>10030330</v>
      </c>
      <c r="B182" s="8" t="s">
        <v>206</v>
      </c>
      <c r="C182" s="8" t="s">
        <v>690</v>
      </c>
      <c r="D182" s="8" t="s">
        <v>717</v>
      </c>
      <c r="E182" s="8" t="s">
        <v>726</v>
      </c>
      <c r="F182" s="8" t="s">
        <v>1406</v>
      </c>
      <c r="G182" s="8" t="s">
        <v>755</v>
      </c>
      <c r="H182" s="9">
        <v>15</v>
      </c>
      <c r="I182" s="8" t="s">
        <v>663</v>
      </c>
      <c r="J182" s="8" t="s">
        <v>955</v>
      </c>
      <c r="K182" s="8" t="s">
        <v>16</v>
      </c>
      <c r="L182" s="8" t="s">
        <v>17</v>
      </c>
      <c r="M182" s="10" t="s">
        <v>690</v>
      </c>
      <c r="N182" s="10" t="s">
        <v>717</v>
      </c>
      <c r="O182" s="10" t="s">
        <v>663</v>
      </c>
      <c r="P182" s="1"/>
      <c r="Q182" s="11" t="b">
        <f>O182=P182</f>
        <v>0</v>
      </c>
      <c r="R182" s="30">
        <v>30040858</v>
      </c>
      <c r="S182" s="1"/>
      <c r="T182" s="11" t="b">
        <f>R182=S182</f>
        <v>0</v>
      </c>
      <c r="U182" s="10" t="s">
        <v>16</v>
      </c>
      <c r="V182" s="1"/>
      <c r="W182" s="11" t="b">
        <f>U182=V182</f>
        <v>0</v>
      </c>
      <c r="X182" s="13" t="s">
        <v>15</v>
      </c>
      <c r="Y182" s="1"/>
      <c r="Z182" s="1"/>
      <c r="AA182" s="10">
        <v>22002617</v>
      </c>
      <c r="AB182" s="10" t="s">
        <v>1409</v>
      </c>
      <c r="AD182" s="11" t="b">
        <f>AB182=AC182</f>
        <v>0</v>
      </c>
      <c r="AE182" s="10" t="s">
        <v>755</v>
      </c>
      <c r="AF182" s="1"/>
      <c r="AG182" s="11" t="b">
        <f>AE182=AF182</f>
        <v>0</v>
      </c>
      <c r="AH182" s="1">
        <v>15</v>
      </c>
      <c r="AI182" s="1">
        <v>11.43</v>
      </c>
      <c r="AJ182" s="16">
        <f>AI182*220/30*30.4375</f>
        <v>2551.2712499999998</v>
      </c>
      <c r="AK182" s="18">
        <v>2551.27</v>
      </c>
      <c r="AL182" s="71" t="s">
        <v>663</v>
      </c>
      <c r="AM182" s="19" t="b">
        <f>AL182=O182</f>
        <v>1</v>
      </c>
      <c r="AN182" s="7">
        <f>VLOOKUP(A182,'base ZITRHR129'!$G$1:$H$628,2,0)</f>
        <v>30040858</v>
      </c>
      <c r="AO182" s="7" t="b">
        <f>AN182=R182</f>
        <v>1</v>
      </c>
      <c r="AP182" s="7">
        <f>VLOOKUP(A182,'base ZITRHR129'!G135:W761,17,0)</f>
        <v>2551.27</v>
      </c>
      <c r="AQ182" s="7" t="b">
        <f>AP182=AK182</f>
        <v>1</v>
      </c>
      <c r="AR182" s="69"/>
    </row>
    <row r="183" spans="1:44" s="20" customFormat="1" ht="12" x14ac:dyDescent="0.2">
      <c r="A183" s="7">
        <v>10030371</v>
      </c>
      <c r="B183" s="8" t="s">
        <v>207</v>
      </c>
      <c r="C183" s="8" t="s">
        <v>709</v>
      </c>
      <c r="D183" s="8" t="s">
        <v>717</v>
      </c>
      <c r="E183" s="8" t="s">
        <v>727</v>
      </c>
      <c r="F183" s="8" t="s">
        <v>1406</v>
      </c>
      <c r="G183" s="8" t="s">
        <v>756</v>
      </c>
      <c r="H183" s="9">
        <v>17</v>
      </c>
      <c r="I183" s="8" t="s">
        <v>673</v>
      </c>
      <c r="J183" s="8" t="s">
        <v>956</v>
      </c>
      <c r="K183" s="8" t="s">
        <v>16</v>
      </c>
      <c r="L183" s="8" t="s">
        <v>17</v>
      </c>
      <c r="M183" s="10" t="s">
        <v>709</v>
      </c>
      <c r="N183" s="10" t="s">
        <v>717</v>
      </c>
      <c r="O183" s="10" t="s">
        <v>673</v>
      </c>
      <c r="P183" s="1"/>
      <c r="Q183" s="11" t="b">
        <f>O183=P183</f>
        <v>0</v>
      </c>
      <c r="R183" s="30">
        <v>30040859</v>
      </c>
      <c r="S183" s="1"/>
      <c r="T183" s="11" t="b">
        <f>R183=S183</f>
        <v>0</v>
      </c>
      <c r="U183" s="10" t="s">
        <v>16</v>
      </c>
      <c r="V183" s="1"/>
      <c r="W183" s="11" t="b">
        <f>U183=V183</f>
        <v>0</v>
      </c>
      <c r="X183" s="13" t="s">
        <v>15</v>
      </c>
      <c r="Y183" s="1"/>
      <c r="Z183" s="1"/>
      <c r="AA183" s="59">
        <v>22003017</v>
      </c>
      <c r="AB183" s="10" t="s">
        <v>1409</v>
      </c>
      <c r="AC183" s="7"/>
      <c r="AD183" s="11" t="b">
        <f>AB183=AC183</f>
        <v>0</v>
      </c>
      <c r="AE183" s="10" t="s">
        <v>756</v>
      </c>
      <c r="AF183" s="1"/>
      <c r="AG183" s="11" t="b">
        <f>AE183=AF183</f>
        <v>0</v>
      </c>
      <c r="AH183" s="1">
        <v>17</v>
      </c>
      <c r="AI183" s="1">
        <v>14.04</v>
      </c>
      <c r="AJ183" s="16">
        <f>AI183*220/30*30.4375</f>
        <v>3133.8449999999998</v>
      </c>
      <c r="AK183" s="18">
        <v>3133.85</v>
      </c>
      <c r="AL183" s="71" t="s">
        <v>673</v>
      </c>
      <c r="AM183" s="19" t="b">
        <f>AL183=O183</f>
        <v>1</v>
      </c>
      <c r="AN183" s="7">
        <f>VLOOKUP(A183,'base ZITRHR129'!$G$1:$H$628,2,0)</f>
        <v>30040859</v>
      </c>
      <c r="AO183" s="7" t="b">
        <f>AN183=R183</f>
        <v>1</v>
      </c>
      <c r="AP183" s="7">
        <f>VLOOKUP(A183,'base ZITRHR129'!G134:W760,17,0)</f>
        <v>3133.85</v>
      </c>
      <c r="AQ183" s="7" t="b">
        <f>AP183=AK183</f>
        <v>1</v>
      </c>
      <c r="AR183" s="69"/>
    </row>
    <row r="184" spans="1:44" s="7" customFormat="1" ht="12" x14ac:dyDescent="0.2">
      <c r="A184" s="7">
        <v>10030539</v>
      </c>
      <c r="B184" s="8" t="s">
        <v>208</v>
      </c>
      <c r="C184" s="8" t="s">
        <v>680</v>
      </c>
      <c r="D184" s="8" t="s">
        <v>717</v>
      </c>
      <c r="E184" s="8" t="s">
        <v>729</v>
      </c>
      <c r="F184" s="8" t="s">
        <v>1406</v>
      </c>
      <c r="G184" s="8" t="s">
        <v>758</v>
      </c>
      <c r="H184" s="9">
        <v>17</v>
      </c>
      <c r="I184" s="8" t="s">
        <v>654</v>
      </c>
      <c r="J184" s="8" t="s">
        <v>957</v>
      </c>
      <c r="K184" s="8" t="s">
        <v>16</v>
      </c>
      <c r="L184" s="8" t="s">
        <v>17</v>
      </c>
      <c r="M184" s="10" t="s">
        <v>680</v>
      </c>
      <c r="N184" s="10" t="s">
        <v>717</v>
      </c>
      <c r="O184" s="10" t="s">
        <v>654</v>
      </c>
      <c r="P184" s="1"/>
      <c r="Q184" s="11" t="b">
        <f>O184=P184</f>
        <v>0</v>
      </c>
      <c r="R184" s="30">
        <v>30040860</v>
      </c>
      <c r="S184" s="1"/>
      <c r="T184" s="11" t="b">
        <f>R184=S184</f>
        <v>0</v>
      </c>
      <c r="U184" s="10" t="s">
        <v>16</v>
      </c>
      <c r="V184" s="1"/>
      <c r="W184" s="11" t="b">
        <f>U184=V184</f>
        <v>0</v>
      </c>
      <c r="X184" s="13" t="s">
        <v>15</v>
      </c>
      <c r="Y184" s="1"/>
      <c r="Z184" s="1"/>
      <c r="AA184" s="10">
        <v>22002447</v>
      </c>
      <c r="AB184" s="10" t="s">
        <v>1409</v>
      </c>
      <c r="AD184" s="11" t="b">
        <f>AB184=AC184</f>
        <v>0</v>
      </c>
      <c r="AE184" s="10" t="s">
        <v>758</v>
      </c>
      <c r="AF184" s="1"/>
      <c r="AG184" s="11" t="b">
        <f>AE184=AF184</f>
        <v>0</v>
      </c>
      <c r="AH184" s="1">
        <v>17</v>
      </c>
      <c r="AI184" s="1">
        <v>14.48</v>
      </c>
      <c r="AJ184" s="16">
        <f>AI184*220/30*30.4375</f>
        <v>3232.0566666666668</v>
      </c>
      <c r="AK184" s="18">
        <v>3232.06</v>
      </c>
      <c r="AL184" s="71" t="s">
        <v>654</v>
      </c>
      <c r="AM184" s="19" t="b">
        <f>AL184=O184</f>
        <v>1</v>
      </c>
      <c r="AN184" s="7">
        <f>VLOOKUP(A184,'base ZITRHR129'!$G$1:$H$628,2,0)</f>
        <v>30040860</v>
      </c>
      <c r="AO184" s="7" t="b">
        <f>AN184=R184</f>
        <v>1</v>
      </c>
      <c r="AP184" s="7">
        <f>VLOOKUP(A184,'base ZITRHR129'!G133:W759,17,0)</f>
        <v>3232.06</v>
      </c>
      <c r="AQ184" s="7" t="b">
        <f>AP184=AK184</f>
        <v>1</v>
      </c>
      <c r="AR184" s="69"/>
    </row>
    <row r="185" spans="1:44" s="7" customFormat="1" ht="12" x14ac:dyDescent="0.2">
      <c r="A185" s="7">
        <v>10032731</v>
      </c>
      <c r="B185" s="8" t="s">
        <v>209</v>
      </c>
      <c r="C185" s="8" t="s">
        <v>704</v>
      </c>
      <c r="D185" s="8" t="s">
        <v>717</v>
      </c>
      <c r="E185" s="8" t="s">
        <v>733</v>
      </c>
      <c r="F185" s="8" t="s">
        <v>1406</v>
      </c>
      <c r="G185" s="8" t="s">
        <v>762</v>
      </c>
      <c r="H185" s="9">
        <v>17</v>
      </c>
      <c r="I185" s="8" t="s">
        <v>669</v>
      </c>
      <c r="J185" s="8" t="s">
        <v>958</v>
      </c>
      <c r="K185" s="8" t="s">
        <v>16</v>
      </c>
      <c r="L185" s="8" t="s">
        <v>17</v>
      </c>
      <c r="M185" s="10" t="s">
        <v>704</v>
      </c>
      <c r="N185" s="10" t="s">
        <v>717</v>
      </c>
      <c r="O185" s="10" t="s">
        <v>669</v>
      </c>
      <c r="P185" s="1"/>
      <c r="Q185" s="11" t="b">
        <f>O185=P185</f>
        <v>0</v>
      </c>
      <c r="R185" s="30">
        <v>30040861</v>
      </c>
      <c r="S185" s="1"/>
      <c r="T185" s="11" t="b">
        <f>R185=S185</f>
        <v>0</v>
      </c>
      <c r="U185" s="10" t="s">
        <v>16</v>
      </c>
      <c r="V185" s="1"/>
      <c r="W185" s="11" t="b">
        <f>U185=V185</f>
        <v>0</v>
      </c>
      <c r="X185" s="13" t="s">
        <v>15</v>
      </c>
      <c r="Y185" s="1"/>
      <c r="Z185" s="1"/>
      <c r="AA185" s="10">
        <v>22001158</v>
      </c>
      <c r="AB185" s="10" t="s">
        <v>1409</v>
      </c>
      <c r="AD185" s="11" t="b">
        <f>AB185=AC185</f>
        <v>0</v>
      </c>
      <c r="AE185" s="10" t="s">
        <v>762</v>
      </c>
      <c r="AF185" s="1"/>
      <c r="AG185" s="11" t="b">
        <f>AE185=AF185</f>
        <v>0</v>
      </c>
      <c r="AH185" s="1">
        <v>17</v>
      </c>
      <c r="AI185" s="1">
        <v>11.43</v>
      </c>
      <c r="AJ185" s="16">
        <f>AI185*220/30*30.4375</f>
        <v>2551.2712499999998</v>
      </c>
      <c r="AK185" s="18">
        <v>2551.27</v>
      </c>
      <c r="AL185" s="71" t="s">
        <v>669</v>
      </c>
      <c r="AM185" s="19" t="b">
        <f>AL185=O185</f>
        <v>1</v>
      </c>
      <c r="AN185" s="7">
        <f>VLOOKUP(A185,'base ZITRHR129'!$G$1:$H$628,2,0)</f>
        <v>30040861</v>
      </c>
      <c r="AO185" s="7" t="b">
        <f>AN185=R185</f>
        <v>1</v>
      </c>
      <c r="AP185" s="7">
        <f>VLOOKUP(A185,'base ZITRHR129'!G132:W758,17,0)</f>
        <v>2551.27</v>
      </c>
      <c r="AQ185" s="7" t="b">
        <f>AP185=AK185</f>
        <v>1</v>
      </c>
      <c r="AR185" s="69"/>
    </row>
    <row r="186" spans="1:44" s="7" customFormat="1" ht="12" x14ac:dyDescent="0.2">
      <c r="A186" s="7">
        <v>10033391</v>
      </c>
      <c r="B186" s="8" t="s">
        <v>210</v>
      </c>
      <c r="C186" s="8" t="s">
        <v>692</v>
      </c>
      <c r="D186" s="8" t="s">
        <v>717</v>
      </c>
      <c r="E186" s="8" t="s">
        <v>722</v>
      </c>
      <c r="F186" s="8" t="s">
        <v>1406</v>
      </c>
      <c r="G186" s="8" t="s">
        <v>753</v>
      </c>
      <c r="H186" s="9">
        <v>19</v>
      </c>
      <c r="I186" s="8" t="s">
        <v>665</v>
      </c>
      <c r="J186" s="8" t="s">
        <v>959</v>
      </c>
      <c r="K186" s="8" t="s">
        <v>6</v>
      </c>
      <c r="L186" s="8" t="s">
        <v>17</v>
      </c>
      <c r="M186" s="10" t="s">
        <v>692</v>
      </c>
      <c r="N186" s="10" t="s">
        <v>717</v>
      </c>
      <c r="O186" s="10" t="s">
        <v>665</v>
      </c>
      <c r="P186" s="1"/>
      <c r="Q186" s="11" t="b">
        <f>O186=P186</f>
        <v>0</v>
      </c>
      <c r="R186" s="30">
        <v>30040862</v>
      </c>
      <c r="S186" s="1"/>
      <c r="T186" s="11" t="b">
        <f>R186=S186</f>
        <v>0</v>
      </c>
      <c r="U186" s="10" t="s">
        <v>6</v>
      </c>
      <c r="V186" s="1"/>
      <c r="W186" s="11" t="b">
        <f>U186=V186</f>
        <v>0</v>
      </c>
      <c r="X186" s="13" t="s">
        <v>15</v>
      </c>
      <c r="Y186" s="1"/>
      <c r="Z186" s="1"/>
      <c r="AA186" s="10">
        <v>22002695</v>
      </c>
      <c r="AB186" s="10" t="s">
        <v>1409</v>
      </c>
      <c r="AD186" s="11" t="b">
        <f>AB186=AC186</f>
        <v>0</v>
      </c>
      <c r="AE186" s="10" t="s">
        <v>753</v>
      </c>
      <c r="AF186" s="1"/>
      <c r="AG186" s="11" t="b">
        <f>AE186=AF186</f>
        <v>0</v>
      </c>
      <c r="AH186" s="1">
        <v>19</v>
      </c>
      <c r="AI186" s="1">
        <v>18.28</v>
      </c>
      <c r="AJ186" s="16">
        <f>AI186*220/30*30.4375</f>
        <v>4080.2483333333334</v>
      </c>
      <c r="AK186" s="18">
        <v>4080.25</v>
      </c>
      <c r="AL186" s="71" t="s">
        <v>665</v>
      </c>
      <c r="AM186" s="19" t="b">
        <f>AL186=O186</f>
        <v>1</v>
      </c>
      <c r="AN186" s="7">
        <f>VLOOKUP(A186,'base ZITRHR129'!$G$1:$H$628,2,0)</f>
        <v>30040862</v>
      </c>
      <c r="AO186" s="7" t="b">
        <f>AN186=R186</f>
        <v>1</v>
      </c>
      <c r="AP186" s="7">
        <f>VLOOKUP(A186,'base ZITRHR129'!G131:W757,17,0)</f>
        <v>4080.25</v>
      </c>
      <c r="AQ186" s="7" t="b">
        <f>AP186=AK186</f>
        <v>1</v>
      </c>
      <c r="AR186" s="69"/>
    </row>
    <row r="187" spans="1:44" s="7" customFormat="1" ht="12" x14ac:dyDescent="0.2">
      <c r="A187" s="7">
        <v>10033408</v>
      </c>
      <c r="B187" s="8" t="s">
        <v>211</v>
      </c>
      <c r="C187" s="8" t="s">
        <v>705</v>
      </c>
      <c r="D187" s="8" t="s">
        <v>717</v>
      </c>
      <c r="E187" s="8" t="s">
        <v>737</v>
      </c>
      <c r="F187" s="8" t="s">
        <v>1406</v>
      </c>
      <c r="G187" s="8" t="s">
        <v>765</v>
      </c>
      <c r="H187" s="9">
        <v>14</v>
      </c>
      <c r="I187" s="8" t="s">
        <v>670</v>
      </c>
      <c r="J187" s="8" t="s">
        <v>960</v>
      </c>
      <c r="K187" s="8" t="s">
        <v>16</v>
      </c>
      <c r="L187" s="8" t="s">
        <v>17</v>
      </c>
      <c r="M187" s="10" t="s">
        <v>705</v>
      </c>
      <c r="N187" s="10" t="s">
        <v>717</v>
      </c>
      <c r="O187" s="10" t="s">
        <v>670</v>
      </c>
      <c r="P187" s="1"/>
      <c r="Q187" s="11" t="b">
        <f>O187=P187</f>
        <v>0</v>
      </c>
      <c r="R187" s="30">
        <v>30040863</v>
      </c>
      <c r="S187" s="1"/>
      <c r="T187" s="11" t="b">
        <f>R187=S187</f>
        <v>0</v>
      </c>
      <c r="U187" s="10" t="s">
        <v>16</v>
      </c>
      <c r="V187" s="1"/>
      <c r="W187" s="11" t="b">
        <f>U187=V187</f>
        <v>0</v>
      </c>
      <c r="X187" s="13" t="s">
        <v>15</v>
      </c>
      <c r="Y187" s="1"/>
      <c r="Z187" s="1"/>
      <c r="AA187" s="10">
        <v>22002830</v>
      </c>
      <c r="AB187" s="10" t="s">
        <v>1409</v>
      </c>
      <c r="AD187" s="11" t="b">
        <f>AB187=AC187</f>
        <v>0</v>
      </c>
      <c r="AE187" s="10" t="s">
        <v>765</v>
      </c>
      <c r="AF187" s="1"/>
      <c r="AG187" s="11" t="b">
        <f>AE187=AF187</f>
        <v>0</v>
      </c>
      <c r="AH187" s="1">
        <v>14</v>
      </c>
      <c r="AI187" s="1">
        <v>8.59</v>
      </c>
      <c r="AJ187" s="16">
        <f>AI187*220/30*30.4375</f>
        <v>1917.3595833333334</v>
      </c>
      <c r="AK187" s="18">
        <v>1917.36</v>
      </c>
      <c r="AL187" s="71" t="s">
        <v>670</v>
      </c>
      <c r="AM187" s="19" t="b">
        <f>AL187=O187</f>
        <v>1</v>
      </c>
      <c r="AN187" s="7">
        <f>VLOOKUP(A187,'base ZITRHR129'!$G$1:$H$628,2,0)</f>
        <v>30040863</v>
      </c>
      <c r="AO187" s="7" t="b">
        <f>AN187=R187</f>
        <v>1</v>
      </c>
      <c r="AP187" s="7">
        <f>VLOOKUP(A187,'base ZITRHR129'!G130:W756,17,0)</f>
        <v>1917.36</v>
      </c>
      <c r="AQ187" s="7" t="b">
        <f>AP187=AK187</f>
        <v>1</v>
      </c>
      <c r="AR187" s="69"/>
    </row>
    <row r="188" spans="1:44" s="7" customFormat="1" ht="12" x14ac:dyDescent="0.2">
      <c r="A188" s="7">
        <v>10034077</v>
      </c>
      <c r="B188" s="8" t="s">
        <v>212</v>
      </c>
      <c r="C188" s="8" t="s">
        <v>687</v>
      </c>
      <c r="D188" s="8" t="s">
        <v>717</v>
      </c>
      <c r="E188" s="8" t="s">
        <v>724</v>
      </c>
      <c r="F188" s="8" t="s">
        <v>1406</v>
      </c>
      <c r="G188" s="8" t="s">
        <v>21</v>
      </c>
      <c r="H188" s="9">
        <v>16</v>
      </c>
      <c r="I188" s="8" t="s">
        <v>660</v>
      </c>
      <c r="J188" s="8" t="s">
        <v>961</v>
      </c>
      <c r="K188" s="8" t="s">
        <v>16</v>
      </c>
      <c r="L188" s="8" t="s">
        <v>17</v>
      </c>
      <c r="M188" s="10" t="s">
        <v>687</v>
      </c>
      <c r="N188" s="10" t="s">
        <v>717</v>
      </c>
      <c r="O188" s="10" t="s">
        <v>660</v>
      </c>
      <c r="P188" s="1"/>
      <c r="Q188" s="11" t="b">
        <f>O188=P188</f>
        <v>0</v>
      </c>
      <c r="R188" s="30">
        <v>30040864</v>
      </c>
      <c r="S188" s="1"/>
      <c r="T188" s="11" t="b">
        <f>R188=S188</f>
        <v>0</v>
      </c>
      <c r="U188" s="10" t="s">
        <v>16</v>
      </c>
      <c r="V188" s="1"/>
      <c r="W188" s="11" t="b">
        <f>U188=V188</f>
        <v>0</v>
      </c>
      <c r="X188" s="13" t="s">
        <v>15</v>
      </c>
      <c r="Y188" s="1"/>
      <c r="Z188" s="1"/>
      <c r="AA188" s="10">
        <v>22002616</v>
      </c>
      <c r="AB188" s="10" t="s">
        <v>1409</v>
      </c>
      <c r="AD188" s="11" t="b">
        <f>AB188=AC188</f>
        <v>0</v>
      </c>
      <c r="AE188" s="10" t="s">
        <v>21</v>
      </c>
      <c r="AF188" s="1"/>
      <c r="AG188" s="11" t="b">
        <f>AE188=AF188</f>
        <v>0</v>
      </c>
      <c r="AH188" s="1">
        <v>16</v>
      </c>
      <c r="AI188" s="1">
        <v>11.71</v>
      </c>
      <c r="AJ188" s="16">
        <f>AI188*220/30*30.4375</f>
        <v>2613.7695833333337</v>
      </c>
      <c r="AK188" s="18">
        <v>2613.77</v>
      </c>
      <c r="AL188" s="71" t="s">
        <v>660</v>
      </c>
      <c r="AM188" s="19" t="b">
        <f>AL188=O188</f>
        <v>1</v>
      </c>
      <c r="AN188" s="7">
        <f>VLOOKUP(A188,'base ZITRHR129'!$G$1:$H$628,2,0)</f>
        <v>30040864</v>
      </c>
      <c r="AO188" s="7" t="b">
        <f>AN188=R188</f>
        <v>1</v>
      </c>
      <c r="AP188" s="7">
        <f>VLOOKUP(A188,'base ZITRHR129'!G129:W755,17,0)</f>
        <v>2613.77</v>
      </c>
      <c r="AQ188" s="7" t="b">
        <f>AP188=AK188</f>
        <v>1</v>
      </c>
      <c r="AR188" s="69"/>
    </row>
    <row r="189" spans="1:44" s="7" customFormat="1" ht="12" x14ac:dyDescent="0.2">
      <c r="A189" s="7">
        <v>10034358</v>
      </c>
      <c r="B189" s="8" t="s">
        <v>213</v>
      </c>
      <c r="C189" s="8" t="s">
        <v>701</v>
      </c>
      <c r="D189" s="8" t="s">
        <v>717</v>
      </c>
      <c r="E189" s="8" t="s">
        <v>720</v>
      </c>
      <c r="F189" s="8" t="s">
        <v>1406</v>
      </c>
      <c r="G189" s="8" t="s">
        <v>751</v>
      </c>
      <c r="H189" s="9">
        <v>18</v>
      </c>
      <c r="I189" s="8" t="s">
        <v>668</v>
      </c>
      <c r="J189" s="8" t="s">
        <v>962</v>
      </c>
      <c r="K189" s="8" t="s">
        <v>16</v>
      </c>
      <c r="L189" s="8" t="s">
        <v>17</v>
      </c>
      <c r="M189" s="10" t="s">
        <v>701</v>
      </c>
      <c r="N189" s="10" t="s">
        <v>717</v>
      </c>
      <c r="O189" s="10" t="s">
        <v>668</v>
      </c>
      <c r="P189" s="1"/>
      <c r="Q189" s="11" t="b">
        <f>O189=P189</f>
        <v>0</v>
      </c>
      <c r="R189" s="30">
        <v>30040865</v>
      </c>
      <c r="S189" s="1"/>
      <c r="T189" s="11" t="b">
        <f>R189=S189</f>
        <v>0</v>
      </c>
      <c r="U189" s="10" t="s">
        <v>16</v>
      </c>
      <c r="V189" s="1"/>
      <c r="W189" s="11" t="b">
        <f>U189=V189</f>
        <v>0</v>
      </c>
      <c r="X189" s="13" t="s">
        <v>15</v>
      </c>
      <c r="Y189" s="1"/>
      <c r="Z189" s="1"/>
      <c r="AA189" s="10">
        <v>22003015</v>
      </c>
      <c r="AB189" s="10" t="s">
        <v>1409</v>
      </c>
      <c r="AD189" s="11" t="b">
        <f>AB189=AC189</f>
        <v>0</v>
      </c>
      <c r="AE189" s="10" t="s">
        <v>751</v>
      </c>
      <c r="AF189" s="1"/>
      <c r="AG189" s="11" t="b">
        <f>AE189=AF189</f>
        <v>0</v>
      </c>
      <c r="AH189" s="1">
        <v>18</v>
      </c>
      <c r="AI189" s="1">
        <v>17.73</v>
      </c>
      <c r="AJ189" s="16">
        <f>AI189*220/30*30.4375</f>
        <v>3957.4837500000003</v>
      </c>
      <c r="AK189" s="18">
        <v>3957.48</v>
      </c>
      <c r="AL189" s="71" t="s">
        <v>668</v>
      </c>
      <c r="AM189" s="19" t="b">
        <f>AL189=O189</f>
        <v>1</v>
      </c>
      <c r="AN189" s="7">
        <f>VLOOKUP(A189,'base ZITRHR129'!$G$1:$H$628,2,0)</f>
        <v>30040865</v>
      </c>
      <c r="AO189" s="7" t="b">
        <f>AN189=R189</f>
        <v>1</v>
      </c>
      <c r="AP189" s="7">
        <f>VLOOKUP(A189,'base ZITRHR129'!G128:W754,17,0)</f>
        <v>3957.48</v>
      </c>
      <c r="AQ189" s="7" t="b">
        <f>AP189=AK189</f>
        <v>1</v>
      </c>
      <c r="AR189" s="69"/>
    </row>
    <row r="190" spans="1:44" s="7" customFormat="1" ht="12" x14ac:dyDescent="0.2">
      <c r="A190" s="7">
        <v>10034398</v>
      </c>
      <c r="B190" s="8" t="s">
        <v>214</v>
      </c>
      <c r="C190" s="8" t="s">
        <v>701</v>
      </c>
      <c r="D190" s="8" t="s">
        <v>717</v>
      </c>
      <c r="E190" s="8" t="s">
        <v>720</v>
      </c>
      <c r="F190" s="8" t="s">
        <v>1406</v>
      </c>
      <c r="G190" s="8" t="s">
        <v>751</v>
      </c>
      <c r="H190" s="9">
        <v>18</v>
      </c>
      <c r="I190" s="8" t="s">
        <v>668</v>
      </c>
      <c r="J190" s="8" t="s">
        <v>963</v>
      </c>
      <c r="K190" s="8" t="s">
        <v>16</v>
      </c>
      <c r="L190" s="8" t="s">
        <v>17</v>
      </c>
      <c r="M190" s="10" t="s">
        <v>701</v>
      </c>
      <c r="N190" s="10" t="s">
        <v>717</v>
      </c>
      <c r="O190" s="10" t="s">
        <v>668</v>
      </c>
      <c r="P190" s="1"/>
      <c r="Q190" s="11" t="b">
        <f>O190=P190</f>
        <v>0</v>
      </c>
      <c r="R190" s="30">
        <v>30040866</v>
      </c>
      <c r="S190" s="1"/>
      <c r="T190" s="11" t="b">
        <f>R190=S190</f>
        <v>0</v>
      </c>
      <c r="U190" s="10" t="s">
        <v>16</v>
      </c>
      <c r="V190" s="1"/>
      <c r="W190" s="11" t="b">
        <f>U190=V190</f>
        <v>0</v>
      </c>
      <c r="X190" s="13" t="s">
        <v>15</v>
      </c>
      <c r="Y190" s="1"/>
      <c r="Z190" s="1"/>
      <c r="AA190" s="10">
        <v>22003015</v>
      </c>
      <c r="AB190" s="10" t="s">
        <v>1409</v>
      </c>
      <c r="AD190" s="11" t="b">
        <f>AB190=AC190</f>
        <v>0</v>
      </c>
      <c r="AE190" s="10" t="s">
        <v>751</v>
      </c>
      <c r="AF190" s="1"/>
      <c r="AG190" s="11" t="b">
        <f>AE190=AF190</f>
        <v>0</v>
      </c>
      <c r="AH190" s="1">
        <v>18</v>
      </c>
      <c r="AI190" s="1">
        <v>17.73</v>
      </c>
      <c r="AJ190" s="16">
        <f>AI190*220/30*30.4375</f>
        <v>3957.4837500000003</v>
      </c>
      <c r="AK190" s="18">
        <v>3957.48</v>
      </c>
      <c r="AL190" s="71" t="s">
        <v>668</v>
      </c>
      <c r="AM190" s="19" t="b">
        <f>AL190=O190</f>
        <v>1</v>
      </c>
      <c r="AN190" s="7">
        <f>VLOOKUP(A190,'base ZITRHR129'!$G$1:$H$628,2,0)</f>
        <v>30040866</v>
      </c>
      <c r="AO190" s="7" t="b">
        <f>AN190=R190</f>
        <v>1</v>
      </c>
      <c r="AP190" s="7">
        <f>VLOOKUP(A190,'base ZITRHR129'!G127:W753,17,0)</f>
        <v>3957.48</v>
      </c>
      <c r="AQ190" s="7" t="b">
        <f>AP190=AK190</f>
        <v>1</v>
      </c>
      <c r="AR190" s="69"/>
    </row>
    <row r="191" spans="1:44" s="7" customFormat="1" ht="12" x14ac:dyDescent="0.2">
      <c r="A191" s="7">
        <v>10034519</v>
      </c>
      <c r="B191" s="8" t="s">
        <v>215</v>
      </c>
      <c r="C191" s="8" t="s">
        <v>695</v>
      </c>
      <c r="D191" s="8" t="s">
        <v>717</v>
      </c>
      <c r="E191" s="8" t="s">
        <v>724</v>
      </c>
      <c r="F191" s="8" t="s">
        <v>1406</v>
      </c>
      <c r="G191" s="8" t="s">
        <v>21</v>
      </c>
      <c r="H191" s="9">
        <v>16</v>
      </c>
      <c r="I191" s="8" t="s">
        <v>660</v>
      </c>
      <c r="J191" s="8" t="s">
        <v>964</v>
      </c>
      <c r="K191" s="8" t="s">
        <v>16</v>
      </c>
      <c r="L191" s="8" t="s">
        <v>17</v>
      </c>
      <c r="M191" s="10" t="s">
        <v>695</v>
      </c>
      <c r="N191" s="10" t="s">
        <v>717</v>
      </c>
      <c r="O191" s="10" t="s">
        <v>660</v>
      </c>
      <c r="P191" s="1"/>
      <c r="Q191" s="11" t="b">
        <f>O191=P191</f>
        <v>0</v>
      </c>
      <c r="R191" s="30">
        <v>30040867</v>
      </c>
      <c r="S191" s="1"/>
      <c r="T191" s="11" t="b">
        <f>R191=S191</f>
        <v>0</v>
      </c>
      <c r="U191" s="10" t="s">
        <v>16</v>
      </c>
      <c r="V191" s="1"/>
      <c r="W191" s="11" t="b">
        <f>U191=V191</f>
        <v>0</v>
      </c>
      <c r="X191" s="13" t="s">
        <v>15</v>
      </c>
      <c r="Y191" s="1"/>
      <c r="Z191" s="1"/>
      <c r="AA191" s="10">
        <v>22002616</v>
      </c>
      <c r="AB191" s="10" t="s">
        <v>1409</v>
      </c>
      <c r="AD191" s="11" t="b">
        <f>AB191=AC191</f>
        <v>0</v>
      </c>
      <c r="AE191" s="10" t="s">
        <v>21</v>
      </c>
      <c r="AF191" s="1"/>
      <c r="AG191" s="11" t="b">
        <f>AE191=AF191</f>
        <v>0</v>
      </c>
      <c r="AH191" s="1">
        <v>16</v>
      </c>
      <c r="AI191" s="1">
        <v>11.71</v>
      </c>
      <c r="AJ191" s="16">
        <f>AI191*220/30*30.4375</f>
        <v>2613.7695833333337</v>
      </c>
      <c r="AK191" s="18">
        <v>2613.77</v>
      </c>
      <c r="AL191" s="71" t="s">
        <v>660</v>
      </c>
      <c r="AM191" s="19" t="b">
        <f>AL191=O191</f>
        <v>1</v>
      </c>
      <c r="AN191" s="7">
        <f>VLOOKUP(A191,'base ZITRHR129'!$G$1:$H$628,2,0)</f>
        <v>30040867</v>
      </c>
      <c r="AO191" s="7" t="b">
        <f>AN191=R191</f>
        <v>1</v>
      </c>
      <c r="AP191" s="7">
        <f>VLOOKUP(A191,'base ZITRHR129'!G126:W752,17,0)</f>
        <v>2613.77</v>
      </c>
      <c r="AQ191" s="7" t="b">
        <f>AP191=AK191</f>
        <v>1</v>
      </c>
      <c r="AR191" s="69"/>
    </row>
    <row r="192" spans="1:44" s="7" customFormat="1" ht="12" x14ac:dyDescent="0.2">
      <c r="A192" s="7">
        <v>10034810</v>
      </c>
      <c r="B192" s="8" t="s">
        <v>216</v>
      </c>
      <c r="C192" s="8" t="s">
        <v>695</v>
      </c>
      <c r="D192" s="8" t="s">
        <v>717</v>
      </c>
      <c r="E192" s="8" t="s">
        <v>724</v>
      </c>
      <c r="F192" s="8" t="s">
        <v>1406</v>
      </c>
      <c r="G192" s="8" t="s">
        <v>21</v>
      </c>
      <c r="H192" s="9">
        <v>16</v>
      </c>
      <c r="I192" s="8" t="s">
        <v>660</v>
      </c>
      <c r="J192" s="8" t="s">
        <v>965</v>
      </c>
      <c r="K192" s="8" t="s">
        <v>16</v>
      </c>
      <c r="L192" s="8" t="s">
        <v>17</v>
      </c>
      <c r="M192" s="10" t="s">
        <v>695</v>
      </c>
      <c r="N192" s="10" t="s">
        <v>717</v>
      </c>
      <c r="O192" s="10" t="s">
        <v>660</v>
      </c>
      <c r="P192" s="1"/>
      <c r="Q192" s="11" t="b">
        <f>O192=P192</f>
        <v>0</v>
      </c>
      <c r="R192" s="30">
        <v>30040868</v>
      </c>
      <c r="S192" s="1"/>
      <c r="T192" s="11" t="b">
        <f>R192=S192</f>
        <v>0</v>
      </c>
      <c r="U192" s="10" t="s">
        <v>16</v>
      </c>
      <c r="V192" s="1"/>
      <c r="W192" s="11" t="b">
        <f>U192=V192</f>
        <v>0</v>
      </c>
      <c r="X192" s="13" t="s">
        <v>15</v>
      </c>
      <c r="Y192" s="1"/>
      <c r="Z192" s="1"/>
      <c r="AA192" s="10">
        <v>22002616</v>
      </c>
      <c r="AB192" s="10" t="s">
        <v>1409</v>
      </c>
      <c r="AD192" s="11" t="b">
        <f>AB192=AC192</f>
        <v>0</v>
      </c>
      <c r="AE192" s="10" t="s">
        <v>21</v>
      </c>
      <c r="AF192" s="1"/>
      <c r="AG192" s="11" t="b">
        <f>AE192=AF192</f>
        <v>0</v>
      </c>
      <c r="AH192" s="1">
        <v>16</v>
      </c>
      <c r="AI192" s="1">
        <v>11.71</v>
      </c>
      <c r="AJ192" s="16">
        <f>AI192*220/30*30.4375</f>
        <v>2613.7695833333337</v>
      </c>
      <c r="AK192" s="18">
        <v>2613.77</v>
      </c>
      <c r="AL192" s="71" t="s">
        <v>660</v>
      </c>
      <c r="AM192" s="19" t="b">
        <f>AL192=O192</f>
        <v>1</v>
      </c>
      <c r="AN192" s="7">
        <f>VLOOKUP(A192,'base ZITRHR129'!$G$1:$H$628,2,0)</f>
        <v>30040868</v>
      </c>
      <c r="AO192" s="7" t="b">
        <f>AN192=R192</f>
        <v>1</v>
      </c>
      <c r="AP192" s="7">
        <f>VLOOKUP(A192,'base ZITRHR129'!G125:W751,17,0)</f>
        <v>2613.77</v>
      </c>
      <c r="AQ192" s="7" t="b">
        <f>AP192=AK192</f>
        <v>1</v>
      </c>
      <c r="AR192" s="69"/>
    </row>
    <row r="193" spans="1:44" s="7" customFormat="1" ht="12" x14ac:dyDescent="0.2">
      <c r="A193" s="7">
        <v>10034811</v>
      </c>
      <c r="B193" s="8" t="s">
        <v>217</v>
      </c>
      <c r="C193" s="8" t="s">
        <v>695</v>
      </c>
      <c r="D193" s="8" t="s">
        <v>717</v>
      </c>
      <c r="E193" s="8" t="s">
        <v>724</v>
      </c>
      <c r="F193" s="8" t="s">
        <v>1406</v>
      </c>
      <c r="G193" s="8" t="s">
        <v>21</v>
      </c>
      <c r="H193" s="9">
        <v>16</v>
      </c>
      <c r="I193" s="8" t="s">
        <v>660</v>
      </c>
      <c r="J193" s="8" t="s">
        <v>966</v>
      </c>
      <c r="K193" s="8" t="s">
        <v>16</v>
      </c>
      <c r="L193" s="8" t="s">
        <v>17</v>
      </c>
      <c r="M193" s="10" t="s">
        <v>695</v>
      </c>
      <c r="N193" s="10" t="s">
        <v>717</v>
      </c>
      <c r="O193" s="10" t="s">
        <v>660</v>
      </c>
      <c r="P193" s="1"/>
      <c r="Q193" s="11" t="b">
        <f>O193=P193</f>
        <v>0</v>
      </c>
      <c r="R193" s="30">
        <v>30040869</v>
      </c>
      <c r="S193" s="1"/>
      <c r="T193" s="11" t="b">
        <f>R193=S193</f>
        <v>0</v>
      </c>
      <c r="U193" s="10" t="s">
        <v>16</v>
      </c>
      <c r="V193" s="1"/>
      <c r="W193" s="11" t="b">
        <f>U193=V193</f>
        <v>0</v>
      </c>
      <c r="X193" s="13" t="s">
        <v>15</v>
      </c>
      <c r="Y193" s="1"/>
      <c r="Z193" s="1"/>
      <c r="AA193" s="10">
        <v>22002616</v>
      </c>
      <c r="AB193" s="10" t="s">
        <v>1409</v>
      </c>
      <c r="AD193" s="11" t="b">
        <f>AB193=AC193</f>
        <v>0</v>
      </c>
      <c r="AE193" s="10" t="s">
        <v>21</v>
      </c>
      <c r="AF193" s="1"/>
      <c r="AG193" s="11" t="b">
        <f>AE193=AF193</f>
        <v>0</v>
      </c>
      <c r="AH193" s="1">
        <v>16</v>
      </c>
      <c r="AI193" s="1">
        <v>11.71</v>
      </c>
      <c r="AJ193" s="16">
        <f>AI193*220/30*30.4375</f>
        <v>2613.7695833333337</v>
      </c>
      <c r="AK193" s="18">
        <v>2613.77</v>
      </c>
      <c r="AL193" s="71" t="s">
        <v>660</v>
      </c>
      <c r="AM193" s="19" t="b">
        <f>AL193=O193</f>
        <v>1</v>
      </c>
      <c r="AN193" s="7">
        <f>VLOOKUP(A193,'base ZITRHR129'!$G$1:$H$628,2,0)</f>
        <v>30040869</v>
      </c>
      <c r="AO193" s="7" t="b">
        <f>AN193=R193</f>
        <v>1</v>
      </c>
      <c r="AP193" s="7">
        <f>VLOOKUP(A193,'base ZITRHR129'!G124:W750,17,0)</f>
        <v>2613.77</v>
      </c>
      <c r="AQ193" s="7" t="b">
        <f>AP193=AK193</f>
        <v>1</v>
      </c>
      <c r="AR193" s="69"/>
    </row>
    <row r="194" spans="1:44" s="7" customFormat="1" ht="12" x14ac:dyDescent="0.2">
      <c r="A194" s="7">
        <v>10035039</v>
      </c>
      <c r="B194" s="8" t="s">
        <v>218</v>
      </c>
      <c r="C194" s="8" t="s">
        <v>706</v>
      </c>
      <c r="D194" s="8" t="s">
        <v>717</v>
      </c>
      <c r="E194" s="8" t="s">
        <v>724</v>
      </c>
      <c r="F194" s="8" t="s">
        <v>1406</v>
      </c>
      <c r="G194" s="8" t="s">
        <v>21</v>
      </c>
      <c r="H194" s="9">
        <v>16</v>
      </c>
      <c r="I194" s="8" t="s">
        <v>660</v>
      </c>
      <c r="J194" s="8" t="s">
        <v>967</v>
      </c>
      <c r="K194" s="8" t="s">
        <v>16</v>
      </c>
      <c r="L194" s="8" t="s">
        <v>17</v>
      </c>
      <c r="M194" s="10" t="s">
        <v>706</v>
      </c>
      <c r="N194" s="10" t="s">
        <v>717</v>
      </c>
      <c r="O194" s="10" t="s">
        <v>660</v>
      </c>
      <c r="P194" s="1"/>
      <c r="Q194" s="11" t="b">
        <f>O194=P194</f>
        <v>0</v>
      </c>
      <c r="R194" s="30">
        <v>30040870</v>
      </c>
      <c r="S194" s="1"/>
      <c r="T194" s="11" t="b">
        <f>R194=S194</f>
        <v>0</v>
      </c>
      <c r="U194" s="10" t="s">
        <v>16</v>
      </c>
      <c r="V194" s="1"/>
      <c r="W194" s="11" t="b">
        <f>U194=V194</f>
        <v>0</v>
      </c>
      <c r="X194" s="13" t="s">
        <v>15</v>
      </c>
      <c r="Y194" s="1"/>
      <c r="Z194" s="1"/>
      <c r="AA194" s="10">
        <v>22002616</v>
      </c>
      <c r="AB194" s="10" t="s">
        <v>1409</v>
      </c>
      <c r="AD194" s="11" t="b">
        <f>AB194=AC194</f>
        <v>0</v>
      </c>
      <c r="AE194" s="10" t="s">
        <v>21</v>
      </c>
      <c r="AF194" s="1"/>
      <c r="AG194" s="11" t="b">
        <f>AE194=AF194</f>
        <v>0</v>
      </c>
      <c r="AH194" s="1">
        <v>16</v>
      </c>
      <c r="AI194" s="1">
        <v>11.71</v>
      </c>
      <c r="AJ194" s="16">
        <f>AI194*220/30*30.4375</f>
        <v>2613.7695833333337</v>
      </c>
      <c r="AK194" s="18">
        <v>2613.77</v>
      </c>
      <c r="AL194" s="71" t="s">
        <v>660</v>
      </c>
      <c r="AM194" s="19" t="b">
        <f>AL194=O194</f>
        <v>1</v>
      </c>
      <c r="AN194" s="7">
        <f>VLOOKUP(A194,'base ZITRHR129'!$G$1:$H$628,2,0)</f>
        <v>30040870</v>
      </c>
      <c r="AO194" s="7" t="b">
        <f>AN194=R194</f>
        <v>1</v>
      </c>
      <c r="AP194" s="7">
        <f>VLOOKUP(A194,'base ZITRHR129'!G123:W749,17,0)</f>
        <v>2613.77</v>
      </c>
      <c r="AQ194" s="7" t="b">
        <f>AP194=AK194</f>
        <v>1</v>
      </c>
      <c r="AR194" s="69"/>
    </row>
    <row r="195" spans="1:44" s="7" customFormat="1" ht="12" x14ac:dyDescent="0.2">
      <c r="A195" s="7">
        <v>10035290</v>
      </c>
      <c r="B195" s="8" t="s">
        <v>219</v>
      </c>
      <c r="C195" s="8" t="s">
        <v>700</v>
      </c>
      <c r="D195" s="8" t="s">
        <v>717</v>
      </c>
      <c r="E195" s="8" t="s">
        <v>732</v>
      </c>
      <c r="F195" s="8" t="s">
        <v>1407</v>
      </c>
      <c r="G195" s="8" t="s">
        <v>761</v>
      </c>
      <c r="H195" s="9">
        <v>15</v>
      </c>
      <c r="I195" s="8" t="s">
        <v>666</v>
      </c>
      <c r="J195" s="8" t="s">
        <v>968</v>
      </c>
      <c r="K195" s="8" t="s">
        <v>16</v>
      </c>
      <c r="L195" s="8" t="s">
        <v>17</v>
      </c>
      <c r="M195" s="10" t="s">
        <v>700</v>
      </c>
      <c r="N195" s="10" t="s">
        <v>717</v>
      </c>
      <c r="O195" s="10" t="s">
        <v>666</v>
      </c>
      <c r="P195" s="1"/>
      <c r="Q195" s="11" t="b">
        <f>O195=P195</f>
        <v>0</v>
      </c>
      <c r="R195" s="30">
        <v>30041328</v>
      </c>
      <c r="S195" s="1"/>
      <c r="T195" s="11" t="b">
        <f>R195=S195</f>
        <v>0</v>
      </c>
      <c r="U195" s="10" t="s">
        <v>16</v>
      </c>
      <c r="V195" s="1"/>
      <c r="W195" s="11" t="b">
        <f>U195=V195</f>
        <v>0</v>
      </c>
      <c r="X195" s="13" t="s">
        <v>15</v>
      </c>
      <c r="Y195" s="1"/>
      <c r="Z195" s="1"/>
      <c r="AA195" s="61">
        <v>22003423</v>
      </c>
      <c r="AB195" s="10" t="s">
        <v>1410</v>
      </c>
      <c r="AD195" s="11" t="b">
        <f>AB195=AC195</f>
        <v>0</v>
      </c>
      <c r="AE195" s="10" t="s">
        <v>761</v>
      </c>
      <c r="AF195" s="1"/>
      <c r="AG195" s="11" t="b">
        <f>AE195=AF195</f>
        <v>0</v>
      </c>
      <c r="AH195" s="1">
        <v>15</v>
      </c>
      <c r="AI195" s="1">
        <v>11.71</v>
      </c>
      <c r="AJ195" s="16">
        <f>AI195*180/30*30.4375</f>
        <v>2138.5387500000002</v>
      </c>
      <c r="AK195" s="18">
        <v>2138.54</v>
      </c>
      <c r="AL195" s="71" t="s">
        <v>666</v>
      </c>
      <c r="AM195" s="19" t="b">
        <f>AL195=O195</f>
        <v>1</v>
      </c>
      <c r="AN195" s="7">
        <f>VLOOKUP(A195,'base ZITRHR129'!$G$1:$H$628,2,0)</f>
        <v>30041328</v>
      </c>
      <c r="AO195" s="7" t="b">
        <f>AN195=R195</f>
        <v>1</v>
      </c>
      <c r="AP195" s="7">
        <f>VLOOKUP(A195,'base ZITRHR129'!G122:W748,17,0)</f>
        <v>2138.54</v>
      </c>
      <c r="AQ195" s="7" t="b">
        <f>AP195=AK195</f>
        <v>1</v>
      </c>
      <c r="AR195" s="69"/>
    </row>
    <row r="196" spans="1:44" s="7" customFormat="1" ht="12" x14ac:dyDescent="0.2">
      <c r="A196" s="7">
        <v>10035342</v>
      </c>
      <c r="B196" s="8" t="s">
        <v>220</v>
      </c>
      <c r="C196" s="8" t="s">
        <v>710</v>
      </c>
      <c r="D196" s="8" t="s">
        <v>717</v>
      </c>
      <c r="E196" s="8" t="s">
        <v>724</v>
      </c>
      <c r="F196" s="8" t="s">
        <v>1406</v>
      </c>
      <c r="G196" s="8" t="s">
        <v>21</v>
      </c>
      <c r="H196" s="9">
        <v>16</v>
      </c>
      <c r="I196" s="8" t="s">
        <v>674</v>
      </c>
      <c r="J196" s="8" t="s">
        <v>969</v>
      </c>
      <c r="K196" s="8" t="s">
        <v>16</v>
      </c>
      <c r="L196" s="8" t="s">
        <v>17</v>
      </c>
      <c r="M196" s="10" t="s">
        <v>710</v>
      </c>
      <c r="N196" s="10" t="s">
        <v>717</v>
      </c>
      <c r="O196" s="10" t="s">
        <v>674</v>
      </c>
      <c r="P196" s="1"/>
      <c r="Q196" s="11" t="b">
        <f>O196=P196</f>
        <v>0</v>
      </c>
      <c r="R196" s="30">
        <v>30040872</v>
      </c>
      <c r="S196" s="1"/>
      <c r="T196" s="11" t="b">
        <f>R196=S196</f>
        <v>0</v>
      </c>
      <c r="U196" s="10" t="s">
        <v>16</v>
      </c>
      <c r="V196" s="1"/>
      <c r="W196" s="11" t="b">
        <f>U196=V196</f>
        <v>0</v>
      </c>
      <c r="X196" s="13" t="s">
        <v>15</v>
      </c>
      <c r="Y196" s="1"/>
      <c r="Z196" s="1"/>
      <c r="AA196" s="59">
        <v>22002616</v>
      </c>
      <c r="AB196" s="10" t="s">
        <v>1409</v>
      </c>
      <c r="AD196" s="11" t="b">
        <f>AB196=AC196</f>
        <v>0</v>
      </c>
      <c r="AE196" s="10" t="s">
        <v>21</v>
      </c>
      <c r="AF196" s="1"/>
      <c r="AG196" s="11" t="b">
        <f>AE196=AF196</f>
        <v>0</v>
      </c>
      <c r="AH196" s="1">
        <v>16</v>
      </c>
      <c r="AI196" s="1">
        <v>11.71</v>
      </c>
      <c r="AJ196" s="16">
        <f>AI196*220/30*30.4375</f>
        <v>2613.7695833333337</v>
      </c>
      <c r="AK196" s="18">
        <v>2613.77</v>
      </c>
      <c r="AL196" s="71" t="s">
        <v>674</v>
      </c>
      <c r="AM196" s="19" t="b">
        <f>AL196=O196</f>
        <v>1</v>
      </c>
      <c r="AN196" s="7">
        <f>VLOOKUP(A196,'base ZITRHR129'!$G$1:$H$628,2,0)</f>
        <v>30040872</v>
      </c>
      <c r="AO196" s="7" t="b">
        <f>AN196=R196</f>
        <v>1</v>
      </c>
      <c r="AP196" s="7">
        <f>VLOOKUP(A196,'base ZITRHR129'!G121:W747,17,0)</f>
        <v>2613.77</v>
      </c>
      <c r="AQ196" s="7" t="b">
        <f>AP196=AK196</f>
        <v>1</v>
      </c>
      <c r="AR196" s="69"/>
    </row>
    <row r="197" spans="1:44" s="7" customFormat="1" ht="12" x14ac:dyDescent="0.2">
      <c r="A197" s="7">
        <v>10035369</v>
      </c>
      <c r="B197" s="8" t="s">
        <v>221</v>
      </c>
      <c r="C197" s="8" t="s">
        <v>690</v>
      </c>
      <c r="D197" s="8" t="s">
        <v>717</v>
      </c>
      <c r="E197" s="8" t="s">
        <v>726</v>
      </c>
      <c r="F197" s="8" t="s">
        <v>1406</v>
      </c>
      <c r="G197" s="8" t="s">
        <v>755</v>
      </c>
      <c r="H197" s="9">
        <v>15</v>
      </c>
      <c r="I197" s="8" t="s">
        <v>663</v>
      </c>
      <c r="J197" s="8" t="s">
        <v>970</v>
      </c>
      <c r="K197" s="8" t="s">
        <v>16</v>
      </c>
      <c r="L197" s="8" t="s">
        <v>17</v>
      </c>
      <c r="M197" s="10" t="s">
        <v>690</v>
      </c>
      <c r="N197" s="10" t="s">
        <v>717</v>
      </c>
      <c r="O197" s="10" t="s">
        <v>663</v>
      </c>
      <c r="P197" s="1"/>
      <c r="Q197" s="11" t="b">
        <f>O197=P197</f>
        <v>0</v>
      </c>
      <c r="R197" s="30">
        <v>30040873</v>
      </c>
      <c r="S197" s="1"/>
      <c r="T197" s="11" t="b">
        <f>R197=S197</f>
        <v>0</v>
      </c>
      <c r="U197" s="10" t="s">
        <v>16</v>
      </c>
      <c r="V197" s="1"/>
      <c r="W197" s="11" t="b">
        <f>U197=V197</f>
        <v>0</v>
      </c>
      <c r="X197" s="13" t="s">
        <v>15</v>
      </c>
      <c r="Y197" s="1"/>
      <c r="Z197" s="1"/>
      <c r="AA197" s="10">
        <v>22002617</v>
      </c>
      <c r="AB197" s="10" t="s">
        <v>1409</v>
      </c>
      <c r="AD197" s="11" t="b">
        <f>AB197=AC197</f>
        <v>0</v>
      </c>
      <c r="AE197" s="10" t="s">
        <v>755</v>
      </c>
      <c r="AF197" s="1"/>
      <c r="AG197" s="11" t="b">
        <f>AE197=AF197</f>
        <v>0</v>
      </c>
      <c r="AH197" s="1">
        <v>15</v>
      </c>
      <c r="AI197" s="1">
        <v>11.43</v>
      </c>
      <c r="AJ197" s="16">
        <f>AI197*220/30*30.4375</f>
        <v>2551.2712499999998</v>
      </c>
      <c r="AK197" s="18">
        <v>2551.27</v>
      </c>
      <c r="AL197" s="71" t="s">
        <v>663</v>
      </c>
      <c r="AM197" s="19" t="b">
        <f>AL197=O197</f>
        <v>1</v>
      </c>
      <c r="AN197" s="7">
        <f>VLOOKUP(A197,'base ZITRHR129'!$G$1:$H$628,2,0)</f>
        <v>30040873</v>
      </c>
      <c r="AO197" s="7" t="b">
        <f>AN197=R197</f>
        <v>1</v>
      </c>
      <c r="AP197" s="7">
        <f>VLOOKUP(A197,'base ZITRHR129'!G120:W746,17,0)</f>
        <v>2551.27</v>
      </c>
      <c r="AQ197" s="7" t="b">
        <f>AP197=AK197</f>
        <v>1</v>
      </c>
      <c r="AR197" s="69"/>
    </row>
    <row r="198" spans="1:44" s="7" customFormat="1" ht="12" x14ac:dyDescent="0.2">
      <c r="A198" s="7">
        <v>10035445</v>
      </c>
      <c r="B198" s="8" t="s">
        <v>222</v>
      </c>
      <c r="C198" s="8" t="s">
        <v>687</v>
      </c>
      <c r="D198" s="8" t="s">
        <v>717</v>
      </c>
      <c r="E198" s="8" t="s">
        <v>724</v>
      </c>
      <c r="F198" s="8" t="s">
        <v>1406</v>
      </c>
      <c r="G198" s="8" t="s">
        <v>21</v>
      </c>
      <c r="H198" s="9">
        <v>16</v>
      </c>
      <c r="I198" s="8" t="s">
        <v>660</v>
      </c>
      <c r="J198" s="8" t="s">
        <v>971</v>
      </c>
      <c r="K198" s="8" t="s">
        <v>16</v>
      </c>
      <c r="L198" s="8" t="s">
        <v>17</v>
      </c>
      <c r="M198" s="10" t="s">
        <v>687</v>
      </c>
      <c r="N198" s="10" t="s">
        <v>717</v>
      </c>
      <c r="O198" s="10" t="s">
        <v>660</v>
      </c>
      <c r="P198" s="1"/>
      <c r="Q198" s="11" t="b">
        <f>O198=P198</f>
        <v>0</v>
      </c>
      <c r="R198" s="30">
        <v>30040874</v>
      </c>
      <c r="S198" s="1"/>
      <c r="T198" s="11" t="b">
        <f>R198=S198</f>
        <v>0</v>
      </c>
      <c r="U198" s="10" t="s">
        <v>16</v>
      </c>
      <c r="V198" s="1"/>
      <c r="W198" s="11" t="b">
        <f>U198=V198</f>
        <v>0</v>
      </c>
      <c r="X198" s="13" t="s">
        <v>15</v>
      </c>
      <c r="Y198" s="1"/>
      <c r="Z198" s="1"/>
      <c r="AA198" s="10">
        <v>22002616</v>
      </c>
      <c r="AB198" s="10" t="s">
        <v>1409</v>
      </c>
      <c r="AD198" s="11" t="b">
        <f>AB198=AC198</f>
        <v>0</v>
      </c>
      <c r="AE198" s="10" t="s">
        <v>21</v>
      </c>
      <c r="AF198" s="1"/>
      <c r="AG198" s="11" t="b">
        <f>AE198=AF198</f>
        <v>0</v>
      </c>
      <c r="AH198" s="1">
        <v>16</v>
      </c>
      <c r="AI198" s="1">
        <v>11.71</v>
      </c>
      <c r="AJ198" s="16">
        <f>AI198*220/30*30.4375</f>
        <v>2613.7695833333337</v>
      </c>
      <c r="AK198" s="18">
        <v>2613.77</v>
      </c>
      <c r="AL198" s="71" t="s">
        <v>660</v>
      </c>
      <c r="AM198" s="19" t="b">
        <f>AL198=O198</f>
        <v>1</v>
      </c>
      <c r="AN198" s="7">
        <f>VLOOKUP(A198,'base ZITRHR129'!$G$1:$H$628,2,0)</f>
        <v>30040874</v>
      </c>
      <c r="AO198" s="7" t="b">
        <f>AN198=R198</f>
        <v>1</v>
      </c>
      <c r="AP198" s="7">
        <f>VLOOKUP(A198,'base ZITRHR129'!G119:W745,17,0)</f>
        <v>2613.77</v>
      </c>
      <c r="AQ198" s="7" t="b">
        <f>AP198=AK198</f>
        <v>1</v>
      </c>
      <c r="AR198" s="69"/>
    </row>
    <row r="199" spans="1:44" s="7" customFormat="1" ht="12" x14ac:dyDescent="0.2">
      <c r="A199" s="7">
        <v>10035579</v>
      </c>
      <c r="B199" s="8" t="s">
        <v>223</v>
      </c>
      <c r="C199" s="8" t="s">
        <v>704</v>
      </c>
      <c r="D199" s="8" t="s">
        <v>717</v>
      </c>
      <c r="E199" s="8" t="s">
        <v>733</v>
      </c>
      <c r="F199" s="8" t="s">
        <v>1406</v>
      </c>
      <c r="G199" s="8" t="s">
        <v>762</v>
      </c>
      <c r="H199" s="9">
        <v>17</v>
      </c>
      <c r="I199" s="8" t="s">
        <v>669</v>
      </c>
      <c r="J199" s="8" t="s">
        <v>972</v>
      </c>
      <c r="K199" s="8" t="s">
        <v>16</v>
      </c>
      <c r="L199" s="8" t="s">
        <v>17</v>
      </c>
      <c r="M199" s="10" t="s">
        <v>704</v>
      </c>
      <c r="N199" s="10" t="s">
        <v>717</v>
      </c>
      <c r="O199" s="10" t="s">
        <v>669</v>
      </c>
      <c r="P199" s="1"/>
      <c r="Q199" s="11" t="b">
        <f>O199=P199</f>
        <v>0</v>
      </c>
      <c r="R199" s="30">
        <v>30040875</v>
      </c>
      <c r="S199" s="1"/>
      <c r="T199" s="11" t="b">
        <f>R199=S199</f>
        <v>0</v>
      </c>
      <c r="U199" s="10" t="s">
        <v>16</v>
      </c>
      <c r="V199" s="1"/>
      <c r="W199" s="11" t="b">
        <f>U199=V199</f>
        <v>0</v>
      </c>
      <c r="X199" s="13" t="s">
        <v>15</v>
      </c>
      <c r="Y199" s="1"/>
      <c r="Z199" s="1"/>
      <c r="AA199" s="10">
        <v>22001158</v>
      </c>
      <c r="AB199" s="10" t="s">
        <v>1409</v>
      </c>
      <c r="AD199" s="11" t="b">
        <f>AB199=AC199</f>
        <v>0</v>
      </c>
      <c r="AE199" s="10" t="s">
        <v>762</v>
      </c>
      <c r="AF199" s="1"/>
      <c r="AG199" s="11" t="b">
        <f>AE199=AF199</f>
        <v>0</v>
      </c>
      <c r="AH199" s="1">
        <v>17</v>
      </c>
      <c r="AI199" s="1">
        <v>11.43</v>
      </c>
      <c r="AJ199" s="16">
        <f>AI199*220/30*30.4375</f>
        <v>2551.2712499999998</v>
      </c>
      <c r="AK199" s="18">
        <v>2551.27</v>
      </c>
      <c r="AL199" s="71" t="s">
        <v>669</v>
      </c>
      <c r="AM199" s="19" t="b">
        <f>AL199=O199</f>
        <v>1</v>
      </c>
      <c r="AN199" s="7">
        <f>VLOOKUP(A199,'base ZITRHR129'!$G$1:$H$628,2,0)</f>
        <v>30040875</v>
      </c>
      <c r="AO199" s="7" t="b">
        <f>AN199=R199</f>
        <v>1</v>
      </c>
      <c r="AP199" s="7">
        <f>VLOOKUP(A199,'base ZITRHR129'!G118:W744,17,0)</f>
        <v>2551.27</v>
      </c>
      <c r="AQ199" s="7" t="b">
        <f>AP199=AK199</f>
        <v>1</v>
      </c>
      <c r="AR199" s="69"/>
    </row>
    <row r="200" spans="1:44" s="7" customFormat="1" ht="12" x14ac:dyDescent="0.2">
      <c r="A200" s="7">
        <v>10035637</v>
      </c>
      <c r="B200" s="8" t="s">
        <v>224</v>
      </c>
      <c r="C200" s="8" t="s">
        <v>690</v>
      </c>
      <c r="D200" s="8" t="s">
        <v>717</v>
      </c>
      <c r="E200" s="8" t="s">
        <v>726</v>
      </c>
      <c r="F200" s="8" t="s">
        <v>1406</v>
      </c>
      <c r="G200" s="8" t="s">
        <v>755</v>
      </c>
      <c r="H200" s="9">
        <v>15</v>
      </c>
      <c r="I200" s="8" t="s">
        <v>663</v>
      </c>
      <c r="J200" s="8" t="s">
        <v>973</v>
      </c>
      <c r="K200" s="8" t="s">
        <v>16</v>
      </c>
      <c r="L200" s="8" t="s">
        <v>17</v>
      </c>
      <c r="M200" s="10" t="s">
        <v>690</v>
      </c>
      <c r="N200" s="10" t="s">
        <v>717</v>
      </c>
      <c r="O200" s="10" t="s">
        <v>663</v>
      </c>
      <c r="P200" s="1"/>
      <c r="Q200" s="11" t="b">
        <f>O200=P200</f>
        <v>0</v>
      </c>
      <c r="R200" s="30">
        <v>30040876</v>
      </c>
      <c r="S200" s="1"/>
      <c r="T200" s="11" t="b">
        <f>R200=S200</f>
        <v>0</v>
      </c>
      <c r="U200" s="10" t="s">
        <v>16</v>
      </c>
      <c r="V200" s="1"/>
      <c r="W200" s="11" t="b">
        <f>U200=V200</f>
        <v>0</v>
      </c>
      <c r="X200" s="13" t="s">
        <v>15</v>
      </c>
      <c r="Y200" s="1"/>
      <c r="Z200" s="1"/>
      <c r="AA200" s="10">
        <v>22002617</v>
      </c>
      <c r="AB200" s="10" t="s">
        <v>1409</v>
      </c>
      <c r="AD200" s="11" t="b">
        <f>AB200=AC200</f>
        <v>0</v>
      </c>
      <c r="AE200" s="10" t="s">
        <v>755</v>
      </c>
      <c r="AF200" s="1"/>
      <c r="AG200" s="11" t="b">
        <f>AE200=AF200</f>
        <v>0</v>
      </c>
      <c r="AH200" s="1">
        <v>15</v>
      </c>
      <c r="AI200" s="1">
        <v>11.43</v>
      </c>
      <c r="AJ200" s="16">
        <f>AI200*220/30*30.4375</f>
        <v>2551.2712499999998</v>
      </c>
      <c r="AK200" s="18">
        <v>2551.27</v>
      </c>
      <c r="AL200" s="71" t="s">
        <v>663</v>
      </c>
      <c r="AM200" s="19" t="b">
        <f>AL200=O200</f>
        <v>1</v>
      </c>
      <c r="AN200" s="7">
        <f>VLOOKUP(A200,'base ZITRHR129'!$G$1:$H$628,2,0)</f>
        <v>30040876</v>
      </c>
      <c r="AO200" s="7" t="b">
        <f>AN200=R200</f>
        <v>1</v>
      </c>
      <c r="AP200" s="7">
        <f>VLOOKUP(A200,'base ZITRHR129'!G117:W743,17,0)</f>
        <v>2551.27</v>
      </c>
      <c r="AQ200" s="7" t="b">
        <f>AP200=AK200</f>
        <v>1</v>
      </c>
      <c r="AR200" s="69"/>
    </row>
    <row r="201" spans="1:44" s="7" customFormat="1" ht="12" x14ac:dyDescent="0.2">
      <c r="A201" s="7">
        <v>10035638</v>
      </c>
      <c r="B201" s="8" t="s">
        <v>225</v>
      </c>
      <c r="C201" s="8" t="s">
        <v>679</v>
      </c>
      <c r="D201" s="8" t="s">
        <v>717</v>
      </c>
      <c r="E201" s="8" t="s">
        <v>720</v>
      </c>
      <c r="F201" s="8" t="s">
        <v>1406</v>
      </c>
      <c r="G201" s="8" t="s">
        <v>751</v>
      </c>
      <c r="H201" s="9">
        <v>18</v>
      </c>
      <c r="I201" s="8" t="s">
        <v>653</v>
      </c>
      <c r="J201" s="8" t="s">
        <v>974</v>
      </c>
      <c r="K201" s="8" t="s">
        <v>16</v>
      </c>
      <c r="L201" s="8" t="s">
        <v>17</v>
      </c>
      <c r="M201" s="10" t="s">
        <v>679</v>
      </c>
      <c r="N201" s="10" t="s">
        <v>717</v>
      </c>
      <c r="O201" s="10" t="s">
        <v>653</v>
      </c>
      <c r="P201" s="1"/>
      <c r="Q201" s="11" t="b">
        <f>O201=P201</f>
        <v>0</v>
      </c>
      <c r="R201" s="30">
        <v>30040877</v>
      </c>
      <c r="S201" s="1"/>
      <c r="T201" s="11" t="b">
        <f>R201=S201</f>
        <v>0</v>
      </c>
      <c r="U201" s="10" t="s">
        <v>16</v>
      </c>
      <c r="V201" s="1"/>
      <c r="W201" s="11" t="b">
        <f>U201=V201</f>
        <v>0</v>
      </c>
      <c r="X201" s="13" t="s">
        <v>15</v>
      </c>
      <c r="Y201" s="1"/>
      <c r="Z201" s="1"/>
      <c r="AA201" s="59">
        <v>22003015</v>
      </c>
      <c r="AB201" s="10" t="s">
        <v>1409</v>
      </c>
      <c r="AD201" s="11" t="b">
        <f>AB201=AC201</f>
        <v>0</v>
      </c>
      <c r="AE201" s="10" t="s">
        <v>751</v>
      </c>
      <c r="AF201" s="1"/>
      <c r="AG201" s="11" t="b">
        <f>AE201=AF201</f>
        <v>0</v>
      </c>
      <c r="AH201" s="1">
        <v>18</v>
      </c>
      <c r="AI201" s="1">
        <v>17.739999999999998</v>
      </c>
      <c r="AJ201" s="16">
        <f>AI201*220/30*30.4375</f>
        <v>3959.7158333333332</v>
      </c>
      <c r="AK201" s="18">
        <v>3959.72</v>
      </c>
      <c r="AL201" s="71" t="s">
        <v>653</v>
      </c>
      <c r="AM201" s="19" t="b">
        <f>AL201=O201</f>
        <v>1</v>
      </c>
      <c r="AN201" s="7">
        <f>VLOOKUP(A201,'base ZITRHR129'!$G$1:$H$628,2,0)</f>
        <v>30040877</v>
      </c>
      <c r="AO201" s="7" t="b">
        <f>AN201=R201</f>
        <v>1</v>
      </c>
      <c r="AP201" s="7">
        <f>VLOOKUP(A201,'base ZITRHR129'!G116:W742,17,0)</f>
        <v>3959.72</v>
      </c>
      <c r="AQ201" s="7" t="b">
        <f>AP201=AK201</f>
        <v>1</v>
      </c>
      <c r="AR201" s="69"/>
    </row>
    <row r="202" spans="1:44" s="7" customFormat="1" ht="12" x14ac:dyDescent="0.2">
      <c r="A202" s="7">
        <v>10035644</v>
      </c>
      <c r="B202" s="8" t="s">
        <v>226</v>
      </c>
      <c r="C202" s="8" t="s">
        <v>689</v>
      </c>
      <c r="D202" s="8" t="s">
        <v>717</v>
      </c>
      <c r="E202" s="8" t="s">
        <v>730</v>
      </c>
      <c r="F202" s="8" t="s">
        <v>1406</v>
      </c>
      <c r="G202" s="8" t="s">
        <v>759</v>
      </c>
      <c r="H202" s="9">
        <v>17</v>
      </c>
      <c r="I202" s="8" t="s">
        <v>662</v>
      </c>
      <c r="J202" s="8" t="s">
        <v>975</v>
      </c>
      <c r="K202" s="8" t="s">
        <v>16</v>
      </c>
      <c r="L202" s="8" t="s">
        <v>17</v>
      </c>
      <c r="M202" s="10" t="s">
        <v>689</v>
      </c>
      <c r="N202" s="10" t="s">
        <v>717</v>
      </c>
      <c r="O202" s="10" t="s">
        <v>662</v>
      </c>
      <c r="P202" s="1"/>
      <c r="Q202" s="11" t="b">
        <f>O202=P202</f>
        <v>0</v>
      </c>
      <c r="R202" s="30">
        <v>30040878</v>
      </c>
      <c r="S202" s="1"/>
      <c r="T202" s="11" t="b">
        <f>R202=S202</f>
        <v>0</v>
      </c>
      <c r="U202" s="10" t="s">
        <v>16</v>
      </c>
      <c r="V202" s="1"/>
      <c r="W202" s="11" t="b">
        <f>U202=V202</f>
        <v>0</v>
      </c>
      <c r="X202" s="13" t="s">
        <v>15</v>
      </c>
      <c r="Y202" s="1"/>
      <c r="Z202" s="1"/>
      <c r="AA202" s="10">
        <v>22002605</v>
      </c>
      <c r="AB202" s="10" t="s">
        <v>1409</v>
      </c>
      <c r="AD202" s="11" t="b">
        <f>AB202=AC202</f>
        <v>0</v>
      </c>
      <c r="AE202" s="10" t="s">
        <v>759</v>
      </c>
      <c r="AF202" s="1"/>
      <c r="AG202" s="11" t="b">
        <f>AE202=AF202</f>
        <v>0</v>
      </c>
      <c r="AH202" s="1">
        <v>17</v>
      </c>
      <c r="AI202" s="1">
        <v>14.04</v>
      </c>
      <c r="AJ202" s="16">
        <f>AI202*220/30*30.4375</f>
        <v>3133.8449999999998</v>
      </c>
      <c r="AK202" s="18">
        <v>3133.85</v>
      </c>
      <c r="AL202" s="71" t="s">
        <v>662</v>
      </c>
      <c r="AM202" s="19" t="b">
        <f>AL202=O202</f>
        <v>1</v>
      </c>
      <c r="AN202" s="7">
        <f>VLOOKUP(A202,'base ZITRHR129'!$G$1:$H$628,2,0)</f>
        <v>30040878</v>
      </c>
      <c r="AO202" s="7" t="b">
        <f>AN202=R202</f>
        <v>1</v>
      </c>
      <c r="AP202" s="7">
        <f>VLOOKUP(A202,'base ZITRHR129'!G115:W741,17,0)</f>
        <v>3133.85</v>
      </c>
      <c r="AQ202" s="7" t="b">
        <f>AP202=AK202</f>
        <v>1</v>
      </c>
      <c r="AR202" s="69"/>
    </row>
    <row r="203" spans="1:44" s="7" customFormat="1" ht="12" x14ac:dyDescent="0.2">
      <c r="A203" s="7">
        <v>10035675</v>
      </c>
      <c r="B203" s="8" t="s">
        <v>227</v>
      </c>
      <c r="C203" s="8" t="s">
        <v>679</v>
      </c>
      <c r="D203" s="8" t="s">
        <v>717</v>
      </c>
      <c r="E203" s="8" t="s">
        <v>720</v>
      </c>
      <c r="F203" s="8" t="s">
        <v>1406</v>
      </c>
      <c r="G203" s="8" t="s">
        <v>751</v>
      </c>
      <c r="H203" s="9">
        <v>18</v>
      </c>
      <c r="I203" s="8" t="s">
        <v>653</v>
      </c>
      <c r="J203" s="8" t="s">
        <v>976</v>
      </c>
      <c r="K203" s="8" t="s">
        <v>16</v>
      </c>
      <c r="L203" s="8" t="s">
        <v>17</v>
      </c>
      <c r="M203" s="10" t="s">
        <v>679</v>
      </c>
      <c r="N203" s="10" t="s">
        <v>717</v>
      </c>
      <c r="O203" s="10" t="s">
        <v>653</v>
      </c>
      <c r="P203" s="1"/>
      <c r="Q203" s="11" t="b">
        <f>O203=P203</f>
        <v>0</v>
      </c>
      <c r="R203" s="30">
        <v>30040879</v>
      </c>
      <c r="S203" s="1"/>
      <c r="T203" s="11" t="b">
        <f>R203=S203</f>
        <v>0</v>
      </c>
      <c r="U203" s="10" t="s">
        <v>16</v>
      </c>
      <c r="V203" s="1"/>
      <c r="W203" s="11" t="b">
        <f>U203=V203</f>
        <v>0</v>
      </c>
      <c r="X203" s="13" t="s">
        <v>15</v>
      </c>
      <c r="Y203" s="1"/>
      <c r="Z203" s="1"/>
      <c r="AA203" s="10">
        <v>22003015</v>
      </c>
      <c r="AB203" s="10" t="s">
        <v>1409</v>
      </c>
      <c r="AD203" s="11" t="b">
        <f>AB203=AC203</f>
        <v>0</v>
      </c>
      <c r="AE203" s="10" t="s">
        <v>751</v>
      </c>
      <c r="AF203" s="1"/>
      <c r="AG203" s="11" t="b">
        <f>AE203=AF203</f>
        <v>0</v>
      </c>
      <c r="AH203" s="1">
        <v>18</v>
      </c>
      <c r="AI203" s="1">
        <v>14.85</v>
      </c>
      <c r="AJ203" s="16">
        <f>AI203*220/30*30.4375</f>
        <v>3314.6437500000002</v>
      </c>
      <c r="AK203" s="18">
        <v>3314.64</v>
      </c>
      <c r="AL203" s="71" t="s">
        <v>653</v>
      </c>
      <c r="AM203" s="19" t="b">
        <f>AL203=O203</f>
        <v>1</v>
      </c>
      <c r="AN203" s="7">
        <f>VLOOKUP(A203,'base ZITRHR129'!$G$1:$H$628,2,0)</f>
        <v>30040879</v>
      </c>
      <c r="AO203" s="7" t="b">
        <f>AN203=R203</f>
        <v>1</v>
      </c>
      <c r="AP203" s="7">
        <f>VLOOKUP(A203,'base ZITRHR129'!G114:W740,17,0)</f>
        <v>3314.64</v>
      </c>
      <c r="AQ203" s="7" t="b">
        <f>AP203=AK203</f>
        <v>1</v>
      </c>
      <c r="AR203" s="69"/>
    </row>
    <row r="204" spans="1:44" s="7" customFormat="1" ht="12" x14ac:dyDescent="0.2">
      <c r="A204" s="7">
        <v>10035696</v>
      </c>
      <c r="B204" s="8" t="s">
        <v>228</v>
      </c>
      <c r="C204" s="8" t="s">
        <v>686</v>
      </c>
      <c r="D204" s="8" t="s">
        <v>717</v>
      </c>
      <c r="E204" s="8" t="s">
        <v>723</v>
      </c>
      <c r="F204" s="8" t="s">
        <v>1406</v>
      </c>
      <c r="G204" s="8" t="s">
        <v>19</v>
      </c>
      <c r="H204" s="9">
        <v>16</v>
      </c>
      <c r="I204" s="8" t="s">
        <v>659</v>
      </c>
      <c r="J204" s="8" t="s">
        <v>977</v>
      </c>
      <c r="K204" s="8" t="s">
        <v>6</v>
      </c>
      <c r="L204" s="8" t="s">
        <v>17</v>
      </c>
      <c r="M204" s="10" t="s">
        <v>686</v>
      </c>
      <c r="N204" s="10" t="s">
        <v>717</v>
      </c>
      <c r="O204" s="10" t="s">
        <v>659</v>
      </c>
      <c r="P204" s="1"/>
      <c r="Q204" s="11" t="b">
        <f>O204=P204</f>
        <v>0</v>
      </c>
      <c r="R204" s="30">
        <v>30040880</v>
      </c>
      <c r="S204" s="1"/>
      <c r="T204" s="11" t="b">
        <f>R204=S204</f>
        <v>0</v>
      </c>
      <c r="U204" s="10" t="s">
        <v>6</v>
      </c>
      <c r="V204" s="1"/>
      <c r="W204" s="11" t="b">
        <f>U204=V204</f>
        <v>0</v>
      </c>
      <c r="X204" s="13" t="s">
        <v>15</v>
      </c>
      <c r="Y204" s="1"/>
      <c r="Z204" s="1"/>
      <c r="AA204" s="59">
        <v>22002460</v>
      </c>
      <c r="AB204" s="10" t="s">
        <v>1409</v>
      </c>
      <c r="AD204" s="11" t="b">
        <f>AB204=AC204</f>
        <v>0</v>
      </c>
      <c r="AE204" s="10" t="s">
        <v>19</v>
      </c>
      <c r="AF204" s="1"/>
      <c r="AG204" s="11" t="b">
        <f>AE204=AF204</f>
        <v>0</v>
      </c>
      <c r="AH204" s="1">
        <v>16</v>
      </c>
      <c r="AI204" s="1">
        <v>10.26</v>
      </c>
      <c r="AJ204" s="16">
        <f>AI204*220/30*30.4375</f>
        <v>2290.1174999999998</v>
      </c>
      <c r="AK204" s="18">
        <v>2290.12</v>
      </c>
      <c r="AL204" s="71" t="s">
        <v>659</v>
      </c>
      <c r="AM204" s="19" t="b">
        <f>AL204=O204</f>
        <v>1</v>
      </c>
      <c r="AN204" s="7">
        <f>VLOOKUP(A204,'base ZITRHR129'!$G$1:$H$628,2,0)</f>
        <v>30040880</v>
      </c>
      <c r="AO204" s="7" t="b">
        <f>AN204=R204</f>
        <v>1</v>
      </c>
      <c r="AP204" s="7">
        <f>VLOOKUP(A204,'base ZITRHR129'!G113:W739,17,0)</f>
        <v>2290.12</v>
      </c>
      <c r="AQ204" s="7" t="b">
        <f>AP204=AK204</f>
        <v>1</v>
      </c>
      <c r="AR204" s="69"/>
    </row>
    <row r="205" spans="1:44" s="7" customFormat="1" ht="12" x14ac:dyDescent="0.2">
      <c r="A205" s="7">
        <v>10037519</v>
      </c>
      <c r="B205" s="8" t="s">
        <v>229</v>
      </c>
      <c r="C205" s="8" t="s">
        <v>700</v>
      </c>
      <c r="D205" s="8" t="s">
        <v>717</v>
      </c>
      <c r="E205" s="8" t="s">
        <v>732</v>
      </c>
      <c r="F205" s="8" t="s">
        <v>1407</v>
      </c>
      <c r="G205" s="8" t="s">
        <v>761</v>
      </c>
      <c r="H205" s="9">
        <v>15</v>
      </c>
      <c r="I205" s="8" t="s">
        <v>666</v>
      </c>
      <c r="J205" s="8" t="s">
        <v>978</v>
      </c>
      <c r="K205" s="8" t="s">
        <v>16</v>
      </c>
      <c r="L205" s="8" t="s">
        <v>17</v>
      </c>
      <c r="M205" s="10" t="s">
        <v>700</v>
      </c>
      <c r="N205" s="10" t="s">
        <v>717</v>
      </c>
      <c r="O205" s="10" t="s">
        <v>666</v>
      </c>
      <c r="P205" s="1"/>
      <c r="Q205" s="11" t="b">
        <f>O205=P205</f>
        <v>0</v>
      </c>
      <c r="R205" s="30">
        <v>30041329</v>
      </c>
      <c r="S205" s="1"/>
      <c r="T205" s="11" t="b">
        <f>R205=S205</f>
        <v>0</v>
      </c>
      <c r="U205" s="10" t="s">
        <v>16</v>
      </c>
      <c r="V205" s="1"/>
      <c r="W205" s="11" t="b">
        <f>U205=V205</f>
        <v>0</v>
      </c>
      <c r="X205" s="13" t="s">
        <v>15</v>
      </c>
      <c r="Y205" s="1"/>
      <c r="Z205" s="1"/>
      <c r="AA205" s="15">
        <v>22003423</v>
      </c>
      <c r="AB205" s="10" t="s">
        <v>1410</v>
      </c>
      <c r="AD205" s="11" t="b">
        <f>AB205=AC205</f>
        <v>0</v>
      </c>
      <c r="AE205" s="10" t="s">
        <v>761</v>
      </c>
      <c r="AF205" s="1"/>
      <c r="AG205" s="11" t="b">
        <f>AE205=AF205</f>
        <v>0</v>
      </c>
      <c r="AH205" s="1">
        <v>15</v>
      </c>
      <c r="AI205" s="1">
        <v>11.71</v>
      </c>
      <c r="AJ205" s="16">
        <f>AI205*180/30*30.4375</f>
        <v>2138.5387500000002</v>
      </c>
      <c r="AK205" s="18">
        <v>2138.54</v>
      </c>
      <c r="AL205" s="71" t="s">
        <v>666</v>
      </c>
      <c r="AM205" s="19" t="b">
        <f>AL205=O205</f>
        <v>1</v>
      </c>
      <c r="AN205" s="7">
        <f>VLOOKUP(A205,'base ZITRHR129'!$G$1:$H$628,2,0)</f>
        <v>30041329</v>
      </c>
      <c r="AO205" s="7" t="b">
        <f>AN205=R205</f>
        <v>1</v>
      </c>
      <c r="AP205" s="7">
        <f>VLOOKUP(A205,'base ZITRHR129'!G112:W738,17,0)</f>
        <v>2138.54</v>
      </c>
      <c r="AQ205" s="7" t="b">
        <f>AP205=AK205</f>
        <v>1</v>
      </c>
      <c r="AR205" s="69"/>
    </row>
    <row r="206" spans="1:44" s="7" customFormat="1" ht="12" x14ac:dyDescent="0.2">
      <c r="A206" s="7">
        <v>10037521</v>
      </c>
      <c r="B206" s="8" t="s">
        <v>230</v>
      </c>
      <c r="C206" s="8" t="s">
        <v>680</v>
      </c>
      <c r="D206" s="8" t="s">
        <v>717</v>
      </c>
      <c r="E206" s="8" t="s">
        <v>729</v>
      </c>
      <c r="F206" s="8" t="s">
        <v>1406</v>
      </c>
      <c r="G206" s="8" t="s">
        <v>758</v>
      </c>
      <c r="H206" s="9">
        <v>17</v>
      </c>
      <c r="I206" s="8" t="s">
        <v>654</v>
      </c>
      <c r="J206" s="8" t="s">
        <v>979</v>
      </c>
      <c r="K206" s="8" t="s">
        <v>16</v>
      </c>
      <c r="L206" s="8" t="s">
        <v>17</v>
      </c>
      <c r="M206" s="10" t="s">
        <v>680</v>
      </c>
      <c r="N206" s="10" t="s">
        <v>717</v>
      </c>
      <c r="O206" s="10" t="s">
        <v>654</v>
      </c>
      <c r="P206" s="1"/>
      <c r="Q206" s="11" t="b">
        <f>O206=P206</f>
        <v>0</v>
      </c>
      <c r="R206" s="30">
        <v>30040882</v>
      </c>
      <c r="S206" s="1"/>
      <c r="T206" s="11" t="b">
        <f>R206=S206</f>
        <v>0</v>
      </c>
      <c r="U206" s="10" t="s">
        <v>16</v>
      </c>
      <c r="V206" s="1"/>
      <c r="W206" s="11" t="b">
        <f>U206=V206</f>
        <v>0</v>
      </c>
      <c r="X206" s="13" t="s">
        <v>15</v>
      </c>
      <c r="Y206" s="1"/>
      <c r="Z206" s="1"/>
      <c r="AA206" s="10">
        <v>22002447</v>
      </c>
      <c r="AB206" s="10" t="s">
        <v>1409</v>
      </c>
      <c r="AD206" s="11" t="b">
        <f>AB206=AC206</f>
        <v>0</v>
      </c>
      <c r="AE206" s="10" t="s">
        <v>758</v>
      </c>
      <c r="AF206" s="1"/>
      <c r="AG206" s="11" t="b">
        <f>AE206=AF206</f>
        <v>0</v>
      </c>
      <c r="AH206" s="1">
        <v>17</v>
      </c>
      <c r="AI206" s="1">
        <v>14.48</v>
      </c>
      <c r="AJ206" s="16">
        <f>AI206*220/30*30.4375</f>
        <v>3232.0566666666668</v>
      </c>
      <c r="AK206" s="18">
        <v>3232.06</v>
      </c>
      <c r="AL206" s="71" t="s">
        <v>654</v>
      </c>
      <c r="AM206" s="19" t="b">
        <f>AL206=O206</f>
        <v>1</v>
      </c>
      <c r="AN206" s="7">
        <f>VLOOKUP(A206,'base ZITRHR129'!$G$1:$H$628,2,0)</f>
        <v>30040882</v>
      </c>
      <c r="AO206" s="7" t="b">
        <f>AN206=R206</f>
        <v>1</v>
      </c>
      <c r="AP206" s="7">
        <f>VLOOKUP(A206,'base ZITRHR129'!G111:W737,17,0)</f>
        <v>3232.06</v>
      </c>
      <c r="AQ206" s="7" t="b">
        <f>AP206=AK206</f>
        <v>1</v>
      </c>
      <c r="AR206" s="69"/>
    </row>
    <row r="207" spans="1:44" s="7" customFormat="1" ht="12" x14ac:dyDescent="0.2">
      <c r="A207" s="7">
        <v>10037551</v>
      </c>
      <c r="B207" s="8" t="s">
        <v>231</v>
      </c>
      <c r="C207" s="8" t="s">
        <v>702</v>
      </c>
      <c r="D207" s="8" t="s">
        <v>717</v>
      </c>
      <c r="E207" s="8" t="s">
        <v>720</v>
      </c>
      <c r="F207" s="8" t="s">
        <v>1406</v>
      </c>
      <c r="G207" s="8" t="s">
        <v>751</v>
      </c>
      <c r="H207" s="9">
        <v>18</v>
      </c>
      <c r="I207" s="8" t="s">
        <v>668</v>
      </c>
      <c r="J207" s="8" t="s">
        <v>980</v>
      </c>
      <c r="K207" s="8" t="s">
        <v>16</v>
      </c>
      <c r="L207" s="8" t="s">
        <v>17</v>
      </c>
      <c r="M207" s="10" t="s">
        <v>702</v>
      </c>
      <c r="N207" s="10" t="s">
        <v>717</v>
      </c>
      <c r="O207" s="10" t="s">
        <v>668</v>
      </c>
      <c r="P207" s="1"/>
      <c r="Q207" s="11" t="b">
        <f>O207=P207</f>
        <v>0</v>
      </c>
      <c r="R207" s="30">
        <v>30040883</v>
      </c>
      <c r="S207" s="1"/>
      <c r="T207" s="11" t="b">
        <f>R207=S207</f>
        <v>0</v>
      </c>
      <c r="U207" s="10" t="s">
        <v>16</v>
      </c>
      <c r="V207" s="1"/>
      <c r="W207" s="11" t="b">
        <f>U207=V207</f>
        <v>0</v>
      </c>
      <c r="X207" s="13" t="s">
        <v>15</v>
      </c>
      <c r="Y207" s="1"/>
      <c r="Z207" s="1"/>
      <c r="AA207" s="10">
        <v>22003015</v>
      </c>
      <c r="AB207" s="10" t="s">
        <v>1409</v>
      </c>
      <c r="AD207" s="11" t="b">
        <f>AB207=AC207</f>
        <v>0</v>
      </c>
      <c r="AE207" s="10" t="s">
        <v>751</v>
      </c>
      <c r="AF207" s="1"/>
      <c r="AG207" s="11" t="b">
        <f>AE207=AF207</f>
        <v>0</v>
      </c>
      <c r="AH207" s="1">
        <v>18</v>
      </c>
      <c r="AI207" s="1">
        <v>17.73</v>
      </c>
      <c r="AJ207" s="16">
        <f>AI207*220/30*30.4375</f>
        <v>3957.4837500000003</v>
      </c>
      <c r="AK207" s="18">
        <v>3957.48</v>
      </c>
      <c r="AL207" s="71" t="s">
        <v>668</v>
      </c>
      <c r="AM207" s="19" t="b">
        <f>AL207=O207</f>
        <v>1</v>
      </c>
      <c r="AN207" s="7">
        <f>VLOOKUP(A207,'base ZITRHR129'!$G$1:$H$628,2,0)</f>
        <v>30040883</v>
      </c>
      <c r="AO207" s="7" t="b">
        <f>AN207=R207</f>
        <v>1</v>
      </c>
      <c r="AP207" s="7">
        <f>VLOOKUP(A207,'base ZITRHR129'!G110:W736,17,0)</f>
        <v>3957.48</v>
      </c>
      <c r="AQ207" s="7" t="b">
        <f>AP207=AK207</f>
        <v>1</v>
      </c>
      <c r="AR207" s="69"/>
    </row>
    <row r="208" spans="1:44" s="7" customFormat="1" ht="12" x14ac:dyDescent="0.2">
      <c r="A208" s="7">
        <v>10037569</v>
      </c>
      <c r="B208" s="8" t="s">
        <v>232</v>
      </c>
      <c r="C208" s="8" t="s">
        <v>690</v>
      </c>
      <c r="D208" s="8" t="s">
        <v>717</v>
      </c>
      <c r="E208" s="8" t="s">
        <v>726</v>
      </c>
      <c r="F208" s="8" t="s">
        <v>1406</v>
      </c>
      <c r="G208" s="8" t="s">
        <v>755</v>
      </c>
      <c r="H208" s="9">
        <v>15</v>
      </c>
      <c r="I208" s="8" t="s">
        <v>663</v>
      </c>
      <c r="J208" s="8" t="s">
        <v>981</v>
      </c>
      <c r="K208" s="8" t="s">
        <v>16</v>
      </c>
      <c r="L208" s="8" t="s">
        <v>17</v>
      </c>
      <c r="M208" s="10" t="s">
        <v>690</v>
      </c>
      <c r="N208" s="10" t="s">
        <v>717</v>
      </c>
      <c r="O208" s="10" t="s">
        <v>663</v>
      </c>
      <c r="P208" s="1"/>
      <c r="Q208" s="11" t="b">
        <f>O208=P208</f>
        <v>0</v>
      </c>
      <c r="R208" s="30">
        <v>30040884</v>
      </c>
      <c r="S208" s="1"/>
      <c r="T208" s="11" t="b">
        <f>R208=S208</f>
        <v>0</v>
      </c>
      <c r="U208" s="10" t="s">
        <v>16</v>
      </c>
      <c r="V208" s="1"/>
      <c r="W208" s="11" t="b">
        <f>U208=V208</f>
        <v>0</v>
      </c>
      <c r="X208" s="13" t="s">
        <v>15</v>
      </c>
      <c r="Y208" s="1"/>
      <c r="Z208" s="1"/>
      <c r="AA208" s="10">
        <v>22002617</v>
      </c>
      <c r="AB208" s="10" t="s">
        <v>1409</v>
      </c>
      <c r="AD208" s="11" t="b">
        <f>AB208=AC208</f>
        <v>0</v>
      </c>
      <c r="AE208" s="10" t="s">
        <v>755</v>
      </c>
      <c r="AF208" s="1"/>
      <c r="AG208" s="11" t="b">
        <f>AE208=AF208</f>
        <v>0</v>
      </c>
      <c r="AH208" s="1">
        <v>15</v>
      </c>
      <c r="AI208" s="1">
        <v>11.43</v>
      </c>
      <c r="AJ208" s="16">
        <f>AI208*220/30*30.4375</f>
        <v>2551.2712499999998</v>
      </c>
      <c r="AK208" s="18">
        <v>2551.27</v>
      </c>
      <c r="AL208" s="71" t="s">
        <v>663</v>
      </c>
      <c r="AM208" s="19" t="b">
        <f>AL208=O208</f>
        <v>1</v>
      </c>
      <c r="AN208" s="7">
        <f>VLOOKUP(A208,'base ZITRHR129'!$G$1:$H$628,2,0)</f>
        <v>30040884</v>
      </c>
      <c r="AO208" s="7" t="b">
        <f>AN208=R208</f>
        <v>1</v>
      </c>
      <c r="AP208" s="7">
        <f>VLOOKUP(A208,'base ZITRHR129'!G109:W735,17,0)</f>
        <v>2551.27</v>
      </c>
      <c r="AQ208" s="7" t="b">
        <f>AP208=AK208</f>
        <v>1</v>
      </c>
      <c r="AR208" s="69"/>
    </row>
    <row r="209" spans="1:44" s="7" customFormat="1" ht="12" x14ac:dyDescent="0.2">
      <c r="A209" s="7">
        <v>10037575</v>
      </c>
      <c r="B209" s="8" t="s">
        <v>233</v>
      </c>
      <c r="C209" s="8" t="s">
        <v>702</v>
      </c>
      <c r="D209" s="8" t="s">
        <v>717</v>
      </c>
      <c r="E209" s="8" t="s">
        <v>720</v>
      </c>
      <c r="F209" s="8" t="s">
        <v>1406</v>
      </c>
      <c r="G209" s="8" t="s">
        <v>751</v>
      </c>
      <c r="H209" s="9">
        <v>18</v>
      </c>
      <c r="I209" s="8" t="s">
        <v>668</v>
      </c>
      <c r="J209" s="8" t="s">
        <v>982</v>
      </c>
      <c r="K209" s="8" t="s">
        <v>16</v>
      </c>
      <c r="L209" s="8" t="s">
        <v>17</v>
      </c>
      <c r="M209" s="10" t="s">
        <v>702</v>
      </c>
      <c r="N209" s="10" t="s">
        <v>717</v>
      </c>
      <c r="O209" s="10" t="s">
        <v>668</v>
      </c>
      <c r="P209" s="1"/>
      <c r="Q209" s="11" t="b">
        <f>O209=P209</f>
        <v>0</v>
      </c>
      <c r="R209" s="30">
        <v>30040885</v>
      </c>
      <c r="S209" s="1"/>
      <c r="T209" s="11" t="b">
        <f>R209=S209</f>
        <v>0</v>
      </c>
      <c r="U209" s="10" t="s">
        <v>16</v>
      </c>
      <c r="V209" s="1"/>
      <c r="W209" s="11" t="b">
        <f>U209=V209</f>
        <v>0</v>
      </c>
      <c r="X209" s="13" t="s">
        <v>15</v>
      </c>
      <c r="Y209" s="1"/>
      <c r="Z209" s="1"/>
      <c r="AA209" s="10">
        <v>22003015</v>
      </c>
      <c r="AB209" s="10" t="s">
        <v>1409</v>
      </c>
      <c r="AD209" s="11" t="b">
        <f>AB209=AC209</f>
        <v>0</v>
      </c>
      <c r="AE209" s="10" t="s">
        <v>751</v>
      </c>
      <c r="AF209" s="1"/>
      <c r="AG209" s="11" t="b">
        <f>AE209=AF209</f>
        <v>0</v>
      </c>
      <c r="AH209" s="1">
        <v>18</v>
      </c>
      <c r="AI209" s="1">
        <v>17.73</v>
      </c>
      <c r="AJ209" s="16">
        <f>AI209*220/30*30.4375</f>
        <v>3957.4837500000003</v>
      </c>
      <c r="AK209" s="18">
        <v>3957.48</v>
      </c>
      <c r="AL209" s="71" t="s">
        <v>668</v>
      </c>
      <c r="AM209" s="19" t="b">
        <f>AL209=O209</f>
        <v>1</v>
      </c>
      <c r="AN209" s="7">
        <f>VLOOKUP(A209,'base ZITRHR129'!$G$1:$H$628,2,0)</f>
        <v>30040885</v>
      </c>
      <c r="AO209" s="7" t="b">
        <f>AN209=R209</f>
        <v>1</v>
      </c>
      <c r="AP209" s="7">
        <f>VLOOKUP(A209,'base ZITRHR129'!G108:W734,17,0)</f>
        <v>3957.48</v>
      </c>
      <c r="AQ209" s="7" t="b">
        <f>AP209=AK209</f>
        <v>1</v>
      </c>
      <c r="AR209" s="69"/>
    </row>
    <row r="210" spans="1:44" s="7" customFormat="1" ht="12" x14ac:dyDescent="0.2">
      <c r="A210" s="7">
        <v>10037579</v>
      </c>
      <c r="B210" s="8" t="s">
        <v>234</v>
      </c>
      <c r="C210" s="8" t="s">
        <v>680</v>
      </c>
      <c r="D210" s="8" t="s">
        <v>717</v>
      </c>
      <c r="E210" s="8" t="s">
        <v>729</v>
      </c>
      <c r="F210" s="8" t="s">
        <v>1406</v>
      </c>
      <c r="G210" s="8" t="s">
        <v>758</v>
      </c>
      <c r="H210" s="9">
        <v>17</v>
      </c>
      <c r="I210" s="8" t="s">
        <v>654</v>
      </c>
      <c r="J210" s="8" t="s">
        <v>983</v>
      </c>
      <c r="K210" s="8" t="s">
        <v>16</v>
      </c>
      <c r="L210" s="8" t="s">
        <v>17</v>
      </c>
      <c r="M210" s="10" t="s">
        <v>680</v>
      </c>
      <c r="N210" s="10" t="s">
        <v>717</v>
      </c>
      <c r="O210" s="10" t="s">
        <v>654</v>
      </c>
      <c r="P210" s="1"/>
      <c r="Q210" s="11" t="b">
        <f>O210=P210</f>
        <v>0</v>
      </c>
      <c r="R210" s="30">
        <v>30040886</v>
      </c>
      <c r="S210" s="1"/>
      <c r="T210" s="11" t="b">
        <f>R210=S210</f>
        <v>0</v>
      </c>
      <c r="U210" s="10" t="s">
        <v>16</v>
      </c>
      <c r="V210" s="1"/>
      <c r="W210" s="11" t="b">
        <f>U210=V210</f>
        <v>0</v>
      </c>
      <c r="X210" s="13" t="s">
        <v>15</v>
      </c>
      <c r="Y210" s="1"/>
      <c r="Z210" s="1"/>
      <c r="AA210" s="10">
        <v>22002447</v>
      </c>
      <c r="AB210" s="10" t="s">
        <v>1409</v>
      </c>
      <c r="AD210" s="11" t="b">
        <f>AB210=AC210</f>
        <v>0</v>
      </c>
      <c r="AE210" s="10" t="s">
        <v>758</v>
      </c>
      <c r="AF210" s="1"/>
      <c r="AG210" s="11" t="b">
        <f>AE210=AF210</f>
        <v>0</v>
      </c>
      <c r="AH210" s="1">
        <v>17</v>
      </c>
      <c r="AI210" s="1">
        <v>14.48</v>
      </c>
      <c r="AJ210" s="16">
        <f>AI210*220/30*30.4375</f>
        <v>3232.0566666666668</v>
      </c>
      <c r="AK210" s="18">
        <v>3232.06</v>
      </c>
      <c r="AL210" s="71" t="s">
        <v>654</v>
      </c>
      <c r="AM210" s="19" t="b">
        <f>AL210=O210</f>
        <v>1</v>
      </c>
      <c r="AN210" s="7">
        <f>VLOOKUP(A210,'base ZITRHR129'!$G$1:$H$628,2,0)</f>
        <v>30040886</v>
      </c>
      <c r="AO210" s="7" t="b">
        <f>AN210=R210</f>
        <v>1</v>
      </c>
      <c r="AP210" s="7">
        <f>VLOOKUP(A210,'base ZITRHR129'!G107:W733,17,0)</f>
        <v>3232.06</v>
      </c>
      <c r="AQ210" s="7" t="b">
        <f>AP210=AK210</f>
        <v>1</v>
      </c>
      <c r="AR210" s="69"/>
    </row>
    <row r="211" spans="1:44" s="7" customFormat="1" ht="12" x14ac:dyDescent="0.2">
      <c r="A211" s="20">
        <v>10037582</v>
      </c>
      <c r="B211" s="21" t="s">
        <v>235</v>
      </c>
      <c r="C211" s="21" t="s">
        <v>700</v>
      </c>
      <c r="D211" s="21" t="s">
        <v>717</v>
      </c>
      <c r="E211" s="21" t="s">
        <v>738</v>
      </c>
      <c r="F211" s="21" t="s">
        <v>1407</v>
      </c>
      <c r="G211" s="21" t="s">
        <v>765</v>
      </c>
      <c r="H211" s="22">
        <v>14</v>
      </c>
      <c r="I211" s="21" t="s">
        <v>666</v>
      </c>
      <c r="J211" s="21" t="s">
        <v>984</v>
      </c>
      <c r="K211" s="21" t="s">
        <v>16</v>
      </c>
      <c r="L211" s="21" t="s">
        <v>17</v>
      </c>
      <c r="M211" s="21" t="s">
        <v>700</v>
      </c>
      <c r="N211" s="21" t="s">
        <v>717</v>
      </c>
      <c r="O211" s="21" t="s">
        <v>666</v>
      </c>
      <c r="P211" s="23"/>
      <c r="Q211" s="24" t="b">
        <f>O211=P211</f>
        <v>0</v>
      </c>
      <c r="R211" s="31">
        <v>30040887</v>
      </c>
      <c r="S211" s="23"/>
      <c r="T211" s="24" t="b">
        <f>R211=S211</f>
        <v>0</v>
      </c>
      <c r="U211" s="21" t="s">
        <v>16</v>
      </c>
      <c r="V211" s="23"/>
      <c r="W211" s="24" t="b">
        <f>U211=V211</f>
        <v>0</v>
      </c>
      <c r="X211" s="25" t="s">
        <v>15</v>
      </c>
      <c r="Y211" s="23"/>
      <c r="Z211" s="23"/>
      <c r="AA211" s="29">
        <v>22003024</v>
      </c>
      <c r="AB211" s="21" t="s">
        <v>1410</v>
      </c>
      <c r="AC211" s="20"/>
      <c r="AD211" s="24" t="b">
        <f>AB211=AC211</f>
        <v>0</v>
      </c>
      <c r="AE211" s="21" t="s">
        <v>765</v>
      </c>
      <c r="AF211" s="23"/>
      <c r="AG211" s="24" t="b">
        <f>AE211=AF211</f>
        <v>0</v>
      </c>
      <c r="AH211" s="23">
        <v>14</v>
      </c>
      <c r="AI211" s="23">
        <v>9.9</v>
      </c>
      <c r="AJ211" s="26">
        <f>AI211*180/30*30.4375</f>
        <v>1807.9875</v>
      </c>
      <c r="AK211" s="27">
        <v>1807.99</v>
      </c>
      <c r="AL211" s="73" t="s">
        <v>666</v>
      </c>
      <c r="AM211" s="28" t="b">
        <f>AL211=O211</f>
        <v>1</v>
      </c>
      <c r="AN211" s="20">
        <f>VLOOKUP(A211,'base ZITRHR129'!$G$1:$H$628,2,0)</f>
        <v>30040887</v>
      </c>
      <c r="AO211" s="20" t="b">
        <f>AN211=R211</f>
        <v>1</v>
      </c>
      <c r="AP211" s="20">
        <f>VLOOKUP(A211,'base ZITRHR129'!G106:W732,17,0)</f>
        <v>9.9</v>
      </c>
      <c r="AQ211" s="20" t="b">
        <f>AP211=AK211</f>
        <v>0</v>
      </c>
      <c r="AR211" s="69" t="s">
        <v>1516</v>
      </c>
    </row>
    <row r="212" spans="1:44" s="7" customFormat="1" ht="12" x14ac:dyDescent="0.2">
      <c r="A212" s="20">
        <v>10037585</v>
      </c>
      <c r="B212" s="21" t="s">
        <v>236</v>
      </c>
      <c r="C212" s="21" t="s">
        <v>702</v>
      </c>
      <c r="D212" s="21" t="s">
        <v>717</v>
      </c>
      <c r="E212" s="21" t="s">
        <v>720</v>
      </c>
      <c r="F212" s="21" t="s">
        <v>1406</v>
      </c>
      <c r="G212" s="21" t="s">
        <v>751</v>
      </c>
      <c r="H212" s="22">
        <v>18</v>
      </c>
      <c r="I212" s="21" t="s">
        <v>668</v>
      </c>
      <c r="J212" s="22">
        <v>30102628</v>
      </c>
      <c r="K212" s="21" t="s">
        <v>16</v>
      </c>
      <c r="L212" s="21" t="s">
        <v>17</v>
      </c>
      <c r="M212" s="21" t="s">
        <v>702</v>
      </c>
      <c r="N212" s="21" t="s">
        <v>717</v>
      </c>
      <c r="O212" s="21" t="s">
        <v>668</v>
      </c>
      <c r="P212" s="23"/>
      <c r="Q212" s="24" t="b">
        <f>O212=P212</f>
        <v>0</v>
      </c>
      <c r="R212" s="31">
        <v>30040888</v>
      </c>
      <c r="S212" s="23"/>
      <c r="T212" s="24" t="b">
        <f>R212=S212</f>
        <v>0</v>
      </c>
      <c r="U212" s="21" t="s">
        <v>16</v>
      </c>
      <c r="V212" s="23"/>
      <c r="W212" s="24" t="b">
        <f>U212=V212</f>
        <v>0</v>
      </c>
      <c r="X212" s="25" t="s">
        <v>15</v>
      </c>
      <c r="Y212" s="23"/>
      <c r="Z212" s="23"/>
      <c r="AA212" s="21">
        <v>22003015</v>
      </c>
      <c r="AB212" s="21" t="s">
        <v>1409</v>
      </c>
      <c r="AC212" s="20"/>
      <c r="AD212" s="24" t="b">
        <f>AB212=AC212</f>
        <v>0</v>
      </c>
      <c r="AE212" s="21" t="s">
        <v>751</v>
      </c>
      <c r="AF212" s="23"/>
      <c r="AG212" s="24" t="b">
        <f>AE212=AF212</f>
        <v>0</v>
      </c>
      <c r="AH212" s="23">
        <v>18</v>
      </c>
      <c r="AI212" s="23">
        <v>14.85</v>
      </c>
      <c r="AJ212" s="26">
        <f>AI212*220/30*30.4375</f>
        <v>3314.6437500000002</v>
      </c>
      <c r="AK212" s="27">
        <v>3314.64</v>
      </c>
      <c r="AL212" s="20" t="e">
        <v>#N/A</v>
      </c>
      <c r="AM212" s="20" t="e">
        <v>#N/A</v>
      </c>
      <c r="AN212" s="20" t="e">
        <f>VLOOKUP(A212,'base ZITRHR129'!$G$1:$H$628,2,0)</f>
        <v>#N/A</v>
      </c>
      <c r="AO212" s="20" t="e">
        <f>AN212=R212</f>
        <v>#N/A</v>
      </c>
      <c r="AP212" s="20" t="e">
        <f>VLOOKUP(A212,'base ZITRHR129'!G:W,17,0)</f>
        <v>#N/A</v>
      </c>
      <c r="AQ212" s="20" t="e">
        <f>AP212=AK212</f>
        <v>#N/A</v>
      </c>
      <c r="AR212" s="69" t="s">
        <v>1517</v>
      </c>
    </row>
    <row r="213" spans="1:44" s="7" customFormat="1" ht="12" x14ac:dyDescent="0.2">
      <c r="A213" s="7">
        <v>10037589</v>
      </c>
      <c r="B213" s="8" t="s">
        <v>237</v>
      </c>
      <c r="C213" s="8" t="s">
        <v>706</v>
      </c>
      <c r="D213" s="8" t="s">
        <v>717</v>
      </c>
      <c r="E213" s="8" t="s">
        <v>724</v>
      </c>
      <c r="F213" s="8" t="s">
        <v>1406</v>
      </c>
      <c r="G213" s="8" t="s">
        <v>21</v>
      </c>
      <c r="H213" s="9">
        <v>16</v>
      </c>
      <c r="I213" s="8" t="s">
        <v>660</v>
      </c>
      <c r="J213" s="8" t="s">
        <v>985</v>
      </c>
      <c r="K213" s="8" t="s">
        <v>16</v>
      </c>
      <c r="L213" s="8" t="s">
        <v>17</v>
      </c>
      <c r="M213" s="10" t="s">
        <v>706</v>
      </c>
      <c r="N213" s="10" t="s">
        <v>717</v>
      </c>
      <c r="O213" s="10" t="s">
        <v>660</v>
      </c>
      <c r="P213" s="1"/>
      <c r="Q213" s="11" t="b">
        <f>O213=P213</f>
        <v>0</v>
      </c>
      <c r="R213" s="30">
        <v>30040889</v>
      </c>
      <c r="S213" s="1"/>
      <c r="T213" s="11" t="b">
        <f>R213=S213</f>
        <v>0</v>
      </c>
      <c r="U213" s="10" t="s">
        <v>16</v>
      </c>
      <c r="V213" s="1"/>
      <c r="W213" s="11" t="b">
        <f>U213=V213</f>
        <v>0</v>
      </c>
      <c r="X213" s="13" t="s">
        <v>15</v>
      </c>
      <c r="Y213" s="1"/>
      <c r="Z213" s="1"/>
      <c r="AA213" s="10">
        <v>22002616</v>
      </c>
      <c r="AB213" s="10" t="s">
        <v>1409</v>
      </c>
      <c r="AD213" s="11" t="b">
        <f>AB213=AC213</f>
        <v>0</v>
      </c>
      <c r="AE213" s="10" t="s">
        <v>21</v>
      </c>
      <c r="AF213" s="1"/>
      <c r="AG213" s="11" t="b">
        <f>AE213=AF213</f>
        <v>0</v>
      </c>
      <c r="AH213" s="1">
        <v>16</v>
      </c>
      <c r="AI213" s="1">
        <v>11.71</v>
      </c>
      <c r="AJ213" s="16">
        <f>AI213*220/30*30.4375</f>
        <v>2613.7695833333337</v>
      </c>
      <c r="AK213" s="18">
        <v>2613.77</v>
      </c>
      <c r="AL213" s="71" t="s">
        <v>660</v>
      </c>
      <c r="AM213" s="19" t="b">
        <f>AL213=O213</f>
        <v>1</v>
      </c>
      <c r="AN213" s="7">
        <f>VLOOKUP(A213,'base ZITRHR129'!$G$1:$H$628,2,0)</f>
        <v>30040889</v>
      </c>
      <c r="AO213" s="7" t="b">
        <f>AN213=R213</f>
        <v>1</v>
      </c>
      <c r="AP213" s="7">
        <f>VLOOKUP(A213,'base ZITRHR129'!G105:W731,17,0)</f>
        <v>2613.77</v>
      </c>
      <c r="AQ213" s="7" t="b">
        <f>AP213=AK213</f>
        <v>1</v>
      </c>
      <c r="AR213" s="69"/>
    </row>
    <row r="214" spans="1:44" s="7" customFormat="1" ht="12" x14ac:dyDescent="0.2">
      <c r="A214" s="7">
        <v>10037654</v>
      </c>
      <c r="B214" s="8" t="s">
        <v>238</v>
      </c>
      <c r="C214" s="8" t="s">
        <v>702</v>
      </c>
      <c r="D214" s="8" t="s">
        <v>717</v>
      </c>
      <c r="E214" s="8" t="s">
        <v>720</v>
      </c>
      <c r="F214" s="8" t="s">
        <v>1406</v>
      </c>
      <c r="G214" s="8" t="s">
        <v>751</v>
      </c>
      <c r="H214" s="9">
        <v>18</v>
      </c>
      <c r="I214" s="8" t="s">
        <v>668</v>
      </c>
      <c r="J214" s="8" t="s">
        <v>986</v>
      </c>
      <c r="K214" s="8" t="s">
        <v>16</v>
      </c>
      <c r="L214" s="8" t="s">
        <v>17</v>
      </c>
      <c r="M214" s="10" t="s">
        <v>702</v>
      </c>
      <c r="N214" s="10" t="s">
        <v>717</v>
      </c>
      <c r="O214" s="10" t="s">
        <v>668</v>
      </c>
      <c r="P214" s="1"/>
      <c r="Q214" s="11" t="b">
        <f>O214=P214</f>
        <v>0</v>
      </c>
      <c r="R214" s="30">
        <v>30040890</v>
      </c>
      <c r="S214" s="1"/>
      <c r="T214" s="11" t="b">
        <f>R214=S214</f>
        <v>0</v>
      </c>
      <c r="U214" s="10" t="s">
        <v>16</v>
      </c>
      <c r="V214" s="1"/>
      <c r="W214" s="11" t="b">
        <f>U214=V214</f>
        <v>0</v>
      </c>
      <c r="X214" s="13" t="s">
        <v>15</v>
      </c>
      <c r="Y214" s="1"/>
      <c r="Z214" s="1"/>
      <c r="AA214" s="10">
        <v>22003015</v>
      </c>
      <c r="AB214" s="10" t="s">
        <v>1409</v>
      </c>
      <c r="AD214" s="11" t="b">
        <f>AB214=AC214</f>
        <v>0</v>
      </c>
      <c r="AE214" s="10" t="s">
        <v>751</v>
      </c>
      <c r="AF214" s="1"/>
      <c r="AG214" s="11" t="b">
        <f>AE214=AF214</f>
        <v>0</v>
      </c>
      <c r="AH214" s="1">
        <v>18</v>
      </c>
      <c r="AI214" s="1">
        <v>14.85</v>
      </c>
      <c r="AJ214" s="16">
        <f>AI214*220/30*30.4375</f>
        <v>3314.6437500000002</v>
      </c>
      <c r="AK214" s="18">
        <v>3314.64</v>
      </c>
      <c r="AL214" s="71" t="s">
        <v>668</v>
      </c>
      <c r="AM214" s="19" t="b">
        <f>AL214=O214</f>
        <v>1</v>
      </c>
      <c r="AN214" s="7">
        <f>VLOOKUP(A214,'base ZITRHR129'!$G$1:$H$628,2,0)</f>
        <v>30040890</v>
      </c>
      <c r="AO214" s="7" t="b">
        <f>AN214=R214</f>
        <v>1</v>
      </c>
      <c r="AP214" s="7">
        <f>VLOOKUP(A214,'base ZITRHR129'!G104:W730,17,0)</f>
        <v>3314.64</v>
      </c>
      <c r="AQ214" s="7" t="b">
        <f>AP214=AK214</f>
        <v>1</v>
      </c>
      <c r="AR214" s="69"/>
    </row>
    <row r="215" spans="1:44" s="7" customFormat="1" ht="12" x14ac:dyDescent="0.2">
      <c r="A215" s="7">
        <v>10037670</v>
      </c>
      <c r="B215" s="8" t="s">
        <v>239</v>
      </c>
      <c r="C215" s="8" t="s">
        <v>705</v>
      </c>
      <c r="D215" s="8" t="s">
        <v>717</v>
      </c>
      <c r="E215" s="8" t="s">
        <v>734</v>
      </c>
      <c r="F215" s="8" t="s">
        <v>1406</v>
      </c>
      <c r="G215" s="8" t="s">
        <v>761</v>
      </c>
      <c r="H215" s="9">
        <v>15</v>
      </c>
      <c r="I215" s="8" t="s">
        <v>670</v>
      </c>
      <c r="J215" s="8" t="s">
        <v>987</v>
      </c>
      <c r="K215" s="8" t="s">
        <v>16</v>
      </c>
      <c r="L215" s="8" t="s">
        <v>17</v>
      </c>
      <c r="M215" s="10" t="s">
        <v>705</v>
      </c>
      <c r="N215" s="10" t="s">
        <v>717</v>
      </c>
      <c r="O215" s="10" t="s">
        <v>670</v>
      </c>
      <c r="P215" s="1"/>
      <c r="Q215" s="11" t="b">
        <f>O215=P215</f>
        <v>0</v>
      </c>
      <c r="R215" s="12">
        <v>30041346</v>
      </c>
      <c r="S215" s="1"/>
      <c r="T215" s="11" t="b">
        <f>R215=S215</f>
        <v>0</v>
      </c>
      <c r="U215" s="10" t="s">
        <v>16</v>
      </c>
      <c r="V215" s="1"/>
      <c r="W215" s="11" t="b">
        <f>U215=V215</f>
        <v>0</v>
      </c>
      <c r="X215" s="13" t="s">
        <v>15</v>
      </c>
      <c r="Y215" s="1"/>
      <c r="Z215" s="1"/>
      <c r="AA215" s="61">
        <v>22002860</v>
      </c>
      <c r="AB215" s="10" t="s">
        <v>1409</v>
      </c>
      <c r="AD215" s="11" t="b">
        <f>AB215=AC215</f>
        <v>0</v>
      </c>
      <c r="AE215" s="10" t="s">
        <v>761</v>
      </c>
      <c r="AF215" s="1"/>
      <c r="AG215" s="11" t="b">
        <f>AE215=AF215</f>
        <v>0</v>
      </c>
      <c r="AH215" s="1">
        <v>15</v>
      </c>
      <c r="AI215" s="1">
        <v>11.43</v>
      </c>
      <c r="AJ215" s="16">
        <f>AI215*220/30*30.4375</f>
        <v>2551.2712499999998</v>
      </c>
      <c r="AK215" s="18">
        <v>2551.27</v>
      </c>
      <c r="AL215" s="71" t="s">
        <v>670</v>
      </c>
      <c r="AM215" s="19" t="b">
        <f>AL215=O215</f>
        <v>1</v>
      </c>
      <c r="AN215" s="7">
        <f>VLOOKUP(A215,'base ZITRHR129'!$G$1:$H$628,2,0)</f>
        <v>30041346</v>
      </c>
      <c r="AO215" s="7" t="b">
        <f>AN215=R215</f>
        <v>1</v>
      </c>
      <c r="AP215" s="7">
        <f>VLOOKUP(A215,'base ZITRHR129'!G103:W729,17,0)</f>
        <v>2551.27</v>
      </c>
      <c r="AQ215" s="7" t="b">
        <f>AP215=AK215</f>
        <v>1</v>
      </c>
      <c r="AR215" s="69"/>
    </row>
    <row r="216" spans="1:44" s="7" customFormat="1" ht="12" x14ac:dyDescent="0.2">
      <c r="A216" s="7">
        <v>10037788</v>
      </c>
      <c r="B216" s="8" t="s">
        <v>240</v>
      </c>
      <c r="C216" s="8" t="s">
        <v>701</v>
      </c>
      <c r="D216" s="8" t="s">
        <v>717</v>
      </c>
      <c r="E216" s="8" t="s">
        <v>720</v>
      </c>
      <c r="F216" s="8" t="s">
        <v>1406</v>
      </c>
      <c r="G216" s="8" t="s">
        <v>751</v>
      </c>
      <c r="H216" s="9">
        <v>18</v>
      </c>
      <c r="I216" s="8" t="s">
        <v>668</v>
      </c>
      <c r="J216" s="8" t="s">
        <v>988</v>
      </c>
      <c r="K216" s="8" t="s">
        <v>16</v>
      </c>
      <c r="L216" s="8" t="s">
        <v>17</v>
      </c>
      <c r="M216" s="10" t="s">
        <v>701</v>
      </c>
      <c r="N216" s="10" t="s">
        <v>717</v>
      </c>
      <c r="O216" s="10" t="s">
        <v>668</v>
      </c>
      <c r="P216" s="1"/>
      <c r="Q216" s="11" t="b">
        <f>O216=P216</f>
        <v>0</v>
      </c>
      <c r="R216" s="30">
        <v>30040892</v>
      </c>
      <c r="S216" s="1"/>
      <c r="T216" s="11" t="b">
        <f>R216=S216</f>
        <v>0</v>
      </c>
      <c r="U216" s="10" t="s">
        <v>16</v>
      </c>
      <c r="V216" s="1"/>
      <c r="W216" s="11" t="b">
        <f>U216=V216</f>
        <v>0</v>
      </c>
      <c r="X216" s="13" t="s">
        <v>15</v>
      </c>
      <c r="Y216" s="1"/>
      <c r="Z216" s="1"/>
      <c r="AA216" s="10">
        <v>22003015</v>
      </c>
      <c r="AB216" s="10" t="s">
        <v>1409</v>
      </c>
      <c r="AD216" s="11" t="b">
        <f>AB216=AC216</f>
        <v>0</v>
      </c>
      <c r="AE216" s="10" t="s">
        <v>751</v>
      </c>
      <c r="AF216" s="1"/>
      <c r="AG216" s="11" t="b">
        <f>AE216=AF216</f>
        <v>0</v>
      </c>
      <c r="AH216" s="1">
        <v>18</v>
      </c>
      <c r="AI216" s="1">
        <v>17.73</v>
      </c>
      <c r="AJ216" s="16">
        <f>AI216*220/30*30.4375</f>
        <v>3957.4837500000003</v>
      </c>
      <c r="AK216" s="18">
        <v>3957.48</v>
      </c>
      <c r="AL216" s="71" t="s">
        <v>668</v>
      </c>
      <c r="AM216" s="19" t="b">
        <f>AL216=O216</f>
        <v>1</v>
      </c>
      <c r="AN216" s="7">
        <f>VLOOKUP(A216,'base ZITRHR129'!$G$1:$H$628,2,0)</f>
        <v>30040892</v>
      </c>
      <c r="AO216" s="7" t="b">
        <f>AN216=R216</f>
        <v>1</v>
      </c>
      <c r="AP216" s="7">
        <f>VLOOKUP(A216,'base ZITRHR129'!G102:W728,17,0)</f>
        <v>3957.48</v>
      </c>
      <c r="AQ216" s="7" t="b">
        <f>AP216=AK216</f>
        <v>1</v>
      </c>
      <c r="AR216" s="69"/>
    </row>
    <row r="217" spans="1:44" s="7" customFormat="1" ht="12" x14ac:dyDescent="0.2">
      <c r="A217" s="7">
        <v>10037931</v>
      </c>
      <c r="B217" s="8" t="s">
        <v>241</v>
      </c>
      <c r="C217" s="8" t="s">
        <v>711</v>
      </c>
      <c r="D217" s="8" t="s">
        <v>717</v>
      </c>
      <c r="E217" s="8" t="s">
        <v>719</v>
      </c>
      <c r="F217" s="8" t="s">
        <v>1406</v>
      </c>
      <c r="G217" s="8" t="s">
        <v>20</v>
      </c>
      <c r="H217" s="9">
        <v>19</v>
      </c>
      <c r="I217" s="8" t="s">
        <v>675</v>
      </c>
      <c r="J217" s="8" t="s">
        <v>989</v>
      </c>
      <c r="K217" s="8" t="s">
        <v>16</v>
      </c>
      <c r="L217" s="8" t="s">
        <v>17</v>
      </c>
      <c r="M217" s="10" t="s">
        <v>711</v>
      </c>
      <c r="N217" s="10" t="s">
        <v>717</v>
      </c>
      <c r="O217" s="10" t="s">
        <v>675</v>
      </c>
      <c r="P217" s="1"/>
      <c r="Q217" s="11" t="b">
        <f>O217=P217</f>
        <v>0</v>
      </c>
      <c r="R217" s="30">
        <v>30040893</v>
      </c>
      <c r="S217" s="1"/>
      <c r="T217" s="11" t="b">
        <f>R217=S217</f>
        <v>0</v>
      </c>
      <c r="U217" s="10" t="s">
        <v>16</v>
      </c>
      <c r="V217" s="1"/>
      <c r="W217" s="11" t="b">
        <f>U217=V217</f>
        <v>0</v>
      </c>
      <c r="X217" s="13" t="s">
        <v>15</v>
      </c>
      <c r="Y217" s="1"/>
      <c r="Z217" s="1"/>
      <c r="AA217" s="59">
        <v>22002723</v>
      </c>
      <c r="AB217" s="10" t="s">
        <v>1409</v>
      </c>
      <c r="AD217" s="11" t="b">
        <f>AB217=AC217</f>
        <v>0</v>
      </c>
      <c r="AE217" s="10" t="s">
        <v>20</v>
      </c>
      <c r="AF217" s="1"/>
      <c r="AG217" s="11" t="b">
        <f>AE217=AF217</f>
        <v>0</v>
      </c>
      <c r="AH217" s="1">
        <v>19</v>
      </c>
      <c r="AI217" s="1">
        <v>14.04</v>
      </c>
      <c r="AJ217" s="16">
        <f>AI217*220/30*30.4375</f>
        <v>3133.8449999999998</v>
      </c>
      <c r="AK217" s="18">
        <v>3133.85</v>
      </c>
      <c r="AL217" s="71" t="s">
        <v>675</v>
      </c>
      <c r="AM217" s="19" t="b">
        <f>AL217=O217</f>
        <v>1</v>
      </c>
      <c r="AN217" s="7">
        <f>VLOOKUP(A217,'base ZITRHR129'!$G$1:$H$628,2,0)</f>
        <v>30040893</v>
      </c>
      <c r="AO217" s="7" t="b">
        <f>AN217=R217</f>
        <v>1</v>
      </c>
      <c r="AP217" s="7">
        <f>VLOOKUP(A217,'base ZITRHR129'!G101:W727,17,0)</f>
        <v>3133.85</v>
      </c>
      <c r="AQ217" s="7" t="b">
        <f>AP217=AK217</f>
        <v>1</v>
      </c>
      <c r="AR217" s="69"/>
    </row>
    <row r="218" spans="1:44" s="7" customFormat="1" ht="12" x14ac:dyDescent="0.2">
      <c r="A218" s="7">
        <v>10037932</v>
      </c>
      <c r="B218" s="8" t="s">
        <v>242</v>
      </c>
      <c r="C218" s="8" t="s">
        <v>684</v>
      </c>
      <c r="D218" s="8" t="s">
        <v>717</v>
      </c>
      <c r="E218" s="8" t="s">
        <v>720</v>
      </c>
      <c r="F218" s="8" t="s">
        <v>1406</v>
      </c>
      <c r="G218" s="8" t="s">
        <v>751</v>
      </c>
      <c r="H218" s="9">
        <v>18</v>
      </c>
      <c r="I218" s="8" t="s">
        <v>657</v>
      </c>
      <c r="J218" s="8" t="s">
        <v>990</v>
      </c>
      <c r="K218" s="8" t="s">
        <v>16</v>
      </c>
      <c r="L218" s="8" t="s">
        <v>17</v>
      </c>
      <c r="M218" s="10" t="s">
        <v>684</v>
      </c>
      <c r="N218" s="10" t="s">
        <v>717</v>
      </c>
      <c r="O218" s="10" t="s">
        <v>657</v>
      </c>
      <c r="P218" s="1"/>
      <c r="Q218" s="11" t="b">
        <f>O218=P218</f>
        <v>0</v>
      </c>
      <c r="R218" s="30">
        <v>30040894</v>
      </c>
      <c r="S218" s="1"/>
      <c r="T218" s="11" t="b">
        <f>R218=S218</f>
        <v>0</v>
      </c>
      <c r="U218" s="10" t="s">
        <v>16</v>
      </c>
      <c r="V218" s="1"/>
      <c r="W218" s="11" t="b">
        <f>U218=V218</f>
        <v>0</v>
      </c>
      <c r="X218" s="13" t="s">
        <v>15</v>
      </c>
      <c r="Y218" s="1"/>
      <c r="Z218" s="1"/>
      <c r="AA218" s="59">
        <v>22003015</v>
      </c>
      <c r="AB218" s="10" t="s">
        <v>1409</v>
      </c>
      <c r="AD218" s="11" t="b">
        <f>AB218=AC218</f>
        <v>0</v>
      </c>
      <c r="AE218" s="10" t="s">
        <v>751</v>
      </c>
      <c r="AF218" s="1"/>
      <c r="AG218" s="11" t="b">
        <f>AE218=AF218</f>
        <v>0</v>
      </c>
      <c r="AH218" s="1">
        <v>18</v>
      </c>
      <c r="AI218" s="1">
        <v>17.73</v>
      </c>
      <c r="AJ218" s="16">
        <f>AI218*220/30*30.4375</f>
        <v>3957.4837500000003</v>
      </c>
      <c r="AK218" s="18">
        <v>3957.48</v>
      </c>
      <c r="AL218" s="71" t="s">
        <v>657</v>
      </c>
      <c r="AM218" s="19" t="b">
        <f>AL218=O218</f>
        <v>1</v>
      </c>
      <c r="AN218" s="7">
        <f>VLOOKUP(A218,'base ZITRHR129'!$G$1:$H$628,2,0)</f>
        <v>30040894</v>
      </c>
      <c r="AO218" s="7" t="b">
        <f>AN218=R218</f>
        <v>1</v>
      </c>
      <c r="AP218" s="7">
        <f>VLOOKUP(A218,'base ZITRHR129'!G100:W726,17,0)</f>
        <v>3957.48</v>
      </c>
      <c r="AQ218" s="7" t="b">
        <f>AP218=AK218</f>
        <v>1</v>
      </c>
      <c r="AR218" s="69"/>
    </row>
    <row r="219" spans="1:44" s="7" customFormat="1" ht="12" x14ac:dyDescent="0.2">
      <c r="A219" s="7">
        <v>10038225</v>
      </c>
      <c r="B219" s="8" t="s">
        <v>243</v>
      </c>
      <c r="C219" s="8" t="s">
        <v>704</v>
      </c>
      <c r="D219" s="8" t="s">
        <v>717</v>
      </c>
      <c r="E219" s="8" t="s">
        <v>737</v>
      </c>
      <c r="F219" s="8" t="s">
        <v>1406</v>
      </c>
      <c r="G219" s="8" t="s">
        <v>765</v>
      </c>
      <c r="H219" s="9">
        <v>14</v>
      </c>
      <c r="I219" s="8" t="s">
        <v>669</v>
      </c>
      <c r="J219" s="8" t="s">
        <v>991</v>
      </c>
      <c r="K219" s="8" t="s">
        <v>16</v>
      </c>
      <c r="L219" s="8" t="s">
        <v>17</v>
      </c>
      <c r="M219" s="10" t="s">
        <v>704</v>
      </c>
      <c r="N219" s="10" t="s">
        <v>717</v>
      </c>
      <c r="O219" s="10" t="s">
        <v>669</v>
      </c>
      <c r="P219" s="1"/>
      <c r="Q219" s="11" t="b">
        <f>O219=P219</f>
        <v>0</v>
      </c>
      <c r="R219" s="30">
        <v>30040895</v>
      </c>
      <c r="S219" s="1"/>
      <c r="T219" s="11" t="b">
        <f>R219=S219</f>
        <v>0</v>
      </c>
      <c r="U219" s="10" t="s">
        <v>16</v>
      </c>
      <c r="V219" s="1"/>
      <c r="W219" s="11" t="b">
        <f>U219=V219</f>
        <v>0</v>
      </c>
      <c r="X219" s="13" t="s">
        <v>15</v>
      </c>
      <c r="Y219" s="1"/>
      <c r="Z219" s="1"/>
      <c r="AA219" s="10">
        <v>22002830</v>
      </c>
      <c r="AB219" s="10" t="s">
        <v>1409</v>
      </c>
      <c r="AD219" s="11" t="b">
        <f>AB219=AC219</f>
        <v>0</v>
      </c>
      <c r="AE219" s="10" t="s">
        <v>765</v>
      </c>
      <c r="AF219" s="1"/>
      <c r="AG219" s="11" t="b">
        <f>AE219=AF219</f>
        <v>0</v>
      </c>
      <c r="AH219" s="1">
        <v>14</v>
      </c>
      <c r="AI219" s="1">
        <v>8.59</v>
      </c>
      <c r="AJ219" s="16">
        <f>AI219*220/30*30.4375</f>
        <v>1917.3595833333334</v>
      </c>
      <c r="AK219" s="18">
        <v>1917.36</v>
      </c>
      <c r="AL219" s="71" t="s">
        <v>669</v>
      </c>
      <c r="AM219" s="19" t="b">
        <f>AL219=O219</f>
        <v>1</v>
      </c>
      <c r="AN219" s="7">
        <f>VLOOKUP(A219,'base ZITRHR129'!$G$1:$H$628,2,0)</f>
        <v>30040895</v>
      </c>
      <c r="AO219" s="7" t="b">
        <f>AN219=R219</f>
        <v>1</v>
      </c>
      <c r="AP219" s="7">
        <f>VLOOKUP(A219,'base ZITRHR129'!G99:W725,17,0)</f>
        <v>1917.36</v>
      </c>
      <c r="AQ219" s="7" t="b">
        <f>AP219=AK219</f>
        <v>1</v>
      </c>
      <c r="AR219" s="69"/>
    </row>
    <row r="220" spans="1:44" s="7" customFormat="1" ht="12" x14ac:dyDescent="0.2">
      <c r="A220" s="7">
        <v>10038291</v>
      </c>
      <c r="B220" s="8" t="s">
        <v>244</v>
      </c>
      <c r="C220" s="8" t="s">
        <v>689</v>
      </c>
      <c r="D220" s="8" t="s">
        <v>717</v>
      </c>
      <c r="E220" s="8" t="s">
        <v>730</v>
      </c>
      <c r="F220" s="8" t="s">
        <v>1406</v>
      </c>
      <c r="G220" s="8" t="s">
        <v>759</v>
      </c>
      <c r="H220" s="9">
        <v>17</v>
      </c>
      <c r="I220" s="8" t="s">
        <v>662</v>
      </c>
      <c r="J220" s="8" t="s">
        <v>992</v>
      </c>
      <c r="K220" s="8" t="s">
        <v>16</v>
      </c>
      <c r="L220" s="8" t="s">
        <v>17</v>
      </c>
      <c r="M220" s="10" t="s">
        <v>689</v>
      </c>
      <c r="N220" s="10" t="s">
        <v>717</v>
      </c>
      <c r="O220" s="10" t="s">
        <v>662</v>
      </c>
      <c r="P220" s="1"/>
      <c r="Q220" s="11" t="b">
        <f>O220=P220</f>
        <v>0</v>
      </c>
      <c r="R220" s="30">
        <v>30040896</v>
      </c>
      <c r="S220" s="1"/>
      <c r="T220" s="11" t="b">
        <f>R220=S220</f>
        <v>0</v>
      </c>
      <c r="U220" s="10" t="s">
        <v>16</v>
      </c>
      <c r="V220" s="1"/>
      <c r="W220" s="11" t="b">
        <f>U220=V220</f>
        <v>0</v>
      </c>
      <c r="X220" s="13" t="s">
        <v>15</v>
      </c>
      <c r="Y220" s="1"/>
      <c r="Z220" s="1"/>
      <c r="AA220" s="10">
        <v>22002605</v>
      </c>
      <c r="AB220" s="10" t="s">
        <v>1409</v>
      </c>
      <c r="AD220" s="11" t="b">
        <f>AB220=AC220</f>
        <v>0</v>
      </c>
      <c r="AE220" s="10" t="s">
        <v>759</v>
      </c>
      <c r="AF220" s="1"/>
      <c r="AG220" s="11" t="b">
        <f>AE220=AF220</f>
        <v>0</v>
      </c>
      <c r="AH220" s="1">
        <v>17</v>
      </c>
      <c r="AI220" s="1">
        <v>14.04</v>
      </c>
      <c r="AJ220" s="16">
        <f>AI220*220/30*30.4375</f>
        <v>3133.8449999999998</v>
      </c>
      <c r="AK220" s="18">
        <v>3133.85</v>
      </c>
      <c r="AL220" s="71" t="s">
        <v>662</v>
      </c>
      <c r="AM220" s="19" t="b">
        <f>AL220=O220</f>
        <v>1</v>
      </c>
      <c r="AN220" s="7">
        <f>VLOOKUP(A220,'base ZITRHR129'!$G$1:$H$628,2,0)</f>
        <v>30040896</v>
      </c>
      <c r="AO220" s="7" t="b">
        <f>AN220=R220</f>
        <v>1</v>
      </c>
      <c r="AP220" s="7">
        <f>VLOOKUP(A220,'base ZITRHR129'!G98:W724,17,0)</f>
        <v>3133.85</v>
      </c>
      <c r="AQ220" s="7" t="b">
        <f>AP220=AK220</f>
        <v>1</v>
      </c>
      <c r="AR220" s="69"/>
    </row>
    <row r="221" spans="1:44" s="7" customFormat="1" ht="12" x14ac:dyDescent="0.2">
      <c r="A221" s="7">
        <v>10038293</v>
      </c>
      <c r="B221" s="8" t="s">
        <v>245</v>
      </c>
      <c r="C221" s="8" t="s">
        <v>689</v>
      </c>
      <c r="D221" s="8" t="s">
        <v>717</v>
      </c>
      <c r="E221" s="8" t="s">
        <v>730</v>
      </c>
      <c r="F221" s="8" t="s">
        <v>1406</v>
      </c>
      <c r="G221" s="8" t="s">
        <v>759</v>
      </c>
      <c r="H221" s="9">
        <v>17</v>
      </c>
      <c r="I221" s="8" t="s">
        <v>662</v>
      </c>
      <c r="J221" s="8" t="s">
        <v>993</v>
      </c>
      <c r="K221" s="8" t="s">
        <v>16</v>
      </c>
      <c r="L221" s="8" t="s">
        <v>17</v>
      </c>
      <c r="M221" s="10" t="s">
        <v>689</v>
      </c>
      <c r="N221" s="10" t="s">
        <v>717</v>
      </c>
      <c r="O221" s="10" t="s">
        <v>662</v>
      </c>
      <c r="P221" s="1"/>
      <c r="Q221" s="11" t="b">
        <f>O221=P221</f>
        <v>0</v>
      </c>
      <c r="R221" s="30">
        <v>30040897</v>
      </c>
      <c r="S221" s="1"/>
      <c r="T221" s="11" t="b">
        <f>R221=S221</f>
        <v>0</v>
      </c>
      <c r="U221" s="10" t="s">
        <v>16</v>
      </c>
      <c r="V221" s="1"/>
      <c r="W221" s="11" t="b">
        <f>U221=V221</f>
        <v>0</v>
      </c>
      <c r="X221" s="13" t="s">
        <v>15</v>
      </c>
      <c r="Y221" s="1"/>
      <c r="Z221" s="1"/>
      <c r="AA221" s="10">
        <v>22002605</v>
      </c>
      <c r="AB221" s="10" t="s">
        <v>1409</v>
      </c>
      <c r="AD221" s="11" t="b">
        <f>AB221=AC221</f>
        <v>0</v>
      </c>
      <c r="AE221" s="10" t="s">
        <v>759</v>
      </c>
      <c r="AF221" s="1"/>
      <c r="AG221" s="11" t="b">
        <f>AE221=AF221</f>
        <v>0</v>
      </c>
      <c r="AH221" s="1">
        <v>17</v>
      </c>
      <c r="AI221" s="1">
        <v>14.04</v>
      </c>
      <c r="AJ221" s="16">
        <f>AI221*220/30*30.4375</f>
        <v>3133.8449999999998</v>
      </c>
      <c r="AK221" s="18">
        <v>3133.85</v>
      </c>
      <c r="AL221" s="71" t="s">
        <v>662</v>
      </c>
      <c r="AM221" s="19" t="b">
        <f>AL221=O221</f>
        <v>1</v>
      </c>
      <c r="AN221" s="7">
        <f>VLOOKUP(A221,'base ZITRHR129'!$G$1:$H$628,2,0)</f>
        <v>30040897</v>
      </c>
      <c r="AO221" s="7" t="b">
        <f>AN221=R221</f>
        <v>1</v>
      </c>
      <c r="AP221" s="7">
        <f>VLOOKUP(A221,'base ZITRHR129'!G97:W723,17,0)</f>
        <v>3133.85</v>
      </c>
      <c r="AQ221" s="7" t="b">
        <f>AP221=AK221</f>
        <v>1</v>
      </c>
      <c r="AR221" s="69"/>
    </row>
    <row r="222" spans="1:44" s="7" customFormat="1" ht="12" x14ac:dyDescent="0.2">
      <c r="A222" s="7">
        <v>10038302</v>
      </c>
      <c r="B222" s="8" t="s">
        <v>246</v>
      </c>
      <c r="C222" s="8" t="s">
        <v>695</v>
      </c>
      <c r="D222" s="8" t="s">
        <v>717</v>
      </c>
      <c r="E222" s="8" t="s">
        <v>724</v>
      </c>
      <c r="F222" s="8" t="s">
        <v>1406</v>
      </c>
      <c r="G222" s="8" t="s">
        <v>21</v>
      </c>
      <c r="H222" s="9">
        <v>16</v>
      </c>
      <c r="I222" s="8" t="s">
        <v>660</v>
      </c>
      <c r="J222" s="8" t="s">
        <v>994</v>
      </c>
      <c r="K222" s="8" t="s">
        <v>16</v>
      </c>
      <c r="L222" s="8" t="s">
        <v>17</v>
      </c>
      <c r="M222" s="10" t="s">
        <v>695</v>
      </c>
      <c r="N222" s="10" t="s">
        <v>717</v>
      </c>
      <c r="O222" s="10" t="s">
        <v>660</v>
      </c>
      <c r="P222" s="1"/>
      <c r="Q222" s="11" t="b">
        <f>O222=P222</f>
        <v>0</v>
      </c>
      <c r="R222" s="30">
        <v>30040898</v>
      </c>
      <c r="S222" s="1"/>
      <c r="T222" s="11" t="b">
        <f>R222=S222</f>
        <v>0</v>
      </c>
      <c r="U222" s="10" t="s">
        <v>16</v>
      </c>
      <c r="V222" s="1"/>
      <c r="W222" s="11" t="b">
        <f>U222=V222</f>
        <v>0</v>
      </c>
      <c r="X222" s="13" t="s">
        <v>15</v>
      </c>
      <c r="Y222" s="1"/>
      <c r="Z222" s="1"/>
      <c r="AA222" s="10">
        <v>22002616</v>
      </c>
      <c r="AB222" s="10" t="s">
        <v>1409</v>
      </c>
      <c r="AD222" s="11" t="b">
        <f>AB222=AC222</f>
        <v>0</v>
      </c>
      <c r="AE222" s="10" t="s">
        <v>21</v>
      </c>
      <c r="AF222" s="1"/>
      <c r="AG222" s="11" t="b">
        <f>AE222=AF222</f>
        <v>0</v>
      </c>
      <c r="AH222" s="1">
        <v>16</v>
      </c>
      <c r="AI222" s="1">
        <v>11.71</v>
      </c>
      <c r="AJ222" s="16">
        <f>AI222*220/30*30.4375</f>
        <v>2613.7695833333337</v>
      </c>
      <c r="AK222" s="18">
        <v>2613.77</v>
      </c>
      <c r="AL222" s="71" t="s">
        <v>660</v>
      </c>
      <c r="AM222" s="19" t="b">
        <f>AL222=O222</f>
        <v>1</v>
      </c>
      <c r="AN222" s="7">
        <f>VLOOKUP(A222,'base ZITRHR129'!$G$1:$H$628,2,0)</f>
        <v>30040898</v>
      </c>
      <c r="AO222" s="7" t="b">
        <f>AN222=R222</f>
        <v>1</v>
      </c>
      <c r="AP222" s="7">
        <f>VLOOKUP(A222,'base ZITRHR129'!G96:W722,17,0)</f>
        <v>2613.77</v>
      </c>
      <c r="AQ222" s="7" t="b">
        <f>AP222=AK222</f>
        <v>1</v>
      </c>
      <c r="AR222" s="69"/>
    </row>
    <row r="223" spans="1:44" s="7" customFormat="1" ht="12" x14ac:dyDescent="0.2">
      <c r="A223" s="7">
        <v>10038304</v>
      </c>
      <c r="B223" s="8" t="s">
        <v>247</v>
      </c>
      <c r="C223" s="8" t="s">
        <v>695</v>
      </c>
      <c r="D223" s="8" t="s">
        <v>717</v>
      </c>
      <c r="E223" s="8" t="s">
        <v>724</v>
      </c>
      <c r="F223" s="8" t="s">
        <v>1406</v>
      </c>
      <c r="G223" s="8" t="s">
        <v>21</v>
      </c>
      <c r="H223" s="9">
        <v>16</v>
      </c>
      <c r="I223" s="8" t="s">
        <v>660</v>
      </c>
      <c r="J223" s="8" t="s">
        <v>995</v>
      </c>
      <c r="K223" s="8" t="s">
        <v>16</v>
      </c>
      <c r="L223" s="8" t="s">
        <v>17</v>
      </c>
      <c r="M223" s="10" t="s">
        <v>695</v>
      </c>
      <c r="N223" s="10" t="s">
        <v>717</v>
      </c>
      <c r="O223" s="10" t="s">
        <v>660</v>
      </c>
      <c r="P223" s="1"/>
      <c r="Q223" s="11" t="b">
        <f>O223=P223</f>
        <v>0</v>
      </c>
      <c r="R223" s="30">
        <v>30040899</v>
      </c>
      <c r="S223" s="1"/>
      <c r="T223" s="11" t="b">
        <f>R223=S223</f>
        <v>0</v>
      </c>
      <c r="U223" s="10" t="s">
        <v>16</v>
      </c>
      <c r="V223" s="1"/>
      <c r="W223" s="11" t="b">
        <f>U223=V223</f>
        <v>0</v>
      </c>
      <c r="X223" s="13" t="s">
        <v>15</v>
      </c>
      <c r="Y223" s="1"/>
      <c r="Z223" s="1"/>
      <c r="AA223" s="59">
        <v>22002616</v>
      </c>
      <c r="AB223" s="10" t="s">
        <v>1409</v>
      </c>
      <c r="AD223" s="11" t="b">
        <f>AB223=AC223</f>
        <v>0</v>
      </c>
      <c r="AE223" s="10" t="s">
        <v>21</v>
      </c>
      <c r="AF223" s="1"/>
      <c r="AG223" s="11" t="b">
        <f>AE223=AF223</f>
        <v>0</v>
      </c>
      <c r="AH223" s="1">
        <v>16</v>
      </c>
      <c r="AI223" s="1">
        <v>11.71</v>
      </c>
      <c r="AJ223" s="16">
        <f>AI223*220/30*30.4375</f>
        <v>2613.7695833333337</v>
      </c>
      <c r="AK223" s="18">
        <v>2613.77</v>
      </c>
      <c r="AL223" s="71" t="s">
        <v>660</v>
      </c>
      <c r="AM223" s="19" t="b">
        <f>AL223=O223</f>
        <v>1</v>
      </c>
      <c r="AN223" s="7">
        <f>VLOOKUP(A223,'base ZITRHR129'!$G$1:$H$628,2,0)</f>
        <v>30040899</v>
      </c>
      <c r="AO223" s="7" t="b">
        <f>AN223=R223</f>
        <v>1</v>
      </c>
      <c r="AP223" s="7">
        <f>VLOOKUP(A223,'base ZITRHR129'!G95:W721,17,0)</f>
        <v>2613.77</v>
      </c>
      <c r="AQ223" s="7" t="b">
        <f>AP223=AK223</f>
        <v>1</v>
      </c>
      <c r="AR223" s="69"/>
    </row>
    <row r="224" spans="1:44" s="7" customFormat="1" ht="12" x14ac:dyDescent="0.2">
      <c r="A224" s="7">
        <v>10038333</v>
      </c>
      <c r="B224" s="8" t="s">
        <v>248</v>
      </c>
      <c r="C224" s="8" t="s">
        <v>683</v>
      </c>
      <c r="D224" s="8" t="s">
        <v>717</v>
      </c>
      <c r="E224" s="8" t="s">
        <v>722</v>
      </c>
      <c r="F224" s="8" t="s">
        <v>1406</v>
      </c>
      <c r="G224" s="8" t="s">
        <v>753</v>
      </c>
      <c r="H224" s="9">
        <v>19</v>
      </c>
      <c r="I224" s="8" t="s">
        <v>656</v>
      </c>
      <c r="J224" s="8" t="s">
        <v>996</v>
      </c>
      <c r="K224" s="8" t="s">
        <v>6</v>
      </c>
      <c r="L224" s="8" t="s">
        <v>17</v>
      </c>
      <c r="M224" s="10" t="s">
        <v>683</v>
      </c>
      <c r="N224" s="10" t="s">
        <v>717</v>
      </c>
      <c r="O224" s="10" t="s">
        <v>656</v>
      </c>
      <c r="P224" s="1"/>
      <c r="Q224" s="11" t="b">
        <f>O224=P224</f>
        <v>0</v>
      </c>
      <c r="R224" s="30">
        <v>30040900</v>
      </c>
      <c r="S224" s="1"/>
      <c r="T224" s="11" t="b">
        <f>R224=S224</f>
        <v>0</v>
      </c>
      <c r="U224" s="10" t="s">
        <v>6</v>
      </c>
      <c r="V224" s="1"/>
      <c r="W224" s="11" t="b">
        <f>U224=V224</f>
        <v>0</v>
      </c>
      <c r="X224" s="13" t="s">
        <v>15</v>
      </c>
      <c r="Y224" s="1"/>
      <c r="Z224" s="1"/>
      <c r="AA224" s="10">
        <v>22002695</v>
      </c>
      <c r="AB224" s="10" t="s">
        <v>1409</v>
      </c>
      <c r="AD224" s="11" t="b">
        <f>AB224=AC224</f>
        <v>0</v>
      </c>
      <c r="AE224" s="10" t="s">
        <v>753</v>
      </c>
      <c r="AF224" s="1"/>
      <c r="AG224" s="11" t="b">
        <f>AE224=AF224</f>
        <v>0</v>
      </c>
      <c r="AH224" s="1">
        <v>19</v>
      </c>
      <c r="AI224" s="1">
        <v>16.850000000000001</v>
      </c>
      <c r="AJ224" s="16">
        <f>AI224*220/30*30.4375</f>
        <v>3761.0604166666672</v>
      </c>
      <c r="AK224" s="18">
        <v>3761.06</v>
      </c>
      <c r="AL224" s="71" t="s">
        <v>656</v>
      </c>
      <c r="AM224" s="19" t="b">
        <f>AL224=O224</f>
        <v>1</v>
      </c>
      <c r="AN224" s="7">
        <f>VLOOKUP(A224,'base ZITRHR129'!$G$1:$H$628,2,0)</f>
        <v>30040900</v>
      </c>
      <c r="AO224" s="7" t="b">
        <f>AN224=R224</f>
        <v>1</v>
      </c>
      <c r="AP224" s="7">
        <f>VLOOKUP(A224,'base ZITRHR129'!G94:W720,17,0)</f>
        <v>3761.06</v>
      </c>
      <c r="AQ224" s="7" t="b">
        <f>AP224=AK224</f>
        <v>1</v>
      </c>
      <c r="AR224" s="69"/>
    </row>
    <row r="225" spans="1:44" s="7" customFormat="1" ht="12" x14ac:dyDescent="0.2">
      <c r="A225" s="7">
        <v>10039391</v>
      </c>
      <c r="B225" s="8" t="s">
        <v>249</v>
      </c>
      <c r="C225" s="8" t="s">
        <v>680</v>
      </c>
      <c r="D225" s="8" t="s">
        <v>717</v>
      </c>
      <c r="E225" s="8" t="s">
        <v>729</v>
      </c>
      <c r="F225" s="8" t="s">
        <v>1406</v>
      </c>
      <c r="G225" s="8" t="s">
        <v>758</v>
      </c>
      <c r="H225" s="9">
        <v>17</v>
      </c>
      <c r="I225" s="8" t="s">
        <v>654</v>
      </c>
      <c r="J225" s="8" t="s">
        <v>997</v>
      </c>
      <c r="K225" s="8" t="s">
        <v>16</v>
      </c>
      <c r="L225" s="8" t="s">
        <v>17</v>
      </c>
      <c r="M225" s="10" t="s">
        <v>680</v>
      </c>
      <c r="N225" s="10" t="s">
        <v>717</v>
      </c>
      <c r="O225" s="10" t="s">
        <v>654</v>
      </c>
      <c r="P225" s="1"/>
      <c r="Q225" s="11" t="b">
        <f>O225=P225</f>
        <v>0</v>
      </c>
      <c r="R225" s="30">
        <v>30040901</v>
      </c>
      <c r="S225" s="1"/>
      <c r="T225" s="11" t="b">
        <f>R225=S225</f>
        <v>0</v>
      </c>
      <c r="U225" s="10" t="s">
        <v>16</v>
      </c>
      <c r="V225" s="1"/>
      <c r="W225" s="11" t="b">
        <f>U225=V225</f>
        <v>0</v>
      </c>
      <c r="X225" s="13" t="s">
        <v>15</v>
      </c>
      <c r="Y225" s="1"/>
      <c r="Z225" s="1"/>
      <c r="AA225" s="10">
        <v>22002447</v>
      </c>
      <c r="AB225" s="10" t="s">
        <v>1409</v>
      </c>
      <c r="AD225" s="11" t="b">
        <f>AB225=AC225</f>
        <v>0</v>
      </c>
      <c r="AE225" s="10" t="s">
        <v>758</v>
      </c>
      <c r="AF225" s="1"/>
      <c r="AG225" s="11" t="b">
        <f>AE225=AF225</f>
        <v>0</v>
      </c>
      <c r="AH225" s="1">
        <v>17</v>
      </c>
      <c r="AI225" s="1">
        <v>14.48</v>
      </c>
      <c r="AJ225" s="16">
        <f>AI225*220/30*30.4375</f>
        <v>3232.0566666666668</v>
      </c>
      <c r="AK225" s="18">
        <v>3232.06</v>
      </c>
      <c r="AL225" s="71" t="s">
        <v>654</v>
      </c>
      <c r="AM225" s="19" t="b">
        <f>AL225=O225</f>
        <v>1</v>
      </c>
      <c r="AN225" s="7">
        <f>VLOOKUP(A225,'base ZITRHR129'!$G$1:$H$628,2,0)</f>
        <v>30040901</v>
      </c>
      <c r="AO225" s="7" t="b">
        <f>AN225=R225</f>
        <v>1</v>
      </c>
      <c r="AP225" s="7">
        <f>VLOOKUP(A225,'base ZITRHR129'!G93:W719,17,0)</f>
        <v>3232.06</v>
      </c>
      <c r="AQ225" s="7" t="b">
        <f>AP225=AK225</f>
        <v>1</v>
      </c>
      <c r="AR225" s="69"/>
    </row>
    <row r="226" spans="1:44" s="7" customFormat="1" ht="12" x14ac:dyDescent="0.2">
      <c r="A226" s="7">
        <v>10039393</v>
      </c>
      <c r="B226" s="8" t="s">
        <v>250</v>
      </c>
      <c r="C226" s="8" t="s">
        <v>681</v>
      </c>
      <c r="D226" s="8" t="s">
        <v>717</v>
      </c>
      <c r="E226" s="8" t="s">
        <v>720</v>
      </c>
      <c r="F226" s="8" t="s">
        <v>1406</v>
      </c>
      <c r="G226" s="8" t="s">
        <v>751</v>
      </c>
      <c r="H226" s="9">
        <v>18</v>
      </c>
      <c r="I226" s="8" t="s">
        <v>653</v>
      </c>
      <c r="J226" s="8" t="s">
        <v>998</v>
      </c>
      <c r="K226" s="8" t="s">
        <v>16</v>
      </c>
      <c r="L226" s="8" t="s">
        <v>17</v>
      </c>
      <c r="M226" s="10" t="s">
        <v>681</v>
      </c>
      <c r="N226" s="10" t="s">
        <v>717</v>
      </c>
      <c r="O226" s="10" t="s">
        <v>653</v>
      </c>
      <c r="P226" s="1"/>
      <c r="Q226" s="11" t="b">
        <f>O226=P226</f>
        <v>0</v>
      </c>
      <c r="R226" s="30">
        <v>30040902</v>
      </c>
      <c r="S226" s="1"/>
      <c r="T226" s="11" t="b">
        <f>R226=S226</f>
        <v>0</v>
      </c>
      <c r="U226" s="10" t="s">
        <v>16</v>
      </c>
      <c r="V226" s="1"/>
      <c r="W226" s="11" t="b">
        <f>U226=V226</f>
        <v>0</v>
      </c>
      <c r="X226" s="13" t="s">
        <v>15</v>
      </c>
      <c r="Y226" s="1"/>
      <c r="Z226" s="1"/>
      <c r="AA226" s="10">
        <v>22003015</v>
      </c>
      <c r="AB226" s="10" t="s">
        <v>1409</v>
      </c>
      <c r="AD226" s="11" t="b">
        <f>AB226=AC226</f>
        <v>0</v>
      </c>
      <c r="AE226" s="10" t="s">
        <v>751</v>
      </c>
      <c r="AF226" s="1"/>
      <c r="AG226" s="11" t="b">
        <f>AE226=AF226</f>
        <v>0</v>
      </c>
      <c r="AH226" s="1">
        <v>18</v>
      </c>
      <c r="AI226" s="1">
        <v>17.73</v>
      </c>
      <c r="AJ226" s="16">
        <f>AI226*220/30*30.4375</f>
        <v>3957.4837500000003</v>
      </c>
      <c r="AK226" s="18">
        <v>3957.48</v>
      </c>
      <c r="AL226" s="71" t="s">
        <v>653</v>
      </c>
      <c r="AM226" s="19" t="b">
        <f>AL226=O226</f>
        <v>1</v>
      </c>
      <c r="AN226" s="7">
        <f>VLOOKUP(A226,'base ZITRHR129'!$G$1:$H$628,2,0)</f>
        <v>30040902</v>
      </c>
      <c r="AO226" s="7" t="b">
        <f>AN226=R226</f>
        <v>1</v>
      </c>
      <c r="AP226" s="7">
        <f>VLOOKUP(A226,'base ZITRHR129'!G92:W718,17,0)</f>
        <v>3957.48</v>
      </c>
      <c r="AQ226" s="7" t="b">
        <f>AP226=AK226</f>
        <v>1</v>
      </c>
      <c r="AR226" s="69"/>
    </row>
    <row r="227" spans="1:44" s="7" customFormat="1" ht="12" x14ac:dyDescent="0.2">
      <c r="A227" s="7">
        <v>10039405</v>
      </c>
      <c r="B227" s="8" t="s">
        <v>251</v>
      </c>
      <c r="C227" s="8" t="s">
        <v>700</v>
      </c>
      <c r="D227" s="8" t="s">
        <v>717</v>
      </c>
      <c r="E227" s="8" t="s">
        <v>732</v>
      </c>
      <c r="F227" s="8" t="s">
        <v>1407</v>
      </c>
      <c r="G227" s="8" t="s">
        <v>761</v>
      </c>
      <c r="H227" s="9">
        <v>15</v>
      </c>
      <c r="I227" s="8" t="s">
        <v>666</v>
      </c>
      <c r="J227" s="8" t="s">
        <v>999</v>
      </c>
      <c r="K227" s="8" t="s">
        <v>16</v>
      </c>
      <c r="L227" s="8" t="s">
        <v>17</v>
      </c>
      <c r="M227" s="10" t="s">
        <v>700</v>
      </c>
      <c r="N227" s="10" t="s">
        <v>717</v>
      </c>
      <c r="O227" s="10" t="s">
        <v>666</v>
      </c>
      <c r="P227" s="1"/>
      <c r="Q227" s="11" t="b">
        <f>O227=P227</f>
        <v>0</v>
      </c>
      <c r="R227" s="30">
        <v>30041330</v>
      </c>
      <c r="S227" s="1"/>
      <c r="T227" s="11" t="b">
        <f>R227=S227</f>
        <v>0</v>
      </c>
      <c r="U227" s="10" t="s">
        <v>16</v>
      </c>
      <c r="V227" s="1"/>
      <c r="W227" s="11" t="b">
        <f>U227=V227</f>
        <v>0</v>
      </c>
      <c r="X227" s="13" t="s">
        <v>15</v>
      </c>
      <c r="Y227" s="1"/>
      <c r="Z227" s="1"/>
      <c r="AA227" s="15">
        <v>22003423</v>
      </c>
      <c r="AB227" s="10" t="s">
        <v>1410</v>
      </c>
      <c r="AD227" s="11" t="b">
        <f>AB227=AC227</f>
        <v>0</v>
      </c>
      <c r="AE227" s="10" t="s">
        <v>761</v>
      </c>
      <c r="AF227" s="1"/>
      <c r="AG227" s="11" t="b">
        <f>AE227=AF227</f>
        <v>0</v>
      </c>
      <c r="AH227" s="1">
        <v>15</v>
      </c>
      <c r="AI227" s="1">
        <v>11.71</v>
      </c>
      <c r="AJ227" s="16">
        <f>AI227*180/30*30.4375</f>
        <v>2138.5387500000002</v>
      </c>
      <c r="AK227" s="18">
        <v>2138.54</v>
      </c>
      <c r="AL227" s="71" t="s">
        <v>666</v>
      </c>
      <c r="AM227" s="19" t="b">
        <f>AL227=O227</f>
        <v>1</v>
      </c>
      <c r="AN227" s="7">
        <f>VLOOKUP(A227,'base ZITRHR129'!$G$1:$H$628,2,0)</f>
        <v>30041330</v>
      </c>
      <c r="AO227" s="7" t="b">
        <f>AN227=R227</f>
        <v>1</v>
      </c>
      <c r="AP227" s="7">
        <f>VLOOKUP(A227,'base ZITRHR129'!G91:W717,17,0)</f>
        <v>2138.54</v>
      </c>
      <c r="AQ227" s="7" t="b">
        <f>AP227=AK227</f>
        <v>1</v>
      </c>
      <c r="AR227" s="69"/>
    </row>
    <row r="228" spans="1:44" s="7" customFormat="1" ht="12" x14ac:dyDescent="0.2">
      <c r="A228" s="7">
        <v>10039504</v>
      </c>
      <c r="B228" s="8" t="s">
        <v>252</v>
      </c>
      <c r="C228" s="8" t="s">
        <v>684</v>
      </c>
      <c r="D228" s="8" t="s">
        <v>717</v>
      </c>
      <c r="E228" s="8" t="s">
        <v>720</v>
      </c>
      <c r="F228" s="8" t="s">
        <v>1406</v>
      </c>
      <c r="G228" s="8" t="s">
        <v>751</v>
      </c>
      <c r="H228" s="9">
        <v>18</v>
      </c>
      <c r="I228" s="8" t="s">
        <v>657</v>
      </c>
      <c r="J228" s="8" t="s">
        <v>1000</v>
      </c>
      <c r="K228" s="8" t="s">
        <v>16</v>
      </c>
      <c r="L228" s="8" t="s">
        <v>17</v>
      </c>
      <c r="M228" s="10" t="s">
        <v>684</v>
      </c>
      <c r="N228" s="10" t="s">
        <v>717</v>
      </c>
      <c r="O228" s="10" t="s">
        <v>657</v>
      </c>
      <c r="P228" s="1"/>
      <c r="Q228" s="11" t="b">
        <f>O228=P228</f>
        <v>0</v>
      </c>
      <c r="R228" s="30">
        <v>30040904</v>
      </c>
      <c r="S228" s="1"/>
      <c r="T228" s="11" t="b">
        <f>R228=S228</f>
        <v>0</v>
      </c>
      <c r="U228" s="10" t="s">
        <v>16</v>
      </c>
      <c r="V228" s="1"/>
      <c r="W228" s="11" t="b">
        <f>U228=V228</f>
        <v>0</v>
      </c>
      <c r="X228" s="13" t="s">
        <v>15</v>
      </c>
      <c r="Y228" s="1"/>
      <c r="Z228" s="1"/>
      <c r="AA228" s="10">
        <v>22003015</v>
      </c>
      <c r="AB228" s="10" t="s">
        <v>1409</v>
      </c>
      <c r="AD228" s="11" t="b">
        <f>AB228=AC228</f>
        <v>0</v>
      </c>
      <c r="AE228" s="10" t="s">
        <v>751</v>
      </c>
      <c r="AF228" s="1"/>
      <c r="AG228" s="11" t="b">
        <f>AE228=AF228</f>
        <v>0</v>
      </c>
      <c r="AH228" s="1">
        <v>18</v>
      </c>
      <c r="AI228" s="1">
        <v>12.8</v>
      </c>
      <c r="AJ228" s="16">
        <f>AI228*220/30*30.4375</f>
        <v>2857.0666666666666</v>
      </c>
      <c r="AK228" s="18">
        <v>2857.07</v>
      </c>
      <c r="AL228" s="71" t="s">
        <v>657</v>
      </c>
      <c r="AM228" s="19" t="b">
        <f>AL228=O228</f>
        <v>1</v>
      </c>
      <c r="AN228" s="7">
        <f>VLOOKUP(A228,'base ZITRHR129'!$G$1:$H$628,2,0)</f>
        <v>30040904</v>
      </c>
      <c r="AO228" s="7" t="b">
        <f>AN228=R228</f>
        <v>1</v>
      </c>
      <c r="AP228" s="7">
        <f>VLOOKUP(A228,'base ZITRHR129'!G90:W716,17,0)</f>
        <v>2857.07</v>
      </c>
      <c r="AQ228" s="7" t="b">
        <f>AP228=AK228</f>
        <v>1</v>
      </c>
      <c r="AR228" s="69"/>
    </row>
    <row r="229" spans="1:44" s="7" customFormat="1" ht="12" x14ac:dyDescent="0.2">
      <c r="A229" s="7">
        <v>10039601</v>
      </c>
      <c r="B229" s="8" t="s">
        <v>253</v>
      </c>
      <c r="C229" s="8" t="s">
        <v>683</v>
      </c>
      <c r="D229" s="8" t="s">
        <v>717</v>
      </c>
      <c r="E229" s="8" t="s">
        <v>722</v>
      </c>
      <c r="F229" s="8" t="s">
        <v>1406</v>
      </c>
      <c r="G229" s="8" t="s">
        <v>753</v>
      </c>
      <c r="H229" s="9">
        <v>19</v>
      </c>
      <c r="I229" s="8" t="s">
        <v>656</v>
      </c>
      <c r="J229" s="8" t="s">
        <v>1001</v>
      </c>
      <c r="K229" s="8" t="s">
        <v>6</v>
      </c>
      <c r="L229" s="8" t="s">
        <v>17</v>
      </c>
      <c r="M229" s="10" t="s">
        <v>683</v>
      </c>
      <c r="N229" s="10" t="s">
        <v>717</v>
      </c>
      <c r="O229" s="10" t="s">
        <v>656</v>
      </c>
      <c r="P229" s="1"/>
      <c r="Q229" s="11" t="b">
        <f>O229=P229</f>
        <v>0</v>
      </c>
      <c r="R229" s="30">
        <v>30040905</v>
      </c>
      <c r="S229" s="1"/>
      <c r="T229" s="11" t="b">
        <f>R229=S229</f>
        <v>0</v>
      </c>
      <c r="U229" s="10" t="s">
        <v>6</v>
      </c>
      <c r="V229" s="1"/>
      <c r="W229" s="11" t="b">
        <f>U229=V229</f>
        <v>0</v>
      </c>
      <c r="X229" s="13" t="s">
        <v>15</v>
      </c>
      <c r="Y229" s="1"/>
      <c r="Z229" s="1"/>
      <c r="AA229" s="10">
        <v>22002695</v>
      </c>
      <c r="AB229" s="10" t="s">
        <v>1409</v>
      </c>
      <c r="AD229" s="11" t="b">
        <f>AB229=AC229</f>
        <v>0</v>
      </c>
      <c r="AE229" s="10" t="s">
        <v>753</v>
      </c>
      <c r="AF229" s="1"/>
      <c r="AG229" s="11" t="b">
        <f>AE229=AF229</f>
        <v>0</v>
      </c>
      <c r="AH229" s="1">
        <v>19</v>
      </c>
      <c r="AI229" s="1">
        <v>14.91</v>
      </c>
      <c r="AJ229" s="16">
        <f>AI229*220/30*30.4375</f>
        <v>3328.0362499999997</v>
      </c>
      <c r="AK229" s="18">
        <v>3328.04</v>
      </c>
      <c r="AL229" s="71" t="s">
        <v>656</v>
      </c>
      <c r="AM229" s="19" t="b">
        <f>AL229=O229</f>
        <v>1</v>
      </c>
      <c r="AN229" s="7">
        <f>VLOOKUP(A229,'base ZITRHR129'!$G$1:$H$628,2,0)</f>
        <v>30040905</v>
      </c>
      <c r="AO229" s="7" t="b">
        <f>AN229=R229</f>
        <v>1</v>
      </c>
      <c r="AP229" s="7">
        <f>VLOOKUP(A229,'base ZITRHR129'!G89:W715,17,0)</f>
        <v>3328.04</v>
      </c>
      <c r="AQ229" s="7" t="b">
        <f>AP229=AK229</f>
        <v>1</v>
      </c>
      <c r="AR229" s="69"/>
    </row>
    <row r="230" spans="1:44" s="7" customFormat="1" ht="12" x14ac:dyDescent="0.2">
      <c r="A230" s="7">
        <v>10040489</v>
      </c>
      <c r="B230" s="8" t="s">
        <v>254</v>
      </c>
      <c r="C230" s="8" t="s">
        <v>687</v>
      </c>
      <c r="D230" s="8" t="s">
        <v>717</v>
      </c>
      <c r="E230" s="8" t="s">
        <v>724</v>
      </c>
      <c r="F230" s="8" t="s">
        <v>1406</v>
      </c>
      <c r="G230" s="8" t="s">
        <v>21</v>
      </c>
      <c r="H230" s="9">
        <v>16</v>
      </c>
      <c r="I230" s="8" t="s">
        <v>660</v>
      </c>
      <c r="J230" s="8" t="s">
        <v>1002</v>
      </c>
      <c r="K230" s="8" t="s">
        <v>16</v>
      </c>
      <c r="L230" s="8" t="s">
        <v>17</v>
      </c>
      <c r="M230" s="10" t="s">
        <v>687</v>
      </c>
      <c r="N230" s="10" t="s">
        <v>717</v>
      </c>
      <c r="O230" s="10" t="s">
        <v>660</v>
      </c>
      <c r="P230" s="1"/>
      <c r="Q230" s="11" t="b">
        <f>O230=P230</f>
        <v>0</v>
      </c>
      <c r="R230" s="30">
        <v>30040906</v>
      </c>
      <c r="S230" s="1"/>
      <c r="T230" s="11" t="b">
        <f>R230=S230</f>
        <v>0</v>
      </c>
      <c r="U230" s="10" t="s">
        <v>16</v>
      </c>
      <c r="V230" s="1"/>
      <c r="W230" s="11" t="b">
        <f>U230=V230</f>
        <v>0</v>
      </c>
      <c r="X230" s="13" t="s">
        <v>15</v>
      </c>
      <c r="Y230" s="1"/>
      <c r="Z230" s="1"/>
      <c r="AA230" s="10">
        <v>22002616</v>
      </c>
      <c r="AB230" s="10" t="s">
        <v>1409</v>
      </c>
      <c r="AD230" s="11" t="b">
        <f>AB230=AC230</f>
        <v>0</v>
      </c>
      <c r="AE230" s="10" t="s">
        <v>21</v>
      </c>
      <c r="AF230" s="1"/>
      <c r="AG230" s="11" t="b">
        <f>AE230=AF230</f>
        <v>0</v>
      </c>
      <c r="AH230" s="1">
        <v>16</v>
      </c>
      <c r="AI230" s="1">
        <v>11.71</v>
      </c>
      <c r="AJ230" s="16">
        <f>AI230*220/30*30.4375</f>
        <v>2613.7695833333337</v>
      </c>
      <c r="AK230" s="18">
        <v>2613.77</v>
      </c>
      <c r="AL230" s="71" t="s">
        <v>660</v>
      </c>
      <c r="AM230" s="19" t="b">
        <f>AL230=O230</f>
        <v>1</v>
      </c>
      <c r="AN230" s="7">
        <f>VLOOKUP(A230,'base ZITRHR129'!$G$1:$H$628,2,0)</f>
        <v>30040906</v>
      </c>
      <c r="AO230" s="7" t="b">
        <f>AN230=R230</f>
        <v>1</v>
      </c>
      <c r="AP230" s="7">
        <f>VLOOKUP(A230,'base ZITRHR129'!G88:W714,17,0)</f>
        <v>2613.77</v>
      </c>
      <c r="AQ230" s="7" t="b">
        <f>AP230=AK230</f>
        <v>1</v>
      </c>
      <c r="AR230" s="69"/>
    </row>
    <row r="231" spans="1:44" s="7" customFormat="1" ht="12" x14ac:dyDescent="0.2">
      <c r="A231" s="7">
        <v>10040593</v>
      </c>
      <c r="B231" s="8" t="s">
        <v>255</v>
      </c>
      <c r="C231" s="8" t="s">
        <v>679</v>
      </c>
      <c r="D231" s="8" t="s">
        <v>717</v>
      </c>
      <c r="E231" s="8" t="s">
        <v>720</v>
      </c>
      <c r="F231" s="8" t="s">
        <v>1406</v>
      </c>
      <c r="G231" s="8" t="s">
        <v>751</v>
      </c>
      <c r="H231" s="9">
        <v>18</v>
      </c>
      <c r="I231" s="8" t="s">
        <v>653</v>
      </c>
      <c r="J231" s="8" t="s">
        <v>1003</v>
      </c>
      <c r="K231" s="8" t="s">
        <v>16</v>
      </c>
      <c r="L231" s="8" t="s">
        <v>17</v>
      </c>
      <c r="M231" s="10" t="s">
        <v>679</v>
      </c>
      <c r="N231" s="10" t="s">
        <v>717</v>
      </c>
      <c r="O231" s="10" t="s">
        <v>653</v>
      </c>
      <c r="P231" s="1"/>
      <c r="Q231" s="11" t="b">
        <f>O231=P231</f>
        <v>0</v>
      </c>
      <c r="R231" s="30">
        <v>30040907</v>
      </c>
      <c r="S231" s="1"/>
      <c r="T231" s="11" t="b">
        <f>R231=S231</f>
        <v>0</v>
      </c>
      <c r="U231" s="10" t="s">
        <v>16</v>
      </c>
      <c r="V231" s="1"/>
      <c r="W231" s="11" t="b">
        <f>U231=V231</f>
        <v>0</v>
      </c>
      <c r="X231" s="13" t="s">
        <v>15</v>
      </c>
      <c r="Y231" s="1"/>
      <c r="Z231" s="1"/>
      <c r="AA231" s="10">
        <v>22003015</v>
      </c>
      <c r="AB231" s="10" t="s">
        <v>1409</v>
      </c>
      <c r="AD231" s="11" t="b">
        <f>AB231=AC231</f>
        <v>0</v>
      </c>
      <c r="AE231" s="10" t="s">
        <v>751</v>
      </c>
      <c r="AF231" s="1"/>
      <c r="AG231" s="11" t="b">
        <f>AE231=AF231</f>
        <v>0</v>
      </c>
      <c r="AH231" s="1">
        <v>18</v>
      </c>
      <c r="AI231" s="1">
        <v>17.73</v>
      </c>
      <c r="AJ231" s="16">
        <f>AI231*220/30*30.4375</f>
        <v>3957.4837500000003</v>
      </c>
      <c r="AK231" s="18">
        <v>3957.48</v>
      </c>
      <c r="AL231" s="71" t="s">
        <v>653</v>
      </c>
      <c r="AM231" s="19" t="b">
        <f>AL231=O231</f>
        <v>1</v>
      </c>
      <c r="AN231" s="7">
        <f>VLOOKUP(A231,'base ZITRHR129'!$G$1:$H$628,2,0)</f>
        <v>30040907</v>
      </c>
      <c r="AO231" s="7" t="b">
        <f>AN231=R231</f>
        <v>1</v>
      </c>
      <c r="AP231" s="7">
        <f>VLOOKUP(A231,'base ZITRHR129'!G87:W713,17,0)</f>
        <v>3957.48</v>
      </c>
      <c r="AQ231" s="7" t="b">
        <f>AP231=AK231</f>
        <v>1</v>
      </c>
      <c r="AR231" s="69"/>
    </row>
    <row r="232" spans="1:44" s="7" customFormat="1" ht="12" x14ac:dyDescent="0.2">
      <c r="A232" s="7">
        <v>10040600</v>
      </c>
      <c r="B232" s="8" t="s">
        <v>256</v>
      </c>
      <c r="C232" s="8" t="s">
        <v>700</v>
      </c>
      <c r="D232" s="8" t="s">
        <v>717</v>
      </c>
      <c r="E232" s="8" t="s">
        <v>732</v>
      </c>
      <c r="F232" s="8" t="s">
        <v>1407</v>
      </c>
      <c r="G232" s="8" t="s">
        <v>761</v>
      </c>
      <c r="H232" s="9">
        <v>15</v>
      </c>
      <c r="I232" s="8" t="s">
        <v>666</v>
      </c>
      <c r="J232" s="8" t="s">
        <v>1004</v>
      </c>
      <c r="K232" s="8" t="s">
        <v>16</v>
      </c>
      <c r="L232" s="8" t="s">
        <v>17</v>
      </c>
      <c r="M232" s="10" t="s">
        <v>700</v>
      </c>
      <c r="N232" s="10" t="s">
        <v>717</v>
      </c>
      <c r="O232" s="10" t="s">
        <v>666</v>
      </c>
      <c r="P232" s="1"/>
      <c r="Q232" s="11" t="b">
        <f>O232=P232</f>
        <v>0</v>
      </c>
      <c r="R232" s="30">
        <v>30041331</v>
      </c>
      <c r="S232" s="1"/>
      <c r="T232" s="11" t="b">
        <f>R232=S232</f>
        <v>0</v>
      </c>
      <c r="U232" s="10" t="s">
        <v>16</v>
      </c>
      <c r="V232" s="1"/>
      <c r="W232" s="11" t="b">
        <f>U232=V232</f>
        <v>0</v>
      </c>
      <c r="X232" s="13" t="s">
        <v>15</v>
      </c>
      <c r="Y232" s="1"/>
      <c r="Z232" s="1"/>
      <c r="AA232" s="61">
        <v>22003423</v>
      </c>
      <c r="AB232" s="10" t="s">
        <v>1410</v>
      </c>
      <c r="AD232" s="11" t="b">
        <f>AB232=AC232</f>
        <v>0</v>
      </c>
      <c r="AE232" s="10" t="s">
        <v>761</v>
      </c>
      <c r="AF232" s="1"/>
      <c r="AG232" s="11" t="b">
        <f>AE232=AF232</f>
        <v>0</v>
      </c>
      <c r="AH232" s="1">
        <v>15</v>
      </c>
      <c r="AI232" s="1">
        <v>11.71</v>
      </c>
      <c r="AJ232" s="16">
        <f>AI232*180/30*30.4375</f>
        <v>2138.5387500000002</v>
      </c>
      <c r="AK232" s="18">
        <v>2138.54</v>
      </c>
      <c r="AL232" s="71" t="s">
        <v>666</v>
      </c>
      <c r="AM232" s="19" t="b">
        <f>AL232=O232</f>
        <v>1</v>
      </c>
      <c r="AN232" s="7">
        <f>VLOOKUP(A232,'base ZITRHR129'!$G$1:$H$628,2,0)</f>
        <v>30041331</v>
      </c>
      <c r="AO232" s="7" t="b">
        <f>AN232=R232</f>
        <v>1</v>
      </c>
      <c r="AP232" s="7">
        <f>VLOOKUP(A232,'base ZITRHR129'!G86:W712,17,0)</f>
        <v>2138.54</v>
      </c>
      <c r="AQ232" s="7" t="b">
        <f>AP232=AK232</f>
        <v>1</v>
      </c>
      <c r="AR232" s="69"/>
    </row>
    <row r="233" spans="1:44" s="7" customFormat="1" ht="12" x14ac:dyDescent="0.2">
      <c r="A233" s="7">
        <v>10040876</v>
      </c>
      <c r="B233" s="8" t="s">
        <v>257</v>
      </c>
      <c r="C233" s="8" t="s">
        <v>681</v>
      </c>
      <c r="D233" s="8" t="s">
        <v>717</v>
      </c>
      <c r="E233" s="8" t="s">
        <v>720</v>
      </c>
      <c r="F233" s="8" t="s">
        <v>1406</v>
      </c>
      <c r="G233" s="8" t="s">
        <v>751</v>
      </c>
      <c r="H233" s="9">
        <v>18</v>
      </c>
      <c r="I233" s="8" t="s">
        <v>653</v>
      </c>
      <c r="J233" s="8" t="s">
        <v>1005</v>
      </c>
      <c r="K233" s="8" t="s">
        <v>16</v>
      </c>
      <c r="L233" s="8" t="s">
        <v>17</v>
      </c>
      <c r="M233" s="10" t="s">
        <v>681</v>
      </c>
      <c r="N233" s="10" t="s">
        <v>717</v>
      </c>
      <c r="O233" s="10" t="s">
        <v>653</v>
      </c>
      <c r="P233" s="1"/>
      <c r="Q233" s="11" t="b">
        <f>O233=P233</f>
        <v>0</v>
      </c>
      <c r="R233" s="30">
        <v>30040909</v>
      </c>
      <c r="S233" s="1"/>
      <c r="T233" s="11" t="b">
        <f>R233=S233</f>
        <v>0</v>
      </c>
      <c r="U233" s="10" t="s">
        <v>16</v>
      </c>
      <c r="V233" s="1"/>
      <c r="W233" s="11" t="b">
        <f>U233=V233</f>
        <v>0</v>
      </c>
      <c r="X233" s="13" t="s">
        <v>15</v>
      </c>
      <c r="Y233" s="1"/>
      <c r="Z233" s="1"/>
      <c r="AA233" s="10">
        <v>22003015</v>
      </c>
      <c r="AB233" s="10" t="s">
        <v>1409</v>
      </c>
      <c r="AD233" s="11" t="b">
        <f>AB233=AC233</f>
        <v>0</v>
      </c>
      <c r="AE233" s="10" t="s">
        <v>751</v>
      </c>
      <c r="AF233" s="1"/>
      <c r="AG233" s="11" t="b">
        <f>AE233=AF233</f>
        <v>0</v>
      </c>
      <c r="AH233" s="1">
        <v>18</v>
      </c>
      <c r="AI233" s="1">
        <v>17.73</v>
      </c>
      <c r="AJ233" s="16">
        <f>AI233*220/30*30.4375</f>
        <v>3957.4837500000003</v>
      </c>
      <c r="AK233" s="18">
        <v>3957.48</v>
      </c>
      <c r="AL233" s="71" t="s">
        <v>653</v>
      </c>
      <c r="AM233" s="19" t="b">
        <f>AL233=O233</f>
        <v>1</v>
      </c>
      <c r="AN233" s="7">
        <f>VLOOKUP(A233,'base ZITRHR129'!$G$1:$H$628,2,0)</f>
        <v>30040909</v>
      </c>
      <c r="AO233" s="7" t="b">
        <f>AN233=R233</f>
        <v>1</v>
      </c>
      <c r="AP233" s="7">
        <f>VLOOKUP(A233,'base ZITRHR129'!G85:W711,17,0)</f>
        <v>3957.48</v>
      </c>
      <c r="AQ233" s="7" t="b">
        <f>AP233=AK233</f>
        <v>1</v>
      </c>
      <c r="AR233" s="69"/>
    </row>
    <row r="234" spans="1:44" s="7" customFormat="1" ht="12" x14ac:dyDescent="0.2">
      <c r="A234" s="7">
        <v>10040881</v>
      </c>
      <c r="B234" s="8" t="s">
        <v>258</v>
      </c>
      <c r="C234" s="8" t="s">
        <v>695</v>
      </c>
      <c r="D234" s="8" t="s">
        <v>717</v>
      </c>
      <c r="E234" s="8" t="s">
        <v>724</v>
      </c>
      <c r="F234" s="8" t="s">
        <v>1406</v>
      </c>
      <c r="G234" s="8" t="s">
        <v>21</v>
      </c>
      <c r="H234" s="9">
        <v>16</v>
      </c>
      <c r="I234" s="8" t="s">
        <v>660</v>
      </c>
      <c r="J234" s="8" t="s">
        <v>1006</v>
      </c>
      <c r="K234" s="8" t="s">
        <v>16</v>
      </c>
      <c r="L234" s="8" t="s">
        <v>17</v>
      </c>
      <c r="M234" s="10" t="s">
        <v>695</v>
      </c>
      <c r="N234" s="10" t="s">
        <v>717</v>
      </c>
      <c r="O234" s="10" t="s">
        <v>660</v>
      </c>
      <c r="P234" s="1"/>
      <c r="Q234" s="11" t="b">
        <f>O234=P234</f>
        <v>0</v>
      </c>
      <c r="R234" s="30">
        <v>30040910</v>
      </c>
      <c r="S234" s="1"/>
      <c r="T234" s="11" t="b">
        <f>R234=S234</f>
        <v>0</v>
      </c>
      <c r="U234" s="10" t="s">
        <v>16</v>
      </c>
      <c r="V234" s="1"/>
      <c r="W234" s="11" t="b">
        <f>U234=V234</f>
        <v>0</v>
      </c>
      <c r="X234" s="13" t="s">
        <v>15</v>
      </c>
      <c r="Y234" s="1"/>
      <c r="Z234" s="1"/>
      <c r="AA234" s="10">
        <v>22002616</v>
      </c>
      <c r="AB234" s="10" t="s">
        <v>1409</v>
      </c>
      <c r="AD234" s="11" t="b">
        <f>AB234=AC234</f>
        <v>0</v>
      </c>
      <c r="AE234" s="10" t="s">
        <v>21</v>
      </c>
      <c r="AF234" s="1"/>
      <c r="AG234" s="11" t="b">
        <f>AE234=AF234</f>
        <v>0</v>
      </c>
      <c r="AH234" s="1">
        <v>16</v>
      </c>
      <c r="AI234" s="1">
        <v>11.71</v>
      </c>
      <c r="AJ234" s="16">
        <f>AI234*220/30*30.4375</f>
        <v>2613.7695833333337</v>
      </c>
      <c r="AK234" s="18">
        <v>2613.77</v>
      </c>
      <c r="AL234" s="71" t="s">
        <v>660</v>
      </c>
      <c r="AM234" s="19" t="b">
        <f>AL234=O234</f>
        <v>1</v>
      </c>
      <c r="AN234" s="7">
        <f>VLOOKUP(A234,'base ZITRHR129'!$G$1:$H$628,2,0)</f>
        <v>30040910</v>
      </c>
      <c r="AO234" s="7" t="b">
        <f>AN234=R234</f>
        <v>1</v>
      </c>
      <c r="AP234" s="7">
        <f>VLOOKUP(A234,'base ZITRHR129'!G84:W710,17,0)</f>
        <v>2613.77</v>
      </c>
      <c r="AQ234" s="7" t="b">
        <f>AP234=AK234</f>
        <v>1</v>
      </c>
      <c r="AR234" s="69"/>
    </row>
    <row r="235" spans="1:44" s="7" customFormat="1" ht="12" x14ac:dyDescent="0.2">
      <c r="A235" s="7">
        <v>10040943</v>
      </c>
      <c r="B235" s="8" t="s">
        <v>259</v>
      </c>
      <c r="C235" s="8" t="s">
        <v>684</v>
      </c>
      <c r="D235" s="8" t="s">
        <v>717</v>
      </c>
      <c r="E235" s="8" t="s">
        <v>720</v>
      </c>
      <c r="F235" s="8" t="s">
        <v>1406</v>
      </c>
      <c r="G235" s="8" t="s">
        <v>751</v>
      </c>
      <c r="H235" s="9">
        <v>18</v>
      </c>
      <c r="I235" s="8" t="s">
        <v>657</v>
      </c>
      <c r="J235" s="8" t="s">
        <v>1007</v>
      </c>
      <c r="K235" s="8" t="s">
        <v>16</v>
      </c>
      <c r="L235" s="8" t="s">
        <v>17</v>
      </c>
      <c r="M235" s="10" t="s">
        <v>684</v>
      </c>
      <c r="N235" s="10" t="s">
        <v>717</v>
      </c>
      <c r="O235" s="10" t="s">
        <v>657</v>
      </c>
      <c r="P235" s="1"/>
      <c r="Q235" s="11" t="b">
        <f>O235=P235</f>
        <v>0</v>
      </c>
      <c r="R235" s="30">
        <v>30040911</v>
      </c>
      <c r="S235" s="1"/>
      <c r="T235" s="11" t="b">
        <f>R235=S235</f>
        <v>0</v>
      </c>
      <c r="U235" s="10" t="s">
        <v>16</v>
      </c>
      <c r="V235" s="1"/>
      <c r="W235" s="11" t="b">
        <f>U235=V235</f>
        <v>0</v>
      </c>
      <c r="X235" s="13" t="s">
        <v>15</v>
      </c>
      <c r="Y235" s="1"/>
      <c r="Z235" s="1"/>
      <c r="AA235" s="10">
        <v>22003015</v>
      </c>
      <c r="AB235" s="10" t="s">
        <v>1409</v>
      </c>
      <c r="AD235" s="11" t="b">
        <f>AB235=AC235</f>
        <v>0</v>
      </c>
      <c r="AE235" s="10" t="s">
        <v>751</v>
      </c>
      <c r="AF235" s="1"/>
      <c r="AG235" s="11" t="b">
        <f>AE235=AF235</f>
        <v>0</v>
      </c>
      <c r="AH235" s="1">
        <v>18</v>
      </c>
      <c r="AI235" s="1">
        <v>12.8</v>
      </c>
      <c r="AJ235" s="16">
        <f>AI235*220/30*30.4375</f>
        <v>2857.0666666666666</v>
      </c>
      <c r="AK235" s="18">
        <v>2857.07</v>
      </c>
      <c r="AL235" s="71" t="s">
        <v>657</v>
      </c>
      <c r="AM235" s="19" t="b">
        <f>AL235=O235</f>
        <v>1</v>
      </c>
      <c r="AN235" s="7">
        <f>VLOOKUP(A235,'base ZITRHR129'!$G$1:$H$628,2,0)</f>
        <v>30040911</v>
      </c>
      <c r="AO235" s="7" t="b">
        <f>AN235=R235</f>
        <v>1</v>
      </c>
      <c r="AP235" s="7">
        <f>VLOOKUP(A235,'base ZITRHR129'!G83:W709,17,0)</f>
        <v>2857.07</v>
      </c>
      <c r="AQ235" s="7" t="b">
        <f>AP235=AK235</f>
        <v>1</v>
      </c>
      <c r="AR235" s="69"/>
    </row>
    <row r="236" spans="1:44" s="7" customFormat="1" ht="12" x14ac:dyDescent="0.2">
      <c r="A236" s="20">
        <v>10041044</v>
      </c>
      <c r="B236" s="21" t="s">
        <v>260</v>
      </c>
      <c r="C236" s="21" t="s">
        <v>700</v>
      </c>
      <c r="D236" s="21" t="s">
        <v>717</v>
      </c>
      <c r="E236" s="21" t="s">
        <v>738</v>
      </c>
      <c r="F236" s="21" t="s">
        <v>1407</v>
      </c>
      <c r="G236" s="21" t="s">
        <v>765</v>
      </c>
      <c r="H236" s="22">
        <v>14</v>
      </c>
      <c r="I236" s="21" t="s">
        <v>666</v>
      </c>
      <c r="J236" s="21" t="s">
        <v>1008</v>
      </c>
      <c r="K236" s="21" t="s">
        <v>16</v>
      </c>
      <c r="L236" s="21" t="s">
        <v>17</v>
      </c>
      <c r="M236" s="21" t="s">
        <v>700</v>
      </c>
      <c r="N236" s="21" t="s">
        <v>717</v>
      </c>
      <c r="O236" s="21" t="s">
        <v>666</v>
      </c>
      <c r="P236" s="23"/>
      <c r="Q236" s="24" t="b">
        <f>O236=P236</f>
        <v>0</v>
      </c>
      <c r="R236" s="31">
        <v>30040912</v>
      </c>
      <c r="S236" s="23"/>
      <c r="T236" s="24" t="b">
        <f>R236=S236</f>
        <v>0</v>
      </c>
      <c r="U236" s="21" t="s">
        <v>16</v>
      </c>
      <c r="V236" s="23"/>
      <c r="W236" s="24" t="b">
        <f>U236=V236</f>
        <v>0</v>
      </c>
      <c r="X236" s="25" t="s">
        <v>15</v>
      </c>
      <c r="Y236" s="23"/>
      <c r="Z236" s="23"/>
      <c r="AA236" s="64">
        <v>22003024</v>
      </c>
      <c r="AB236" s="21" t="s">
        <v>1410</v>
      </c>
      <c r="AC236" s="20"/>
      <c r="AD236" s="24" t="b">
        <f>AB236=AC236</f>
        <v>0</v>
      </c>
      <c r="AE236" s="21" t="s">
        <v>765</v>
      </c>
      <c r="AF236" s="23"/>
      <c r="AG236" s="24" t="b">
        <f>AE236=AF236</f>
        <v>0</v>
      </c>
      <c r="AH236" s="23">
        <v>14</v>
      </c>
      <c r="AI236" s="23">
        <v>9.9</v>
      </c>
      <c r="AJ236" s="26">
        <f>AI236*180/30*30.4375</f>
        <v>1807.9875</v>
      </c>
      <c r="AK236" s="27">
        <v>1807.99</v>
      </c>
      <c r="AL236" s="73" t="s">
        <v>666</v>
      </c>
      <c r="AM236" s="28" t="b">
        <f>AL236=O236</f>
        <v>1</v>
      </c>
      <c r="AN236" s="20">
        <f>VLOOKUP(A236,'base ZITRHR129'!$G$1:$H$628,2,0)</f>
        <v>30040912</v>
      </c>
      <c r="AO236" s="20" t="b">
        <f>AN236=R236</f>
        <v>1</v>
      </c>
      <c r="AP236" s="20">
        <f>VLOOKUP(A236,'base ZITRHR129'!G82:W708,17,0)</f>
        <v>9.9</v>
      </c>
      <c r="AQ236" s="20" t="b">
        <f>AP236=AK236</f>
        <v>0</v>
      </c>
      <c r="AR236" s="69" t="s">
        <v>1516</v>
      </c>
    </row>
    <row r="237" spans="1:44" s="7" customFormat="1" ht="12" x14ac:dyDescent="0.2">
      <c r="A237" s="7">
        <v>10041048</v>
      </c>
      <c r="B237" s="8" t="s">
        <v>261</v>
      </c>
      <c r="C237" s="8" t="s">
        <v>700</v>
      </c>
      <c r="D237" s="8" t="s">
        <v>717</v>
      </c>
      <c r="E237" s="8" t="s">
        <v>732</v>
      </c>
      <c r="F237" s="8" t="s">
        <v>1407</v>
      </c>
      <c r="G237" s="8" t="s">
        <v>761</v>
      </c>
      <c r="H237" s="9">
        <v>15</v>
      </c>
      <c r="I237" s="8" t="s">
        <v>666</v>
      </c>
      <c r="J237" s="8" t="s">
        <v>1009</v>
      </c>
      <c r="K237" s="8" t="s">
        <v>16</v>
      </c>
      <c r="L237" s="8" t="s">
        <v>17</v>
      </c>
      <c r="M237" s="10" t="s">
        <v>700</v>
      </c>
      <c r="N237" s="10" t="s">
        <v>717</v>
      </c>
      <c r="O237" s="10" t="s">
        <v>666</v>
      </c>
      <c r="P237" s="1"/>
      <c r="Q237" s="11" t="b">
        <f>O237=P237</f>
        <v>0</v>
      </c>
      <c r="R237" s="30">
        <v>30041332</v>
      </c>
      <c r="S237" s="1"/>
      <c r="T237" s="11" t="b">
        <f>R237=S237</f>
        <v>0</v>
      </c>
      <c r="U237" s="10" t="s">
        <v>16</v>
      </c>
      <c r="V237" s="1"/>
      <c r="W237" s="11" t="b">
        <f>U237=V237</f>
        <v>0</v>
      </c>
      <c r="X237" s="13" t="s">
        <v>15</v>
      </c>
      <c r="Y237" s="1"/>
      <c r="Z237" s="1"/>
      <c r="AA237" s="61">
        <v>22003423</v>
      </c>
      <c r="AB237" s="10" t="s">
        <v>1410</v>
      </c>
      <c r="AD237" s="11" t="b">
        <f>AB237=AC237</f>
        <v>0</v>
      </c>
      <c r="AE237" s="10" t="s">
        <v>761</v>
      </c>
      <c r="AF237" s="1"/>
      <c r="AG237" s="11" t="b">
        <f>AE237=AF237</f>
        <v>0</v>
      </c>
      <c r="AH237" s="1">
        <v>15</v>
      </c>
      <c r="AI237" s="1">
        <v>11.71</v>
      </c>
      <c r="AJ237" s="16">
        <f>AI237*180/30*30.4375</f>
        <v>2138.5387500000002</v>
      </c>
      <c r="AK237" s="18">
        <v>2138.54</v>
      </c>
      <c r="AL237" s="71" t="s">
        <v>666</v>
      </c>
      <c r="AM237" s="19" t="b">
        <f>AL237=O237</f>
        <v>1</v>
      </c>
      <c r="AN237" s="7">
        <f>VLOOKUP(A237,'base ZITRHR129'!$G$1:$H$628,2,0)</f>
        <v>30041332</v>
      </c>
      <c r="AO237" s="7" t="b">
        <f>AN237=R237</f>
        <v>1</v>
      </c>
      <c r="AP237" s="7">
        <f>VLOOKUP(A237,'base ZITRHR129'!G80:W706,17,0)</f>
        <v>2138.54</v>
      </c>
      <c r="AQ237" s="7" t="b">
        <f>AP237=AK237</f>
        <v>1</v>
      </c>
      <c r="AR237" s="69"/>
    </row>
    <row r="238" spans="1:44" s="7" customFormat="1" x14ac:dyDescent="0.25">
      <c r="A238" s="7">
        <v>10041048</v>
      </c>
      <c r="B238" s="8" t="s">
        <v>261</v>
      </c>
      <c r="C238" s="8" t="s">
        <v>700</v>
      </c>
      <c r="D238" s="8" t="s">
        <v>717</v>
      </c>
      <c r="E238" s="8" t="s">
        <v>732</v>
      </c>
      <c r="F238" s="8" t="s">
        <v>1407</v>
      </c>
      <c r="G238" s="8" t="s">
        <v>761</v>
      </c>
      <c r="H238" s="9">
        <v>15</v>
      </c>
      <c r="I238" s="8" t="s">
        <v>666</v>
      </c>
      <c r="J238" s="8" t="s">
        <v>1009</v>
      </c>
      <c r="K238" s="8" t="s">
        <v>16</v>
      </c>
      <c r="L238" s="8" t="s">
        <v>17</v>
      </c>
      <c r="M238" s="10" t="s">
        <v>700</v>
      </c>
      <c r="N238" s="10" t="s">
        <v>717</v>
      </c>
      <c r="O238" s="10" t="s">
        <v>666</v>
      </c>
      <c r="P238" s="1"/>
      <c r="Q238" s="11" t="b">
        <f>O238=P238</f>
        <v>0</v>
      </c>
      <c r="R238" s="30">
        <v>30041332</v>
      </c>
      <c r="S238" s="1"/>
      <c r="T238" s="11" t="b">
        <f>R238=S238</f>
        <v>0</v>
      </c>
      <c r="U238" s="10" t="s">
        <v>16</v>
      </c>
      <c r="V238" s="1"/>
      <c r="W238" s="11" t="b">
        <f>U238=V238</f>
        <v>0</v>
      </c>
      <c r="X238" s="13" t="s">
        <v>15</v>
      </c>
      <c r="Y238" s="1"/>
      <c r="Z238" s="1"/>
      <c r="AA238" s="61">
        <v>22003423</v>
      </c>
      <c r="AB238" s="10" t="s">
        <v>1410</v>
      </c>
      <c r="AD238" s="11" t="b">
        <f>AB238=AC238</f>
        <v>0</v>
      </c>
      <c r="AE238" s="10" t="s">
        <v>761</v>
      </c>
      <c r="AF238" s="1"/>
      <c r="AG238" s="11" t="b">
        <f>AE238=AF238</f>
        <v>0</v>
      </c>
      <c r="AH238" s="1">
        <v>15</v>
      </c>
      <c r="AI238" s="1">
        <v>11.71</v>
      </c>
      <c r="AJ238" s="16">
        <f>AI238*180/30*30.4375</f>
        <v>2138.5387500000002</v>
      </c>
      <c r="AK238" s="18">
        <v>2138.54</v>
      </c>
      <c r="AL238" s="71" t="s">
        <v>666</v>
      </c>
      <c r="AM238" s="19" t="b">
        <f>AL238=O238</f>
        <v>1</v>
      </c>
      <c r="AN238" s="7">
        <f>VLOOKUP(A238,'base ZITRHR129'!$G$1:$H$628,2,0)</f>
        <v>30041332</v>
      </c>
      <c r="AO238" s="7" t="b">
        <f>AN238=R238</f>
        <v>1</v>
      </c>
      <c r="AP238" s="7">
        <f>VLOOKUP(A238,'base ZITRHR129'!G81:W707,17,0)</f>
        <v>2138.54</v>
      </c>
      <c r="AQ238" s="7" t="b">
        <f>AP238=AK238</f>
        <v>1</v>
      </c>
      <c r="AR238" s="78"/>
    </row>
    <row r="239" spans="1:44" s="7" customFormat="1" x14ac:dyDescent="0.25">
      <c r="A239" s="7">
        <v>10041113</v>
      </c>
      <c r="B239" s="8" t="s">
        <v>262</v>
      </c>
      <c r="C239" s="8" t="s">
        <v>691</v>
      </c>
      <c r="D239" s="8" t="s">
        <v>717</v>
      </c>
      <c r="E239" s="8" t="s">
        <v>727</v>
      </c>
      <c r="F239" s="8" t="s">
        <v>1406</v>
      </c>
      <c r="G239" s="8" t="s">
        <v>756</v>
      </c>
      <c r="H239" s="9">
        <v>17</v>
      </c>
      <c r="I239" s="8" t="s">
        <v>664</v>
      </c>
      <c r="J239" s="8" t="s">
        <v>1010</v>
      </c>
      <c r="K239" s="8" t="s">
        <v>16</v>
      </c>
      <c r="L239" s="8" t="s">
        <v>17</v>
      </c>
      <c r="M239" s="10" t="s">
        <v>691</v>
      </c>
      <c r="N239" s="10" t="s">
        <v>717</v>
      </c>
      <c r="O239" s="10" t="s">
        <v>664</v>
      </c>
      <c r="P239" s="1"/>
      <c r="Q239" s="11" t="b">
        <v>0</v>
      </c>
      <c r="R239" s="30">
        <v>30040914</v>
      </c>
      <c r="S239" s="1"/>
      <c r="T239" s="11" t="b">
        <v>0</v>
      </c>
      <c r="U239" s="10" t="s">
        <v>16</v>
      </c>
      <c r="V239" s="1"/>
      <c r="W239" s="11" t="b">
        <v>0</v>
      </c>
      <c r="X239" s="13" t="s">
        <v>15</v>
      </c>
      <c r="Y239" s="1"/>
      <c r="Z239" s="1"/>
      <c r="AA239" s="63">
        <v>22003017</v>
      </c>
      <c r="AB239" s="10" t="s">
        <v>1409</v>
      </c>
      <c r="AD239" s="11" t="b">
        <v>0</v>
      </c>
      <c r="AE239" s="10" t="s">
        <v>756</v>
      </c>
      <c r="AF239" s="1"/>
      <c r="AG239" s="11" t="b">
        <v>0</v>
      </c>
      <c r="AH239" s="1">
        <v>17</v>
      </c>
      <c r="AI239" s="1">
        <v>14.04</v>
      </c>
      <c r="AJ239" s="16">
        <v>3133.8449999999998</v>
      </c>
      <c r="AK239" s="18">
        <v>3133.85</v>
      </c>
      <c r="AL239" s="71" t="s">
        <v>664</v>
      </c>
      <c r="AM239" s="19" t="b">
        <f>AL239=O239</f>
        <v>1</v>
      </c>
      <c r="AN239" s="7">
        <f>VLOOKUP(A239,'base ZITRHR129'!$G$1:$H$628,2,0)</f>
        <v>30040914</v>
      </c>
      <c r="AO239" s="7" t="b">
        <f>AN239=R239</f>
        <v>1</v>
      </c>
      <c r="AP239" s="7">
        <f>VLOOKUP(A239,'base ZITRHR129'!G79:W705,17,0)</f>
        <v>3133.85</v>
      </c>
      <c r="AQ239" s="7" t="b">
        <f>AP239=AK239</f>
        <v>1</v>
      </c>
      <c r="AR239" s="78"/>
    </row>
    <row r="240" spans="1:44" s="7" customFormat="1" ht="12" x14ac:dyDescent="0.2">
      <c r="A240" s="7">
        <v>10041235</v>
      </c>
      <c r="B240" s="8" t="s">
        <v>263</v>
      </c>
      <c r="C240" s="8" t="s">
        <v>686</v>
      </c>
      <c r="D240" s="8" t="s">
        <v>717</v>
      </c>
      <c r="E240" s="8" t="s">
        <v>739</v>
      </c>
      <c r="F240" s="8" t="s">
        <v>1406</v>
      </c>
      <c r="G240" s="8" t="s">
        <v>766</v>
      </c>
      <c r="H240" s="9">
        <v>14</v>
      </c>
      <c r="I240" s="8" t="s">
        <v>658</v>
      </c>
      <c r="J240" s="8" t="s">
        <v>1011</v>
      </c>
      <c r="K240" s="8" t="s">
        <v>6</v>
      </c>
      <c r="L240" s="8" t="s">
        <v>17</v>
      </c>
      <c r="M240" s="10" t="s">
        <v>686</v>
      </c>
      <c r="N240" s="10" t="s">
        <v>717</v>
      </c>
      <c r="O240" s="10" t="s">
        <v>658</v>
      </c>
      <c r="P240" s="1"/>
      <c r="Q240" s="11" t="b">
        <f>O240=P240</f>
        <v>0</v>
      </c>
      <c r="R240" s="30">
        <v>30040916</v>
      </c>
      <c r="S240" s="1"/>
      <c r="T240" s="11" t="b">
        <f>R240=S240</f>
        <v>0</v>
      </c>
      <c r="U240" s="10" t="s">
        <v>6</v>
      </c>
      <c r="V240" s="1"/>
      <c r="W240" s="11" t="b">
        <f>U240=V240</f>
        <v>0</v>
      </c>
      <c r="X240" s="13" t="s">
        <v>15</v>
      </c>
      <c r="Y240" s="1"/>
      <c r="Z240" s="1"/>
      <c r="AA240" s="59">
        <v>22001415</v>
      </c>
      <c r="AB240" s="10" t="s">
        <v>1409</v>
      </c>
      <c r="AD240" s="11" t="b">
        <f>AB240=AC240</f>
        <v>0</v>
      </c>
      <c r="AE240" s="10" t="s">
        <v>766</v>
      </c>
      <c r="AF240" s="1"/>
      <c r="AG240" s="11" t="b">
        <f>AE240=AF240</f>
        <v>0</v>
      </c>
      <c r="AH240" s="1">
        <v>14</v>
      </c>
      <c r="AI240" s="1">
        <v>8.59</v>
      </c>
      <c r="AJ240" s="16">
        <f>AI240*220/30*30.4375</f>
        <v>1917.3595833333334</v>
      </c>
      <c r="AK240" s="18">
        <v>1917.36</v>
      </c>
      <c r="AL240" s="72" t="s">
        <v>659</v>
      </c>
      <c r="AM240" s="48" t="b">
        <f>AL240=O240</f>
        <v>0</v>
      </c>
      <c r="AN240" s="7">
        <f>VLOOKUP(A240,'base ZITRHR129'!$G$1:$H$628,2,0)</f>
        <v>30040916</v>
      </c>
      <c r="AO240" s="7" t="b">
        <f>AN240=R240</f>
        <v>1</v>
      </c>
      <c r="AP240" s="7">
        <f>VLOOKUP(A240,'base ZITRHR129'!G78:W704,17,0)</f>
        <v>1917.36</v>
      </c>
      <c r="AQ240" s="7" t="b">
        <f>AP240=AK240</f>
        <v>1</v>
      </c>
      <c r="AR240" s="69" t="s">
        <v>1517</v>
      </c>
    </row>
    <row r="241" spans="1:44" s="7" customFormat="1" x14ac:dyDescent="0.25">
      <c r="A241" s="7">
        <v>10041314</v>
      </c>
      <c r="B241" s="8" t="s">
        <v>264</v>
      </c>
      <c r="C241" s="8" t="s">
        <v>679</v>
      </c>
      <c r="D241" s="8" t="s">
        <v>717</v>
      </c>
      <c r="E241" s="8" t="s">
        <v>720</v>
      </c>
      <c r="F241" s="8" t="s">
        <v>1406</v>
      </c>
      <c r="G241" s="8" t="s">
        <v>751</v>
      </c>
      <c r="H241" s="9">
        <v>18</v>
      </c>
      <c r="I241" s="8" t="s">
        <v>653</v>
      </c>
      <c r="J241" s="8" t="s">
        <v>1012</v>
      </c>
      <c r="K241" s="8" t="s">
        <v>16</v>
      </c>
      <c r="L241" s="8" t="s">
        <v>17</v>
      </c>
      <c r="M241" s="10" t="s">
        <v>679</v>
      </c>
      <c r="N241" s="10" t="s">
        <v>717</v>
      </c>
      <c r="O241" s="10" t="s">
        <v>653</v>
      </c>
      <c r="P241" s="1"/>
      <c r="Q241" s="11" t="b">
        <f>O241=P241</f>
        <v>0</v>
      </c>
      <c r="R241" s="30">
        <v>30040917</v>
      </c>
      <c r="S241" s="1"/>
      <c r="T241" s="11" t="b">
        <f>R241=S241</f>
        <v>0</v>
      </c>
      <c r="U241" s="10" t="s">
        <v>16</v>
      </c>
      <c r="V241" s="1"/>
      <c r="W241" s="11" t="b">
        <f>U241=V241</f>
        <v>0</v>
      </c>
      <c r="X241" s="13" t="s">
        <v>15</v>
      </c>
      <c r="Y241" s="1"/>
      <c r="Z241" s="1"/>
      <c r="AA241" s="10">
        <v>22003015</v>
      </c>
      <c r="AB241" s="10" t="s">
        <v>1409</v>
      </c>
      <c r="AD241" s="11" t="b">
        <f>AB241=AC241</f>
        <v>0</v>
      </c>
      <c r="AE241" s="10" t="s">
        <v>751</v>
      </c>
      <c r="AF241" s="1"/>
      <c r="AG241" s="11" t="b">
        <f>AE241=AF241</f>
        <v>0</v>
      </c>
      <c r="AH241" s="1">
        <v>18</v>
      </c>
      <c r="AI241" s="1">
        <v>17.73</v>
      </c>
      <c r="AJ241" s="16">
        <f>AI241*220/30*30.4375</f>
        <v>3957.4837500000003</v>
      </c>
      <c r="AK241" s="18">
        <v>3957.48</v>
      </c>
      <c r="AL241" s="71" t="s">
        <v>653</v>
      </c>
      <c r="AM241" s="19" t="b">
        <f>AL241=O241</f>
        <v>1</v>
      </c>
      <c r="AN241" s="7">
        <f>VLOOKUP(A241,'base ZITRHR129'!$G$1:$H$628,2,0)</f>
        <v>30040917</v>
      </c>
      <c r="AO241" s="7" t="b">
        <f>AN241=R241</f>
        <v>1</v>
      </c>
      <c r="AP241" s="7">
        <f>VLOOKUP(A241,'base ZITRHR129'!G77:W703,17,0)</f>
        <v>3957.48</v>
      </c>
      <c r="AQ241" s="7" t="b">
        <f>AP241=AK241</f>
        <v>1</v>
      </c>
      <c r="AR241" s="78"/>
    </row>
    <row r="242" spans="1:44" s="7" customFormat="1" x14ac:dyDescent="0.25">
      <c r="A242" s="7">
        <v>10041363</v>
      </c>
      <c r="B242" s="8" t="s">
        <v>265</v>
      </c>
      <c r="C242" s="8" t="s">
        <v>688</v>
      </c>
      <c r="D242" s="8" t="s">
        <v>717</v>
      </c>
      <c r="E242" s="8" t="s">
        <v>723</v>
      </c>
      <c r="F242" s="8" t="s">
        <v>1406</v>
      </c>
      <c r="G242" s="8" t="s">
        <v>19</v>
      </c>
      <c r="H242" s="9">
        <v>16</v>
      </c>
      <c r="I242" s="8" t="s">
        <v>661</v>
      </c>
      <c r="J242" s="8" t="s">
        <v>1013</v>
      </c>
      <c r="K242" s="8" t="s">
        <v>16</v>
      </c>
      <c r="L242" s="8" t="s">
        <v>17</v>
      </c>
      <c r="M242" s="10" t="s">
        <v>688</v>
      </c>
      <c r="N242" s="10" t="s">
        <v>717</v>
      </c>
      <c r="O242" s="10" t="s">
        <v>661</v>
      </c>
      <c r="P242" s="1"/>
      <c r="Q242" s="11" t="b">
        <f>O242=P242</f>
        <v>0</v>
      </c>
      <c r="R242" s="30">
        <v>30040918</v>
      </c>
      <c r="S242" s="1"/>
      <c r="T242" s="11" t="b">
        <f>R242=S242</f>
        <v>0</v>
      </c>
      <c r="U242" s="10" t="s">
        <v>16</v>
      </c>
      <c r="V242" s="1"/>
      <c r="W242" s="11" t="b">
        <f>U242=V242</f>
        <v>0</v>
      </c>
      <c r="X242" s="13" t="s">
        <v>15</v>
      </c>
      <c r="Y242" s="1"/>
      <c r="Z242" s="1"/>
      <c r="AA242" s="59">
        <v>22002460</v>
      </c>
      <c r="AB242" s="10" t="s">
        <v>1409</v>
      </c>
      <c r="AD242" s="11" t="b">
        <f>AB242=AC242</f>
        <v>0</v>
      </c>
      <c r="AE242" s="10" t="s">
        <v>19</v>
      </c>
      <c r="AF242" s="1"/>
      <c r="AG242" s="11" t="b">
        <f>AE242=AF242</f>
        <v>0</v>
      </c>
      <c r="AH242" s="1">
        <v>16</v>
      </c>
      <c r="AI242" s="1">
        <v>10.26</v>
      </c>
      <c r="AJ242" s="16">
        <f>AI242*220/30*30.4375</f>
        <v>2290.1174999999998</v>
      </c>
      <c r="AK242" s="18">
        <v>2290.12</v>
      </c>
      <c r="AL242" s="71" t="s">
        <v>661</v>
      </c>
      <c r="AM242" s="19" t="b">
        <f>AL242=O242</f>
        <v>1</v>
      </c>
      <c r="AN242" s="7">
        <f>VLOOKUP(A242,'base ZITRHR129'!$G$1:$H$628,2,0)</f>
        <v>30040918</v>
      </c>
      <c r="AO242" s="7" t="b">
        <f>AN242=R242</f>
        <v>1</v>
      </c>
      <c r="AP242" s="7">
        <f>VLOOKUP(A242,'base ZITRHR129'!G76:W702,17,0)</f>
        <v>2290.12</v>
      </c>
      <c r="AQ242" s="7" t="b">
        <f>AP242=AK242</f>
        <v>1</v>
      </c>
      <c r="AR242" s="78"/>
    </row>
    <row r="243" spans="1:44" s="7" customFormat="1" x14ac:dyDescent="0.25">
      <c r="A243" s="7">
        <v>10041544</v>
      </c>
      <c r="B243" s="8" t="s">
        <v>266</v>
      </c>
      <c r="C243" s="8" t="s">
        <v>680</v>
      </c>
      <c r="D243" s="8" t="s">
        <v>717</v>
      </c>
      <c r="E243" s="8" t="s">
        <v>729</v>
      </c>
      <c r="F243" s="8" t="s">
        <v>1406</v>
      </c>
      <c r="G243" s="8" t="s">
        <v>758</v>
      </c>
      <c r="H243" s="9">
        <v>17</v>
      </c>
      <c r="I243" s="8" t="s">
        <v>654</v>
      </c>
      <c r="J243" s="8" t="s">
        <v>1014</v>
      </c>
      <c r="K243" s="8" t="s">
        <v>16</v>
      </c>
      <c r="L243" s="8" t="s">
        <v>17</v>
      </c>
      <c r="M243" s="10" t="s">
        <v>680</v>
      </c>
      <c r="N243" s="10" t="s">
        <v>717</v>
      </c>
      <c r="O243" s="10" t="s">
        <v>654</v>
      </c>
      <c r="P243" s="1"/>
      <c r="Q243" s="11" t="b">
        <f>O243=P243</f>
        <v>0</v>
      </c>
      <c r="R243" s="30">
        <v>30040919</v>
      </c>
      <c r="S243" s="1"/>
      <c r="T243" s="11" t="b">
        <f>R243=S243</f>
        <v>0</v>
      </c>
      <c r="U243" s="10" t="s">
        <v>16</v>
      </c>
      <c r="V243" s="1"/>
      <c r="W243" s="11" t="b">
        <f>U243=V243</f>
        <v>0</v>
      </c>
      <c r="X243" s="13" t="s">
        <v>15</v>
      </c>
      <c r="Y243" s="1"/>
      <c r="Z243" s="1"/>
      <c r="AA243" s="10">
        <v>22002447</v>
      </c>
      <c r="AB243" s="10" t="s">
        <v>1409</v>
      </c>
      <c r="AD243" s="11" t="b">
        <f>AB243=AC243</f>
        <v>0</v>
      </c>
      <c r="AE243" s="10" t="s">
        <v>758</v>
      </c>
      <c r="AF243" s="1"/>
      <c r="AG243" s="11" t="b">
        <f>AE243=AF243</f>
        <v>0</v>
      </c>
      <c r="AH243" s="1">
        <v>17</v>
      </c>
      <c r="AI243" s="1">
        <v>14.48</v>
      </c>
      <c r="AJ243" s="16">
        <f>AI243*220/30*30.4375</f>
        <v>3232.0566666666668</v>
      </c>
      <c r="AK243" s="18">
        <v>3232.06</v>
      </c>
      <c r="AL243" s="71" t="s">
        <v>654</v>
      </c>
      <c r="AM243" s="19" t="b">
        <f>AL243=O243</f>
        <v>1</v>
      </c>
      <c r="AN243" s="7">
        <f>VLOOKUP(A243,'base ZITRHR129'!$G$1:$H$628,2,0)</f>
        <v>30040919</v>
      </c>
      <c r="AO243" s="7" t="b">
        <f>AN243=R243</f>
        <v>1</v>
      </c>
      <c r="AP243" s="7">
        <f>VLOOKUP(A243,'base ZITRHR129'!G75:W701,17,0)</f>
        <v>3232.06</v>
      </c>
      <c r="AQ243" s="7" t="b">
        <f>AP243=AK243</f>
        <v>1</v>
      </c>
      <c r="AR243" s="78"/>
    </row>
    <row r="244" spans="1:44" s="7" customFormat="1" x14ac:dyDescent="0.25">
      <c r="A244" s="7">
        <v>10041591</v>
      </c>
      <c r="B244" s="8" t="s">
        <v>267</v>
      </c>
      <c r="C244" s="8" t="s">
        <v>686</v>
      </c>
      <c r="D244" s="8" t="s">
        <v>717</v>
      </c>
      <c r="E244" s="8" t="s">
        <v>723</v>
      </c>
      <c r="F244" s="8" t="s">
        <v>1406</v>
      </c>
      <c r="G244" s="8" t="s">
        <v>19</v>
      </c>
      <c r="H244" s="9">
        <v>16</v>
      </c>
      <c r="I244" s="8" t="s">
        <v>659</v>
      </c>
      <c r="J244" s="8" t="s">
        <v>1015</v>
      </c>
      <c r="K244" s="8" t="s">
        <v>6</v>
      </c>
      <c r="L244" s="8" t="s">
        <v>17</v>
      </c>
      <c r="M244" s="10" t="s">
        <v>686</v>
      </c>
      <c r="N244" s="10" t="s">
        <v>717</v>
      </c>
      <c r="O244" s="10" t="s">
        <v>659</v>
      </c>
      <c r="P244" s="1"/>
      <c r="Q244" s="11" t="b">
        <f>O244=P244</f>
        <v>0</v>
      </c>
      <c r="R244" s="30">
        <v>30040920</v>
      </c>
      <c r="S244" s="1"/>
      <c r="T244" s="11" t="b">
        <f>R244=S244</f>
        <v>0</v>
      </c>
      <c r="U244" s="10" t="s">
        <v>6</v>
      </c>
      <c r="V244" s="1"/>
      <c r="W244" s="11" t="b">
        <f>U244=V244</f>
        <v>0</v>
      </c>
      <c r="X244" s="13" t="s">
        <v>15</v>
      </c>
      <c r="Y244" s="1"/>
      <c r="Z244" s="1"/>
      <c r="AA244" s="59">
        <v>22002460</v>
      </c>
      <c r="AB244" s="10" t="s">
        <v>1409</v>
      </c>
      <c r="AD244" s="11" t="b">
        <f>AB244=AC244</f>
        <v>0</v>
      </c>
      <c r="AE244" s="10" t="s">
        <v>19</v>
      </c>
      <c r="AF244" s="1"/>
      <c r="AG244" s="11" t="b">
        <f>AE244=AF244</f>
        <v>0</v>
      </c>
      <c r="AH244" s="1">
        <v>16</v>
      </c>
      <c r="AI244" s="1">
        <v>10.26</v>
      </c>
      <c r="AJ244" s="16">
        <f>AI244*220/30*30.4375</f>
        <v>2290.1174999999998</v>
      </c>
      <c r="AK244" s="18">
        <v>2290.12</v>
      </c>
      <c r="AL244" s="71" t="s">
        <v>659</v>
      </c>
      <c r="AM244" s="19" t="b">
        <f>AL244=O244</f>
        <v>1</v>
      </c>
      <c r="AN244" s="7">
        <f>VLOOKUP(A244,'base ZITRHR129'!$G$1:$H$628,2,0)</f>
        <v>30040920</v>
      </c>
      <c r="AO244" s="7" t="b">
        <f>AN244=R244</f>
        <v>1</v>
      </c>
      <c r="AP244" s="7">
        <f>VLOOKUP(A244,'base ZITRHR129'!G74:W700,17,0)</f>
        <v>2290.12</v>
      </c>
      <c r="AQ244" s="7" t="b">
        <f>AP244=AK244</f>
        <v>1</v>
      </c>
      <c r="AR244" s="78"/>
    </row>
    <row r="245" spans="1:44" s="7" customFormat="1" x14ac:dyDescent="0.25">
      <c r="A245" s="7">
        <v>10041647</v>
      </c>
      <c r="B245" s="8" t="s">
        <v>268</v>
      </c>
      <c r="C245" s="8" t="s">
        <v>711</v>
      </c>
      <c r="D245" s="8" t="s">
        <v>717</v>
      </c>
      <c r="E245" s="8" t="s">
        <v>719</v>
      </c>
      <c r="F245" s="8" t="s">
        <v>1406</v>
      </c>
      <c r="G245" s="8" t="s">
        <v>20</v>
      </c>
      <c r="H245" s="9">
        <v>19</v>
      </c>
      <c r="I245" s="8" t="s">
        <v>675</v>
      </c>
      <c r="J245" s="8" t="s">
        <v>1016</v>
      </c>
      <c r="K245" s="8" t="s">
        <v>16</v>
      </c>
      <c r="L245" s="8" t="s">
        <v>17</v>
      </c>
      <c r="M245" s="10" t="s">
        <v>711</v>
      </c>
      <c r="N245" s="10" t="s">
        <v>717</v>
      </c>
      <c r="O245" s="10" t="s">
        <v>675</v>
      </c>
      <c r="P245" s="1"/>
      <c r="Q245" s="11" t="b">
        <f>O245=P245</f>
        <v>0</v>
      </c>
      <c r="R245" s="30">
        <v>30040921</v>
      </c>
      <c r="S245" s="1"/>
      <c r="T245" s="11" t="b">
        <f>R245=S245</f>
        <v>0</v>
      </c>
      <c r="U245" s="10" t="s">
        <v>16</v>
      </c>
      <c r="V245" s="1"/>
      <c r="W245" s="11" t="b">
        <f>U245=V245</f>
        <v>0</v>
      </c>
      <c r="X245" s="13" t="s">
        <v>15</v>
      </c>
      <c r="Y245" s="1"/>
      <c r="Z245" s="1"/>
      <c r="AA245" s="59">
        <v>22002723</v>
      </c>
      <c r="AB245" s="10" t="s">
        <v>1409</v>
      </c>
      <c r="AD245" s="11" t="b">
        <f>AB245=AC245</f>
        <v>0</v>
      </c>
      <c r="AE245" s="10" t="s">
        <v>20</v>
      </c>
      <c r="AF245" s="1"/>
      <c r="AG245" s="11" t="b">
        <f>AE245=AF245</f>
        <v>0</v>
      </c>
      <c r="AH245" s="1">
        <v>19</v>
      </c>
      <c r="AI245" s="1">
        <v>14.04</v>
      </c>
      <c r="AJ245" s="16">
        <f>AI245*220/30*30.4375</f>
        <v>3133.8449999999998</v>
      </c>
      <c r="AK245" s="18">
        <v>3133.85</v>
      </c>
      <c r="AL245" s="71" t="s">
        <v>675</v>
      </c>
      <c r="AM245" s="19" t="b">
        <f>AL245=O245</f>
        <v>1</v>
      </c>
      <c r="AN245" s="7">
        <f>VLOOKUP(A245,'base ZITRHR129'!$G$1:$H$628,2,0)</f>
        <v>30040921</v>
      </c>
      <c r="AO245" s="7" t="b">
        <f>AN245=R245</f>
        <v>1</v>
      </c>
      <c r="AP245" s="7">
        <f>VLOOKUP(A245,'base ZITRHR129'!G73:W699,17,0)</f>
        <v>3133.85</v>
      </c>
      <c r="AQ245" s="7" t="b">
        <f>AP245=AK245</f>
        <v>1</v>
      </c>
      <c r="AR245" s="78"/>
    </row>
    <row r="246" spans="1:44" s="7" customFormat="1" x14ac:dyDescent="0.25">
      <c r="A246" s="7">
        <v>10041708</v>
      </c>
      <c r="B246" s="8" t="s">
        <v>269</v>
      </c>
      <c r="C246" s="8" t="s">
        <v>679</v>
      </c>
      <c r="D246" s="8" t="s">
        <v>717</v>
      </c>
      <c r="E246" s="8" t="s">
        <v>720</v>
      </c>
      <c r="F246" s="8" t="s">
        <v>1406</v>
      </c>
      <c r="G246" s="8" t="s">
        <v>751</v>
      </c>
      <c r="H246" s="9">
        <v>18</v>
      </c>
      <c r="I246" s="8" t="s">
        <v>653</v>
      </c>
      <c r="J246" s="8" t="s">
        <v>1017</v>
      </c>
      <c r="K246" s="8" t="s">
        <v>16</v>
      </c>
      <c r="L246" s="8" t="s">
        <v>17</v>
      </c>
      <c r="M246" s="10" t="s">
        <v>679</v>
      </c>
      <c r="N246" s="10" t="s">
        <v>717</v>
      </c>
      <c r="O246" s="10" t="s">
        <v>653</v>
      </c>
      <c r="P246" s="1"/>
      <c r="Q246" s="11" t="b">
        <f>O246=P246</f>
        <v>0</v>
      </c>
      <c r="R246" s="30">
        <v>30040922</v>
      </c>
      <c r="S246" s="1"/>
      <c r="T246" s="11" t="b">
        <f>R246=S246</f>
        <v>0</v>
      </c>
      <c r="U246" s="10" t="s">
        <v>16</v>
      </c>
      <c r="V246" s="1"/>
      <c r="W246" s="11" t="b">
        <f>U246=V246</f>
        <v>0</v>
      </c>
      <c r="X246" s="13" t="s">
        <v>15</v>
      </c>
      <c r="Y246" s="1"/>
      <c r="Z246" s="1"/>
      <c r="AA246" s="59">
        <v>22003015</v>
      </c>
      <c r="AB246" s="10" t="s">
        <v>1409</v>
      </c>
      <c r="AD246" s="11" t="b">
        <f>AB246=AC246</f>
        <v>0</v>
      </c>
      <c r="AE246" s="10" t="s">
        <v>751</v>
      </c>
      <c r="AF246" s="1"/>
      <c r="AG246" s="11" t="b">
        <f>AE246=AF246</f>
        <v>0</v>
      </c>
      <c r="AH246" s="1">
        <v>18</v>
      </c>
      <c r="AI246" s="1">
        <v>17.73</v>
      </c>
      <c r="AJ246" s="16">
        <f>AI246*220/30*30.4375</f>
        <v>3957.4837500000003</v>
      </c>
      <c r="AK246" s="18">
        <v>3957.48</v>
      </c>
      <c r="AL246" s="71" t="s">
        <v>653</v>
      </c>
      <c r="AM246" s="19" t="b">
        <f>AL246=O246</f>
        <v>1</v>
      </c>
      <c r="AN246" s="7">
        <f>VLOOKUP(A246,'base ZITRHR129'!$G$1:$H$628,2,0)</f>
        <v>30040922</v>
      </c>
      <c r="AO246" s="7" t="b">
        <f>AN246=R246</f>
        <v>1</v>
      </c>
      <c r="AP246" s="7">
        <f>VLOOKUP(A246,'base ZITRHR129'!G72:W698,17,0)</f>
        <v>3957.48</v>
      </c>
      <c r="AQ246" s="7" t="b">
        <f>AP246=AK246</f>
        <v>1</v>
      </c>
      <c r="AR246" s="78"/>
    </row>
    <row r="247" spans="1:44" s="7" customFormat="1" x14ac:dyDescent="0.25">
      <c r="A247" s="7">
        <v>10041795</v>
      </c>
      <c r="B247" s="8" t="s">
        <v>270</v>
      </c>
      <c r="C247" s="8" t="s">
        <v>706</v>
      </c>
      <c r="D247" s="8" t="s">
        <v>717</v>
      </c>
      <c r="E247" s="8" t="s">
        <v>724</v>
      </c>
      <c r="F247" s="8" t="s">
        <v>1406</v>
      </c>
      <c r="G247" s="8" t="s">
        <v>21</v>
      </c>
      <c r="H247" s="9">
        <v>16</v>
      </c>
      <c r="I247" s="8" t="s">
        <v>660</v>
      </c>
      <c r="J247" s="8" t="s">
        <v>1018</v>
      </c>
      <c r="K247" s="8" t="s">
        <v>16</v>
      </c>
      <c r="L247" s="8" t="s">
        <v>17</v>
      </c>
      <c r="M247" s="10" t="s">
        <v>706</v>
      </c>
      <c r="N247" s="10" t="s">
        <v>717</v>
      </c>
      <c r="O247" s="10" t="s">
        <v>660</v>
      </c>
      <c r="P247" s="1"/>
      <c r="Q247" s="11" t="b">
        <f>O247=P247</f>
        <v>0</v>
      </c>
      <c r="R247" s="30">
        <v>30040923</v>
      </c>
      <c r="S247" s="1"/>
      <c r="T247" s="11" t="b">
        <f>R247=S247</f>
        <v>0</v>
      </c>
      <c r="U247" s="10" t="s">
        <v>16</v>
      </c>
      <c r="V247" s="1"/>
      <c r="W247" s="11" t="b">
        <f>U247=V247</f>
        <v>0</v>
      </c>
      <c r="X247" s="13" t="s">
        <v>15</v>
      </c>
      <c r="Y247" s="1"/>
      <c r="Z247" s="1"/>
      <c r="AA247" s="59">
        <v>22002616</v>
      </c>
      <c r="AB247" s="10" t="s">
        <v>1409</v>
      </c>
      <c r="AD247" s="11" t="b">
        <f>AB247=AC247</f>
        <v>0</v>
      </c>
      <c r="AE247" s="10" t="s">
        <v>21</v>
      </c>
      <c r="AF247" s="1"/>
      <c r="AG247" s="11" t="b">
        <f>AE247=AF247</f>
        <v>0</v>
      </c>
      <c r="AH247" s="1">
        <v>16</v>
      </c>
      <c r="AI247" s="1">
        <v>11.71</v>
      </c>
      <c r="AJ247" s="16">
        <f>AI247*220/30*30.4375</f>
        <v>2613.7695833333337</v>
      </c>
      <c r="AK247" s="18">
        <v>2613.77</v>
      </c>
      <c r="AL247" s="71" t="s">
        <v>660</v>
      </c>
      <c r="AM247" s="19" t="b">
        <f>AL247=O247</f>
        <v>1</v>
      </c>
      <c r="AN247" s="7">
        <f>VLOOKUP(A247,'base ZITRHR129'!$G$1:$H$628,2,0)</f>
        <v>30040923</v>
      </c>
      <c r="AO247" s="7" t="b">
        <f>AN247=R247</f>
        <v>1</v>
      </c>
      <c r="AP247" s="7">
        <f>VLOOKUP(A247,'base ZITRHR129'!G71:W697,17,0)</f>
        <v>2613.77</v>
      </c>
      <c r="AQ247" s="7" t="b">
        <f>AP247=AK247</f>
        <v>1</v>
      </c>
      <c r="AR247" s="78"/>
    </row>
    <row r="248" spans="1:44" s="7" customFormat="1" x14ac:dyDescent="0.25">
      <c r="A248" s="7">
        <v>10041842</v>
      </c>
      <c r="B248" s="8" t="s">
        <v>271</v>
      </c>
      <c r="C248" s="8" t="s">
        <v>710</v>
      </c>
      <c r="D248" s="8" t="s">
        <v>717</v>
      </c>
      <c r="E248" s="8" t="s">
        <v>724</v>
      </c>
      <c r="F248" s="8" t="s">
        <v>1406</v>
      </c>
      <c r="G248" s="8" t="s">
        <v>21</v>
      </c>
      <c r="H248" s="9">
        <v>16</v>
      </c>
      <c r="I248" s="8" t="s">
        <v>674</v>
      </c>
      <c r="J248" s="8" t="s">
        <v>1019</v>
      </c>
      <c r="K248" s="8" t="s">
        <v>16</v>
      </c>
      <c r="L248" s="8" t="s">
        <v>17</v>
      </c>
      <c r="M248" s="10" t="s">
        <v>710</v>
      </c>
      <c r="N248" s="10" t="s">
        <v>717</v>
      </c>
      <c r="O248" s="10" t="s">
        <v>674</v>
      </c>
      <c r="P248" s="1"/>
      <c r="Q248" s="11" t="b">
        <f>O248=P248</f>
        <v>0</v>
      </c>
      <c r="R248" s="30">
        <v>30040924</v>
      </c>
      <c r="S248" s="1"/>
      <c r="T248" s="11" t="b">
        <f>R248=S248</f>
        <v>0</v>
      </c>
      <c r="U248" s="10" t="s">
        <v>16</v>
      </c>
      <c r="V248" s="1"/>
      <c r="W248" s="11" t="b">
        <f>U248=V248</f>
        <v>0</v>
      </c>
      <c r="X248" s="13" t="s">
        <v>15</v>
      </c>
      <c r="Y248" s="1"/>
      <c r="Z248" s="1"/>
      <c r="AA248" s="59">
        <v>22002616</v>
      </c>
      <c r="AB248" s="10" t="s">
        <v>1409</v>
      </c>
      <c r="AD248" s="11" t="b">
        <f>AB248=AC248</f>
        <v>0</v>
      </c>
      <c r="AE248" s="10" t="s">
        <v>21</v>
      </c>
      <c r="AF248" s="1"/>
      <c r="AG248" s="11" t="b">
        <f>AE248=AF248</f>
        <v>0</v>
      </c>
      <c r="AH248" s="1">
        <v>16</v>
      </c>
      <c r="AI248" s="1">
        <v>11.71</v>
      </c>
      <c r="AJ248" s="16">
        <f>AI248*220/30*30.4375</f>
        <v>2613.7695833333337</v>
      </c>
      <c r="AK248" s="18">
        <v>2613.77</v>
      </c>
      <c r="AL248" s="71" t="s">
        <v>674</v>
      </c>
      <c r="AM248" s="19" t="b">
        <f>AL248=O248</f>
        <v>1</v>
      </c>
      <c r="AN248" s="7">
        <f>VLOOKUP(A248,'base ZITRHR129'!$G$1:$H$628,2,0)</f>
        <v>30040924</v>
      </c>
      <c r="AO248" s="7" t="b">
        <f>AN248=R248</f>
        <v>1</v>
      </c>
      <c r="AP248" s="7">
        <f>VLOOKUP(A248,'base ZITRHR129'!G70:W696,17,0)</f>
        <v>2613.77</v>
      </c>
      <c r="AQ248" s="7" t="b">
        <f>AP248=AK248</f>
        <v>1</v>
      </c>
      <c r="AR248" s="78"/>
    </row>
    <row r="249" spans="1:44" s="7" customFormat="1" x14ac:dyDescent="0.25">
      <c r="A249" s="7">
        <v>10041843</v>
      </c>
      <c r="B249" s="8" t="s">
        <v>272</v>
      </c>
      <c r="C249" s="8" t="s">
        <v>701</v>
      </c>
      <c r="D249" s="8" t="s">
        <v>717</v>
      </c>
      <c r="E249" s="8" t="s">
        <v>720</v>
      </c>
      <c r="F249" s="8" t="s">
        <v>1406</v>
      </c>
      <c r="G249" s="8" t="s">
        <v>751</v>
      </c>
      <c r="H249" s="9">
        <v>18</v>
      </c>
      <c r="I249" s="8" t="s">
        <v>668</v>
      </c>
      <c r="J249" s="8" t="s">
        <v>1020</v>
      </c>
      <c r="K249" s="8" t="s">
        <v>16</v>
      </c>
      <c r="L249" s="8" t="s">
        <v>17</v>
      </c>
      <c r="M249" s="10" t="s">
        <v>701</v>
      </c>
      <c r="N249" s="10" t="s">
        <v>717</v>
      </c>
      <c r="O249" s="10" t="s">
        <v>668</v>
      </c>
      <c r="P249" s="1"/>
      <c r="Q249" s="11" t="b">
        <f>O249=P249</f>
        <v>0</v>
      </c>
      <c r="R249" s="30">
        <v>30040925</v>
      </c>
      <c r="S249" s="1"/>
      <c r="T249" s="11" t="b">
        <f>R249=S249</f>
        <v>0</v>
      </c>
      <c r="U249" s="10" t="s">
        <v>16</v>
      </c>
      <c r="V249" s="1"/>
      <c r="W249" s="11" t="b">
        <f>U249=V249</f>
        <v>0</v>
      </c>
      <c r="X249" s="13" t="s">
        <v>15</v>
      </c>
      <c r="Y249" s="1"/>
      <c r="Z249" s="1"/>
      <c r="AA249" s="10">
        <v>22003015</v>
      </c>
      <c r="AB249" s="10" t="s">
        <v>1409</v>
      </c>
      <c r="AD249" s="11" t="b">
        <f>AB249=AC249</f>
        <v>0</v>
      </c>
      <c r="AE249" s="10" t="s">
        <v>751</v>
      </c>
      <c r="AF249" s="1"/>
      <c r="AG249" s="11" t="b">
        <f>AE249=AF249</f>
        <v>0</v>
      </c>
      <c r="AH249" s="1">
        <v>18</v>
      </c>
      <c r="AI249" s="1">
        <v>17.73</v>
      </c>
      <c r="AJ249" s="16">
        <f>AI249*220/30*30.4375</f>
        <v>3957.4837500000003</v>
      </c>
      <c r="AK249" s="18">
        <v>3957.48</v>
      </c>
      <c r="AL249" s="71" t="s">
        <v>668</v>
      </c>
      <c r="AM249" s="19" t="b">
        <f>AL249=O249</f>
        <v>1</v>
      </c>
      <c r="AN249" s="7">
        <f>VLOOKUP(A249,'base ZITRHR129'!$G$1:$H$628,2,0)</f>
        <v>30040925</v>
      </c>
      <c r="AO249" s="7" t="b">
        <f>AN249=R249</f>
        <v>1</v>
      </c>
      <c r="AP249" s="7">
        <f>VLOOKUP(A249,'base ZITRHR129'!G69:W695,17,0)</f>
        <v>3957.48</v>
      </c>
      <c r="AQ249" s="7" t="b">
        <f>AP249=AK249</f>
        <v>1</v>
      </c>
      <c r="AR249" s="78"/>
    </row>
    <row r="250" spans="1:44" s="7" customFormat="1" x14ac:dyDescent="0.25">
      <c r="A250" s="7">
        <v>10041965</v>
      </c>
      <c r="B250" s="8" t="s">
        <v>273</v>
      </c>
      <c r="C250" s="8" t="s">
        <v>684</v>
      </c>
      <c r="D250" s="8" t="s">
        <v>717</v>
      </c>
      <c r="E250" s="8" t="s">
        <v>720</v>
      </c>
      <c r="F250" s="8" t="s">
        <v>1406</v>
      </c>
      <c r="G250" s="8" t="s">
        <v>751</v>
      </c>
      <c r="H250" s="9">
        <v>18</v>
      </c>
      <c r="I250" s="8" t="s">
        <v>657</v>
      </c>
      <c r="J250" s="8" t="s">
        <v>1021</v>
      </c>
      <c r="K250" s="8" t="s">
        <v>16</v>
      </c>
      <c r="L250" s="8" t="s">
        <v>17</v>
      </c>
      <c r="M250" s="10" t="s">
        <v>684</v>
      </c>
      <c r="N250" s="10" t="s">
        <v>717</v>
      </c>
      <c r="O250" s="10" t="s">
        <v>657</v>
      </c>
      <c r="P250" s="1"/>
      <c r="Q250" s="11" t="b">
        <f>O250=P250</f>
        <v>0</v>
      </c>
      <c r="R250" s="30">
        <v>30040926</v>
      </c>
      <c r="S250" s="1"/>
      <c r="T250" s="11" t="b">
        <f>R250=S250</f>
        <v>0</v>
      </c>
      <c r="U250" s="10" t="s">
        <v>16</v>
      </c>
      <c r="V250" s="1"/>
      <c r="W250" s="11" t="b">
        <f>U250=V250</f>
        <v>0</v>
      </c>
      <c r="X250" s="13" t="s">
        <v>15</v>
      </c>
      <c r="Y250" s="1"/>
      <c r="Z250" s="1"/>
      <c r="AA250" s="10">
        <v>22003015</v>
      </c>
      <c r="AB250" s="10" t="s">
        <v>1409</v>
      </c>
      <c r="AD250" s="11" t="b">
        <f>AB250=AC250</f>
        <v>0</v>
      </c>
      <c r="AE250" s="10" t="s">
        <v>751</v>
      </c>
      <c r="AF250" s="1"/>
      <c r="AG250" s="11" t="b">
        <f>AE250=AF250</f>
        <v>0</v>
      </c>
      <c r="AH250" s="1">
        <v>18</v>
      </c>
      <c r="AI250" s="1">
        <v>17.73</v>
      </c>
      <c r="AJ250" s="16">
        <f>AI250*220/30*30.4375</f>
        <v>3957.4837500000003</v>
      </c>
      <c r="AK250" s="18">
        <v>3957.48</v>
      </c>
      <c r="AL250" s="71" t="s">
        <v>657</v>
      </c>
      <c r="AM250" s="19" t="b">
        <f>AL250=O250</f>
        <v>1</v>
      </c>
      <c r="AN250" s="7">
        <f>VLOOKUP(A250,'base ZITRHR129'!$G$1:$H$628,2,0)</f>
        <v>30040926</v>
      </c>
      <c r="AO250" s="7" t="b">
        <f>AN250=R250</f>
        <v>1</v>
      </c>
      <c r="AP250" s="7">
        <f>VLOOKUP(A250,'base ZITRHR129'!G68:W694,17,0)</f>
        <v>3957.48</v>
      </c>
      <c r="AQ250" s="7" t="b">
        <f>AP250=AK250</f>
        <v>1</v>
      </c>
      <c r="AR250" s="78"/>
    </row>
    <row r="251" spans="1:44" s="7" customFormat="1" x14ac:dyDescent="0.25">
      <c r="A251" s="7">
        <v>10041970</v>
      </c>
      <c r="B251" s="8" t="s">
        <v>274</v>
      </c>
      <c r="C251" s="8" t="s">
        <v>695</v>
      </c>
      <c r="D251" s="8" t="s">
        <v>717</v>
      </c>
      <c r="E251" s="8" t="s">
        <v>724</v>
      </c>
      <c r="F251" s="8" t="s">
        <v>1406</v>
      </c>
      <c r="G251" s="8" t="s">
        <v>21</v>
      </c>
      <c r="H251" s="9">
        <v>16</v>
      </c>
      <c r="I251" s="8" t="s">
        <v>660</v>
      </c>
      <c r="J251" s="8" t="s">
        <v>1022</v>
      </c>
      <c r="K251" s="8" t="s">
        <v>16</v>
      </c>
      <c r="L251" s="8" t="s">
        <v>17</v>
      </c>
      <c r="M251" s="10" t="s">
        <v>695</v>
      </c>
      <c r="N251" s="10" t="s">
        <v>717</v>
      </c>
      <c r="O251" s="10" t="s">
        <v>660</v>
      </c>
      <c r="P251" s="1"/>
      <c r="Q251" s="11" t="b">
        <f>O251=P251</f>
        <v>0</v>
      </c>
      <c r="R251" s="30">
        <v>30040927</v>
      </c>
      <c r="S251" s="1"/>
      <c r="T251" s="11" t="b">
        <f>R251=S251</f>
        <v>0</v>
      </c>
      <c r="U251" s="10" t="s">
        <v>16</v>
      </c>
      <c r="V251" s="1"/>
      <c r="W251" s="11" t="b">
        <f>U251=V251</f>
        <v>0</v>
      </c>
      <c r="X251" s="13" t="s">
        <v>15</v>
      </c>
      <c r="Y251" s="1"/>
      <c r="Z251" s="1"/>
      <c r="AA251" s="10">
        <v>22002616</v>
      </c>
      <c r="AB251" s="10" t="s">
        <v>1409</v>
      </c>
      <c r="AD251" s="11" t="b">
        <f>AB251=AC251</f>
        <v>0</v>
      </c>
      <c r="AE251" s="10" t="s">
        <v>21</v>
      </c>
      <c r="AF251" s="1"/>
      <c r="AG251" s="11" t="b">
        <f>AE251=AF251</f>
        <v>0</v>
      </c>
      <c r="AH251" s="1">
        <v>16</v>
      </c>
      <c r="AI251" s="1">
        <v>11.71</v>
      </c>
      <c r="AJ251" s="16">
        <f>AI251*220/30*30.4375</f>
        <v>2613.7695833333337</v>
      </c>
      <c r="AK251" s="18">
        <v>2613.77</v>
      </c>
      <c r="AL251" s="71" t="s">
        <v>660</v>
      </c>
      <c r="AM251" s="19" t="b">
        <f>AL251=O251</f>
        <v>1</v>
      </c>
      <c r="AN251" s="7">
        <f>VLOOKUP(A251,'base ZITRHR129'!$G$1:$H$628,2,0)</f>
        <v>30040927</v>
      </c>
      <c r="AO251" s="7" t="b">
        <f>AN251=R251</f>
        <v>1</v>
      </c>
      <c r="AP251" s="7">
        <f>VLOOKUP(A251,'base ZITRHR129'!G67:W693,17,0)</f>
        <v>2613.77</v>
      </c>
      <c r="AQ251" s="7" t="b">
        <f>AP251=AK251</f>
        <v>1</v>
      </c>
      <c r="AR251" s="78"/>
    </row>
    <row r="252" spans="1:44" s="7" customFormat="1" x14ac:dyDescent="0.25">
      <c r="A252" s="7">
        <v>10041976</v>
      </c>
      <c r="B252" s="8" t="s">
        <v>275</v>
      </c>
      <c r="C252" s="8" t="s">
        <v>695</v>
      </c>
      <c r="D252" s="8" t="s">
        <v>717</v>
      </c>
      <c r="E252" s="8" t="s">
        <v>724</v>
      </c>
      <c r="F252" s="8" t="s">
        <v>1406</v>
      </c>
      <c r="G252" s="8" t="s">
        <v>21</v>
      </c>
      <c r="H252" s="9">
        <v>16</v>
      </c>
      <c r="I252" s="8" t="s">
        <v>660</v>
      </c>
      <c r="J252" s="8" t="s">
        <v>1023</v>
      </c>
      <c r="K252" s="8" t="s">
        <v>16</v>
      </c>
      <c r="L252" s="8" t="s">
        <v>17</v>
      </c>
      <c r="M252" s="10" t="s">
        <v>695</v>
      </c>
      <c r="N252" s="10" t="s">
        <v>717</v>
      </c>
      <c r="O252" s="10" t="s">
        <v>660</v>
      </c>
      <c r="P252" s="1"/>
      <c r="Q252" s="11" t="b">
        <f>O252=P252</f>
        <v>0</v>
      </c>
      <c r="R252" s="30">
        <v>30040928</v>
      </c>
      <c r="S252" s="1"/>
      <c r="T252" s="11" t="b">
        <f>R252=S252</f>
        <v>0</v>
      </c>
      <c r="U252" s="10" t="s">
        <v>16</v>
      </c>
      <c r="V252" s="1"/>
      <c r="W252" s="11" t="b">
        <f>U252=V252</f>
        <v>0</v>
      </c>
      <c r="X252" s="13" t="s">
        <v>15</v>
      </c>
      <c r="Y252" s="1"/>
      <c r="Z252" s="1"/>
      <c r="AA252" s="10">
        <v>22002616</v>
      </c>
      <c r="AB252" s="10" t="s">
        <v>1409</v>
      </c>
      <c r="AD252" s="11" t="b">
        <f>AB252=AC252</f>
        <v>0</v>
      </c>
      <c r="AE252" s="10" t="s">
        <v>21</v>
      </c>
      <c r="AF252" s="1"/>
      <c r="AG252" s="11" t="b">
        <f>AE252=AF252</f>
        <v>0</v>
      </c>
      <c r="AH252" s="1">
        <v>16</v>
      </c>
      <c r="AI252" s="1">
        <v>11.71</v>
      </c>
      <c r="AJ252" s="16">
        <f>AI252*220/30*30.4375</f>
        <v>2613.7695833333337</v>
      </c>
      <c r="AK252" s="18">
        <v>2613.77</v>
      </c>
      <c r="AL252" s="71" t="s">
        <v>660</v>
      </c>
      <c r="AM252" s="19" t="b">
        <f>AL252=O252</f>
        <v>1</v>
      </c>
      <c r="AN252" s="7">
        <f>VLOOKUP(A252,'base ZITRHR129'!$G$1:$H$628,2,0)</f>
        <v>30040928</v>
      </c>
      <c r="AO252" s="7" t="b">
        <f>AN252=R252</f>
        <v>1</v>
      </c>
      <c r="AP252" s="7">
        <f>VLOOKUP(A252,'base ZITRHR129'!G66:W692,17,0)</f>
        <v>2613.77</v>
      </c>
      <c r="AQ252" s="7" t="b">
        <f>AP252=AK252</f>
        <v>1</v>
      </c>
      <c r="AR252" s="78"/>
    </row>
    <row r="253" spans="1:44" s="7" customFormat="1" x14ac:dyDescent="0.25">
      <c r="A253" s="7">
        <v>10041978</v>
      </c>
      <c r="B253" s="8" t="s">
        <v>276</v>
      </c>
      <c r="C253" s="8" t="s">
        <v>710</v>
      </c>
      <c r="D253" s="8" t="s">
        <v>717</v>
      </c>
      <c r="E253" s="8" t="s">
        <v>724</v>
      </c>
      <c r="F253" s="8" t="s">
        <v>1406</v>
      </c>
      <c r="G253" s="8" t="s">
        <v>21</v>
      </c>
      <c r="H253" s="9">
        <v>16</v>
      </c>
      <c r="I253" s="8" t="s">
        <v>674</v>
      </c>
      <c r="J253" s="8" t="s">
        <v>1024</v>
      </c>
      <c r="K253" s="8" t="s">
        <v>16</v>
      </c>
      <c r="L253" s="8" t="s">
        <v>17</v>
      </c>
      <c r="M253" s="10" t="s">
        <v>710</v>
      </c>
      <c r="N253" s="10" t="s">
        <v>717</v>
      </c>
      <c r="O253" s="10" t="s">
        <v>674</v>
      </c>
      <c r="P253" s="1"/>
      <c r="Q253" s="11" t="b">
        <f>O253=P253</f>
        <v>0</v>
      </c>
      <c r="R253" s="30">
        <v>30040929</v>
      </c>
      <c r="S253" s="1"/>
      <c r="T253" s="11" t="b">
        <f>R253=S253</f>
        <v>0</v>
      </c>
      <c r="U253" s="10" t="s">
        <v>16</v>
      </c>
      <c r="V253" s="1"/>
      <c r="W253" s="11" t="b">
        <f>U253=V253</f>
        <v>0</v>
      </c>
      <c r="X253" s="13" t="s">
        <v>15</v>
      </c>
      <c r="Y253" s="1"/>
      <c r="Z253" s="1"/>
      <c r="AA253" s="59">
        <v>22002616</v>
      </c>
      <c r="AB253" s="10" t="s">
        <v>1409</v>
      </c>
      <c r="AD253" s="11" t="b">
        <f>AB253=AC253</f>
        <v>0</v>
      </c>
      <c r="AE253" s="10" t="s">
        <v>21</v>
      </c>
      <c r="AF253" s="1"/>
      <c r="AG253" s="11" t="b">
        <f>AE253=AF253</f>
        <v>0</v>
      </c>
      <c r="AH253" s="1">
        <v>16</v>
      </c>
      <c r="AI253" s="1">
        <v>11.71</v>
      </c>
      <c r="AJ253" s="16">
        <f>AI253*220/30*30.4375</f>
        <v>2613.7695833333337</v>
      </c>
      <c r="AK253" s="18">
        <v>2613.77</v>
      </c>
      <c r="AL253" s="71" t="s">
        <v>674</v>
      </c>
      <c r="AM253" s="19" t="b">
        <f>AL253=O253</f>
        <v>1</v>
      </c>
      <c r="AN253" s="7">
        <f>VLOOKUP(A253,'base ZITRHR129'!$G$1:$H$628,2,0)</f>
        <v>30040929</v>
      </c>
      <c r="AO253" s="7" t="b">
        <f>AN253=R253</f>
        <v>1</v>
      </c>
      <c r="AP253" s="7">
        <f>VLOOKUP(A253,'base ZITRHR129'!G65:W691,17,0)</f>
        <v>2613.77</v>
      </c>
      <c r="AQ253" s="7" t="b">
        <f>AP253=AK253</f>
        <v>1</v>
      </c>
      <c r="AR253" s="78"/>
    </row>
    <row r="254" spans="1:44" s="7" customFormat="1" x14ac:dyDescent="0.25">
      <c r="A254" s="7">
        <v>10041980</v>
      </c>
      <c r="B254" s="8" t="s">
        <v>277</v>
      </c>
      <c r="C254" s="8" t="s">
        <v>695</v>
      </c>
      <c r="D254" s="8" t="s">
        <v>717</v>
      </c>
      <c r="E254" s="8" t="s">
        <v>724</v>
      </c>
      <c r="F254" s="8" t="s">
        <v>1406</v>
      </c>
      <c r="G254" s="8" t="s">
        <v>21</v>
      </c>
      <c r="H254" s="9">
        <v>16</v>
      </c>
      <c r="I254" s="8" t="s">
        <v>660</v>
      </c>
      <c r="J254" s="8" t="s">
        <v>1025</v>
      </c>
      <c r="K254" s="8" t="s">
        <v>16</v>
      </c>
      <c r="L254" s="8" t="s">
        <v>17</v>
      </c>
      <c r="M254" s="10" t="s">
        <v>695</v>
      </c>
      <c r="N254" s="10" t="s">
        <v>717</v>
      </c>
      <c r="O254" s="10" t="s">
        <v>660</v>
      </c>
      <c r="P254" s="1"/>
      <c r="Q254" s="11" t="b">
        <f>O254=P254</f>
        <v>0</v>
      </c>
      <c r="R254" s="30">
        <v>30040930</v>
      </c>
      <c r="S254" s="1"/>
      <c r="T254" s="11" t="b">
        <f>R254=S254</f>
        <v>0</v>
      </c>
      <c r="U254" s="10" t="s">
        <v>16</v>
      </c>
      <c r="V254" s="1"/>
      <c r="W254" s="11" t="b">
        <f>U254=V254</f>
        <v>0</v>
      </c>
      <c r="X254" s="13" t="s">
        <v>15</v>
      </c>
      <c r="Y254" s="1"/>
      <c r="Z254" s="1"/>
      <c r="AA254" s="10">
        <v>22002616</v>
      </c>
      <c r="AB254" s="10" t="s">
        <v>1409</v>
      </c>
      <c r="AD254" s="11" t="b">
        <f>AB254=AC254</f>
        <v>0</v>
      </c>
      <c r="AE254" s="10" t="s">
        <v>21</v>
      </c>
      <c r="AF254" s="1"/>
      <c r="AG254" s="11" t="b">
        <f>AE254=AF254</f>
        <v>0</v>
      </c>
      <c r="AH254" s="1">
        <v>16</v>
      </c>
      <c r="AI254" s="1">
        <v>11.71</v>
      </c>
      <c r="AJ254" s="16">
        <f>AI254*220/30*30.4375</f>
        <v>2613.7695833333337</v>
      </c>
      <c r="AK254" s="18">
        <v>2613.77</v>
      </c>
      <c r="AL254" s="71" t="s">
        <v>660</v>
      </c>
      <c r="AM254" s="19" t="b">
        <f>AL254=O254</f>
        <v>1</v>
      </c>
      <c r="AN254" s="7">
        <f>VLOOKUP(A254,'base ZITRHR129'!$G$1:$H$628,2,0)</f>
        <v>30040930</v>
      </c>
      <c r="AO254" s="7" t="b">
        <f>AN254=R254</f>
        <v>1</v>
      </c>
      <c r="AP254" s="7">
        <f>VLOOKUP(A254,'base ZITRHR129'!G64:W690,17,0)</f>
        <v>2613.77</v>
      </c>
      <c r="AQ254" s="7" t="b">
        <f>AP254=AK254</f>
        <v>1</v>
      </c>
      <c r="AR254" s="78"/>
    </row>
    <row r="255" spans="1:44" s="7" customFormat="1" x14ac:dyDescent="0.25">
      <c r="A255" s="7">
        <v>10042022</v>
      </c>
      <c r="B255" s="8" t="s">
        <v>278</v>
      </c>
      <c r="C255" s="8" t="s">
        <v>706</v>
      </c>
      <c r="D255" s="8" t="s">
        <v>717</v>
      </c>
      <c r="E255" s="8" t="s">
        <v>724</v>
      </c>
      <c r="F255" s="8" t="s">
        <v>1406</v>
      </c>
      <c r="G255" s="8" t="s">
        <v>21</v>
      </c>
      <c r="H255" s="9">
        <v>16</v>
      </c>
      <c r="I255" s="8" t="s">
        <v>660</v>
      </c>
      <c r="J255" s="8" t="s">
        <v>1026</v>
      </c>
      <c r="K255" s="8" t="s">
        <v>16</v>
      </c>
      <c r="L255" s="8" t="s">
        <v>17</v>
      </c>
      <c r="M255" s="10" t="s">
        <v>706</v>
      </c>
      <c r="N255" s="10" t="s">
        <v>717</v>
      </c>
      <c r="O255" s="10" t="s">
        <v>660</v>
      </c>
      <c r="P255" s="1"/>
      <c r="Q255" s="11" t="b">
        <f>O255=P255</f>
        <v>0</v>
      </c>
      <c r="R255" s="30">
        <v>30040931</v>
      </c>
      <c r="S255" s="1"/>
      <c r="T255" s="11" t="b">
        <f>R255=S255</f>
        <v>0</v>
      </c>
      <c r="U255" s="10" t="s">
        <v>16</v>
      </c>
      <c r="V255" s="1"/>
      <c r="W255" s="11" t="b">
        <f>U255=V255</f>
        <v>0</v>
      </c>
      <c r="X255" s="13" t="s">
        <v>15</v>
      </c>
      <c r="Y255" s="1"/>
      <c r="Z255" s="1"/>
      <c r="AA255" s="10">
        <v>22002616</v>
      </c>
      <c r="AB255" s="10" t="s">
        <v>1409</v>
      </c>
      <c r="AD255" s="11" t="b">
        <f>AB255=AC255</f>
        <v>0</v>
      </c>
      <c r="AE255" s="10" t="s">
        <v>21</v>
      </c>
      <c r="AF255" s="1"/>
      <c r="AG255" s="11" t="b">
        <f>AE255=AF255</f>
        <v>0</v>
      </c>
      <c r="AH255" s="1">
        <v>16</v>
      </c>
      <c r="AI255" s="1">
        <v>11.71</v>
      </c>
      <c r="AJ255" s="16">
        <f>AI255*220/30*30.4375</f>
        <v>2613.7695833333337</v>
      </c>
      <c r="AK255" s="18">
        <v>2613.77</v>
      </c>
      <c r="AL255" s="71" t="s">
        <v>660</v>
      </c>
      <c r="AM255" s="19" t="b">
        <f>AL255=O255</f>
        <v>1</v>
      </c>
      <c r="AN255" s="7">
        <f>VLOOKUP(A255,'base ZITRHR129'!$G$1:$H$628,2,0)</f>
        <v>30040931</v>
      </c>
      <c r="AO255" s="7" t="b">
        <f>AN255=R255</f>
        <v>1</v>
      </c>
      <c r="AP255" s="7">
        <f>VLOOKUP(A255,'base ZITRHR129'!G63:W689,17,0)</f>
        <v>2613.77</v>
      </c>
      <c r="AQ255" s="7" t="b">
        <f>AP255=AK255</f>
        <v>1</v>
      </c>
      <c r="AR255" s="78"/>
    </row>
    <row r="256" spans="1:44" s="7" customFormat="1" x14ac:dyDescent="0.25">
      <c r="A256" s="7">
        <v>10042228</v>
      </c>
      <c r="B256" s="8" t="s">
        <v>279</v>
      </c>
      <c r="C256" s="8" t="s">
        <v>679</v>
      </c>
      <c r="D256" s="8" t="s">
        <v>717</v>
      </c>
      <c r="E256" s="8" t="s">
        <v>720</v>
      </c>
      <c r="F256" s="8" t="s">
        <v>1406</v>
      </c>
      <c r="G256" s="8" t="s">
        <v>751</v>
      </c>
      <c r="H256" s="9">
        <v>18</v>
      </c>
      <c r="I256" s="8" t="s">
        <v>653</v>
      </c>
      <c r="J256" s="8" t="s">
        <v>1027</v>
      </c>
      <c r="K256" s="8" t="s">
        <v>16</v>
      </c>
      <c r="L256" s="8" t="s">
        <v>17</v>
      </c>
      <c r="M256" s="10" t="s">
        <v>679</v>
      </c>
      <c r="N256" s="10" t="s">
        <v>717</v>
      </c>
      <c r="O256" s="10" t="s">
        <v>653</v>
      </c>
      <c r="P256" s="1"/>
      <c r="Q256" s="11" t="b">
        <f>O256=P256</f>
        <v>0</v>
      </c>
      <c r="R256" s="30">
        <v>30040932</v>
      </c>
      <c r="S256" s="1"/>
      <c r="T256" s="11" t="b">
        <f>R256=S256</f>
        <v>0</v>
      </c>
      <c r="U256" s="10" t="s">
        <v>16</v>
      </c>
      <c r="V256" s="1"/>
      <c r="W256" s="11" t="b">
        <f>U256=V256</f>
        <v>0</v>
      </c>
      <c r="X256" s="13" t="s">
        <v>15</v>
      </c>
      <c r="Y256" s="1"/>
      <c r="Z256" s="1"/>
      <c r="AA256" s="10">
        <v>22003015</v>
      </c>
      <c r="AB256" s="10" t="s">
        <v>1409</v>
      </c>
      <c r="AD256" s="11" t="b">
        <f>AB256=AC256</f>
        <v>0</v>
      </c>
      <c r="AE256" s="10" t="s">
        <v>751</v>
      </c>
      <c r="AF256" s="1"/>
      <c r="AG256" s="11" t="b">
        <f>AE256=AF256</f>
        <v>0</v>
      </c>
      <c r="AH256" s="1">
        <v>18</v>
      </c>
      <c r="AI256" s="1">
        <v>17.73</v>
      </c>
      <c r="AJ256" s="16">
        <f>AI256*220/30*30.4375</f>
        <v>3957.4837500000003</v>
      </c>
      <c r="AK256" s="18">
        <v>3957.48</v>
      </c>
      <c r="AL256" s="71" t="s">
        <v>653</v>
      </c>
      <c r="AM256" s="19" t="b">
        <f>AL256=O256</f>
        <v>1</v>
      </c>
      <c r="AN256" s="7">
        <f>VLOOKUP(A256,'base ZITRHR129'!$G$1:$H$628,2,0)</f>
        <v>30040932</v>
      </c>
      <c r="AO256" s="7" t="b">
        <f>AN256=R256</f>
        <v>1</v>
      </c>
      <c r="AP256" s="7">
        <f>VLOOKUP(A256,'base ZITRHR129'!G62:W688,17,0)</f>
        <v>3957.48</v>
      </c>
      <c r="AQ256" s="7" t="b">
        <f>AP256=AK256</f>
        <v>1</v>
      </c>
      <c r="AR256" s="78"/>
    </row>
    <row r="257" spans="1:44" s="7" customFormat="1" x14ac:dyDescent="0.25">
      <c r="A257" s="7">
        <v>10042502</v>
      </c>
      <c r="B257" s="8" t="s">
        <v>280</v>
      </c>
      <c r="C257" s="8" t="s">
        <v>690</v>
      </c>
      <c r="D257" s="8" t="s">
        <v>717</v>
      </c>
      <c r="E257" s="8" t="s">
        <v>726</v>
      </c>
      <c r="F257" s="8" t="s">
        <v>1406</v>
      </c>
      <c r="G257" s="8" t="s">
        <v>755</v>
      </c>
      <c r="H257" s="9">
        <v>15</v>
      </c>
      <c r="I257" s="8" t="s">
        <v>663</v>
      </c>
      <c r="J257" s="8" t="s">
        <v>1028</v>
      </c>
      <c r="K257" s="8" t="s">
        <v>16</v>
      </c>
      <c r="L257" s="8" t="s">
        <v>17</v>
      </c>
      <c r="M257" s="10" t="s">
        <v>690</v>
      </c>
      <c r="N257" s="10" t="s">
        <v>717</v>
      </c>
      <c r="O257" s="10" t="s">
        <v>663</v>
      </c>
      <c r="P257" s="1"/>
      <c r="Q257" s="11" t="b">
        <f>O257=P257</f>
        <v>0</v>
      </c>
      <c r="R257" s="30">
        <v>30040933</v>
      </c>
      <c r="S257" s="1"/>
      <c r="T257" s="11" t="b">
        <f>R257=S257</f>
        <v>0</v>
      </c>
      <c r="U257" s="10" t="s">
        <v>16</v>
      </c>
      <c r="V257" s="1"/>
      <c r="W257" s="11" t="b">
        <f>U257=V257</f>
        <v>0</v>
      </c>
      <c r="X257" s="13" t="s">
        <v>15</v>
      </c>
      <c r="Y257" s="1"/>
      <c r="Z257" s="1"/>
      <c r="AA257" s="10">
        <v>22002617</v>
      </c>
      <c r="AB257" s="10" t="s">
        <v>1409</v>
      </c>
      <c r="AD257" s="11" t="b">
        <f>AB257=AC257</f>
        <v>0</v>
      </c>
      <c r="AE257" s="10" t="s">
        <v>755</v>
      </c>
      <c r="AF257" s="1"/>
      <c r="AG257" s="11" t="b">
        <f>AE257=AF257</f>
        <v>0</v>
      </c>
      <c r="AH257" s="1">
        <v>15</v>
      </c>
      <c r="AI257" s="1">
        <v>11.43</v>
      </c>
      <c r="AJ257" s="16">
        <f>AI257*220/30*30.4375</f>
        <v>2551.2712499999998</v>
      </c>
      <c r="AK257" s="18">
        <v>2551.27</v>
      </c>
      <c r="AL257" s="71" t="s">
        <v>663</v>
      </c>
      <c r="AM257" s="19" t="b">
        <f>AL257=O257</f>
        <v>1</v>
      </c>
      <c r="AN257" s="7">
        <f>VLOOKUP(A257,'base ZITRHR129'!$G$1:$H$628,2,0)</f>
        <v>30040933</v>
      </c>
      <c r="AO257" s="7" t="b">
        <f>AN257=R257</f>
        <v>1</v>
      </c>
      <c r="AP257" s="7">
        <f>VLOOKUP(A257,'base ZITRHR129'!G61:W687,17,0)</f>
        <v>2551.27</v>
      </c>
      <c r="AQ257" s="7" t="b">
        <f>AP257=AK257</f>
        <v>1</v>
      </c>
      <c r="AR257" s="78"/>
    </row>
    <row r="258" spans="1:44" s="7" customFormat="1" x14ac:dyDescent="0.25">
      <c r="A258" s="7">
        <v>10042513</v>
      </c>
      <c r="B258" s="8" t="s">
        <v>281</v>
      </c>
      <c r="C258" s="8" t="s">
        <v>679</v>
      </c>
      <c r="D258" s="8" t="s">
        <v>717</v>
      </c>
      <c r="E258" s="8" t="s">
        <v>720</v>
      </c>
      <c r="F258" s="8" t="s">
        <v>1406</v>
      </c>
      <c r="G258" s="8" t="s">
        <v>751</v>
      </c>
      <c r="H258" s="9">
        <v>18</v>
      </c>
      <c r="I258" s="8" t="s">
        <v>653</v>
      </c>
      <c r="J258" s="8" t="s">
        <v>1029</v>
      </c>
      <c r="K258" s="8" t="s">
        <v>16</v>
      </c>
      <c r="L258" s="8" t="s">
        <v>17</v>
      </c>
      <c r="M258" s="10" t="s">
        <v>679</v>
      </c>
      <c r="N258" s="10" t="s">
        <v>717</v>
      </c>
      <c r="O258" s="10" t="s">
        <v>653</v>
      </c>
      <c r="P258" s="1"/>
      <c r="Q258" s="11" t="b">
        <f>O258=P258</f>
        <v>0</v>
      </c>
      <c r="R258" s="30">
        <v>30040934</v>
      </c>
      <c r="S258" s="1"/>
      <c r="T258" s="11" t="b">
        <f>R258=S258</f>
        <v>0</v>
      </c>
      <c r="U258" s="10" t="s">
        <v>16</v>
      </c>
      <c r="V258" s="1"/>
      <c r="W258" s="11" t="b">
        <f>U258=V258</f>
        <v>0</v>
      </c>
      <c r="X258" s="13" t="s">
        <v>15</v>
      </c>
      <c r="Y258" s="1"/>
      <c r="Z258" s="1"/>
      <c r="AA258" s="59">
        <v>22003015</v>
      </c>
      <c r="AB258" s="10" t="s">
        <v>1409</v>
      </c>
      <c r="AD258" s="11" t="b">
        <f>AB258=AC258</f>
        <v>0</v>
      </c>
      <c r="AE258" s="10" t="s">
        <v>751</v>
      </c>
      <c r="AF258" s="1"/>
      <c r="AG258" s="11" t="b">
        <f>AE258=AF258</f>
        <v>0</v>
      </c>
      <c r="AH258" s="1">
        <v>18</v>
      </c>
      <c r="AI258" s="1">
        <v>17.73</v>
      </c>
      <c r="AJ258" s="16">
        <f>AI258*220/30*30.4375</f>
        <v>3957.4837500000003</v>
      </c>
      <c r="AK258" s="18">
        <v>3957.48</v>
      </c>
      <c r="AL258" s="71" t="s">
        <v>653</v>
      </c>
      <c r="AM258" s="19" t="b">
        <f>AL258=O258</f>
        <v>1</v>
      </c>
      <c r="AN258" s="7">
        <f>VLOOKUP(A258,'base ZITRHR129'!$G$1:$H$628,2,0)</f>
        <v>30040934</v>
      </c>
      <c r="AO258" s="7" t="b">
        <f>AN258=R258</f>
        <v>1</v>
      </c>
      <c r="AP258" s="7">
        <f>VLOOKUP(A258,'base ZITRHR129'!G60:W686,17,0)</f>
        <v>3957.48</v>
      </c>
      <c r="AQ258" s="7" t="b">
        <f>AP258=AK258</f>
        <v>1</v>
      </c>
      <c r="AR258" s="78"/>
    </row>
    <row r="259" spans="1:44" s="20" customFormat="1" x14ac:dyDescent="0.25">
      <c r="A259" s="7">
        <v>10042514</v>
      </c>
      <c r="B259" s="8" t="s">
        <v>282</v>
      </c>
      <c r="C259" s="8" t="s">
        <v>691</v>
      </c>
      <c r="D259" s="8" t="s">
        <v>717</v>
      </c>
      <c r="E259" s="8" t="s">
        <v>727</v>
      </c>
      <c r="F259" s="8" t="s">
        <v>1406</v>
      </c>
      <c r="G259" s="8" t="s">
        <v>756</v>
      </c>
      <c r="H259" s="9">
        <v>17</v>
      </c>
      <c r="I259" s="8" t="s">
        <v>664</v>
      </c>
      <c r="J259" s="8" t="s">
        <v>1030</v>
      </c>
      <c r="K259" s="8" t="s">
        <v>16</v>
      </c>
      <c r="L259" s="8" t="s">
        <v>17</v>
      </c>
      <c r="M259" s="10" t="s">
        <v>691</v>
      </c>
      <c r="N259" s="10" t="s">
        <v>717</v>
      </c>
      <c r="O259" s="10" t="s">
        <v>664</v>
      </c>
      <c r="P259" s="1"/>
      <c r="Q259" s="11" t="b">
        <f>O259=P259</f>
        <v>0</v>
      </c>
      <c r="R259" s="30">
        <v>30040935</v>
      </c>
      <c r="S259" s="1"/>
      <c r="T259" s="11" t="b">
        <f>R259=S259</f>
        <v>0</v>
      </c>
      <c r="U259" s="10" t="s">
        <v>16</v>
      </c>
      <c r="V259" s="1"/>
      <c r="W259" s="11" t="b">
        <f>U259=V259</f>
        <v>0</v>
      </c>
      <c r="X259" s="13" t="s">
        <v>15</v>
      </c>
      <c r="Y259" s="1"/>
      <c r="Z259" s="1"/>
      <c r="AA259" s="59">
        <v>22003017</v>
      </c>
      <c r="AB259" s="10" t="s">
        <v>1409</v>
      </c>
      <c r="AC259" s="7"/>
      <c r="AD259" s="11" t="b">
        <f>AB259=AC259</f>
        <v>0</v>
      </c>
      <c r="AE259" s="10" t="s">
        <v>756</v>
      </c>
      <c r="AF259" s="1"/>
      <c r="AG259" s="11" t="b">
        <f>AE259=AF259</f>
        <v>0</v>
      </c>
      <c r="AH259" s="1">
        <v>17</v>
      </c>
      <c r="AI259" s="1">
        <v>14.04</v>
      </c>
      <c r="AJ259" s="16">
        <f>AI259*220/30*30.4375</f>
        <v>3133.8449999999998</v>
      </c>
      <c r="AK259" s="18">
        <v>3133.85</v>
      </c>
      <c r="AL259" s="71" t="s">
        <v>664</v>
      </c>
      <c r="AM259" s="19" t="b">
        <f>AL259=O259</f>
        <v>1</v>
      </c>
      <c r="AN259" s="7">
        <f>VLOOKUP(A259,'base ZITRHR129'!$G$1:$H$628,2,0)</f>
        <v>30040935</v>
      </c>
      <c r="AO259" s="7" t="b">
        <f>AN259=R259</f>
        <v>1</v>
      </c>
      <c r="AP259" s="7">
        <f>VLOOKUP(A259,'base ZITRHR129'!G59:W685,17,0)</f>
        <v>3133.85</v>
      </c>
      <c r="AQ259" s="7" t="b">
        <f>AP259=AK259</f>
        <v>1</v>
      </c>
      <c r="AR259" s="78"/>
    </row>
    <row r="260" spans="1:44" s="7" customFormat="1" x14ac:dyDescent="0.25">
      <c r="A260" s="7">
        <v>10042624</v>
      </c>
      <c r="B260" s="8" t="s">
        <v>283</v>
      </c>
      <c r="C260" s="8" t="s">
        <v>701</v>
      </c>
      <c r="D260" s="8" t="s">
        <v>717</v>
      </c>
      <c r="E260" s="8" t="s">
        <v>720</v>
      </c>
      <c r="F260" s="8" t="s">
        <v>1406</v>
      </c>
      <c r="G260" s="8" t="s">
        <v>751</v>
      </c>
      <c r="H260" s="9">
        <v>18</v>
      </c>
      <c r="I260" s="8" t="s">
        <v>668</v>
      </c>
      <c r="J260" s="8" t="s">
        <v>1031</v>
      </c>
      <c r="K260" s="8" t="s">
        <v>16</v>
      </c>
      <c r="L260" s="8" t="s">
        <v>17</v>
      </c>
      <c r="M260" s="10" t="s">
        <v>701</v>
      </c>
      <c r="N260" s="10" t="s">
        <v>717</v>
      </c>
      <c r="O260" s="10" t="s">
        <v>668</v>
      </c>
      <c r="P260" s="1"/>
      <c r="Q260" s="11" t="b">
        <f>O260=P260</f>
        <v>0</v>
      </c>
      <c r="R260" s="30">
        <v>30040936</v>
      </c>
      <c r="S260" s="1"/>
      <c r="T260" s="11" t="b">
        <f>R260=S260</f>
        <v>0</v>
      </c>
      <c r="U260" s="10" t="s">
        <v>16</v>
      </c>
      <c r="V260" s="1"/>
      <c r="W260" s="11" t="b">
        <f>U260=V260</f>
        <v>0</v>
      </c>
      <c r="X260" s="13" t="s">
        <v>15</v>
      </c>
      <c r="Y260" s="1"/>
      <c r="Z260" s="1"/>
      <c r="AA260" s="10">
        <v>22003015</v>
      </c>
      <c r="AB260" s="10" t="s">
        <v>1409</v>
      </c>
      <c r="AD260" s="11" t="b">
        <f>AB260=AC260</f>
        <v>0</v>
      </c>
      <c r="AE260" s="10" t="s">
        <v>751</v>
      </c>
      <c r="AF260" s="1"/>
      <c r="AG260" s="11" t="b">
        <f>AE260=AF260</f>
        <v>0</v>
      </c>
      <c r="AH260" s="1">
        <v>18</v>
      </c>
      <c r="AI260" s="1">
        <v>13.14</v>
      </c>
      <c r="AJ260" s="16">
        <f>AI260*220/30*30.4375</f>
        <v>2932.9575</v>
      </c>
      <c r="AK260" s="18">
        <v>2932.96</v>
      </c>
      <c r="AL260" s="71" t="s">
        <v>668</v>
      </c>
      <c r="AM260" s="19" t="b">
        <f>AL260=O260</f>
        <v>1</v>
      </c>
      <c r="AN260" s="7">
        <f>VLOOKUP(A260,'base ZITRHR129'!$G$1:$H$628,2,0)</f>
        <v>30040936</v>
      </c>
      <c r="AO260" s="7" t="b">
        <f>AN260=R260</f>
        <v>1</v>
      </c>
      <c r="AP260" s="7">
        <f>VLOOKUP(A260,'base ZITRHR129'!G58:W684,17,0)</f>
        <v>2932.96</v>
      </c>
      <c r="AQ260" s="7" t="b">
        <f>AP260=AK260</f>
        <v>1</v>
      </c>
      <c r="AR260" s="78"/>
    </row>
    <row r="261" spans="1:44" s="20" customFormat="1" x14ac:dyDescent="0.25">
      <c r="A261" s="7">
        <v>10042747</v>
      </c>
      <c r="B261" s="8" t="s">
        <v>284</v>
      </c>
      <c r="C261" s="8" t="s">
        <v>684</v>
      </c>
      <c r="D261" s="8" t="s">
        <v>717</v>
      </c>
      <c r="E261" s="8" t="s">
        <v>720</v>
      </c>
      <c r="F261" s="8" t="s">
        <v>1406</v>
      </c>
      <c r="G261" s="8" t="s">
        <v>751</v>
      </c>
      <c r="H261" s="9">
        <v>18</v>
      </c>
      <c r="I261" s="8" t="s">
        <v>657</v>
      </c>
      <c r="J261" s="8" t="s">
        <v>1032</v>
      </c>
      <c r="K261" s="8" t="s">
        <v>16</v>
      </c>
      <c r="L261" s="8" t="s">
        <v>17</v>
      </c>
      <c r="M261" s="10" t="s">
        <v>684</v>
      </c>
      <c r="N261" s="10" t="s">
        <v>717</v>
      </c>
      <c r="O261" s="10" t="s">
        <v>657</v>
      </c>
      <c r="P261" s="1"/>
      <c r="Q261" s="11" t="b">
        <f>O261=P261</f>
        <v>0</v>
      </c>
      <c r="R261" s="30">
        <v>30040937</v>
      </c>
      <c r="S261" s="1"/>
      <c r="T261" s="11" t="b">
        <f>R261=S261</f>
        <v>0</v>
      </c>
      <c r="U261" s="10" t="s">
        <v>16</v>
      </c>
      <c r="V261" s="1"/>
      <c r="W261" s="11" t="b">
        <f>U261=V261</f>
        <v>0</v>
      </c>
      <c r="X261" s="13" t="s">
        <v>15</v>
      </c>
      <c r="Y261" s="1"/>
      <c r="Z261" s="1"/>
      <c r="AA261" s="59">
        <v>22003015</v>
      </c>
      <c r="AB261" s="10" t="s">
        <v>1409</v>
      </c>
      <c r="AC261" s="7"/>
      <c r="AD261" s="11" t="b">
        <f>AB261=AC261</f>
        <v>0</v>
      </c>
      <c r="AE261" s="10" t="s">
        <v>751</v>
      </c>
      <c r="AF261" s="1"/>
      <c r="AG261" s="11" t="b">
        <f>AE261=AF261</f>
        <v>0</v>
      </c>
      <c r="AH261" s="1">
        <v>18</v>
      </c>
      <c r="AI261" s="1">
        <v>15</v>
      </c>
      <c r="AJ261" s="16">
        <f>AI261*220/30*30.4375</f>
        <v>3348.125</v>
      </c>
      <c r="AK261" s="18">
        <v>3348.13</v>
      </c>
      <c r="AL261" s="71" t="s">
        <v>657</v>
      </c>
      <c r="AM261" s="19" t="b">
        <f>AL261=O261</f>
        <v>1</v>
      </c>
      <c r="AN261" s="7">
        <f>VLOOKUP(A261,'base ZITRHR129'!$G$1:$H$628,2,0)</f>
        <v>30040937</v>
      </c>
      <c r="AO261" s="7" t="b">
        <f>AN261=R261</f>
        <v>1</v>
      </c>
      <c r="AP261" s="7">
        <f>VLOOKUP(A261,'base ZITRHR129'!G57:W683,17,0)</f>
        <v>3348.13</v>
      </c>
      <c r="AQ261" s="7" t="b">
        <f>AP261=AK261</f>
        <v>1</v>
      </c>
      <c r="AR261" s="78"/>
    </row>
    <row r="262" spans="1:44" s="7" customFormat="1" x14ac:dyDescent="0.25">
      <c r="A262" s="7">
        <v>10043020</v>
      </c>
      <c r="B262" s="8" t="s">
        <v>285</v>
      </c>
      <c r="C262" s="8" t="s">
        <v>681</v>
      </c>
      <c r="D262" s="8" t="s">
        <v>717</v>
      </c>
      <c r="E262" s="8" t="s">
        <v>720</v>
      </c>
      <c r="F262" s="8" t="s">
        <v>1406</v>
      </c>
      <c r="G262" s="8" t="s">
        <v>751</v>
      </c>
      <c r="H262" s="9">
        <v>18</v>
      </c>
      <c r="I262" s="8" t="s">
        <v>653</v>
      </c>
      <c r="J262" s="8" t="s">
        <v>1033</v>
      </c>
      <c r="K262" s="8" t="s">
        <v>16</v>
      </c>
      <c r="L262" s="8" t="s">
        <v>17</v>
      </c>
      <c r="M262" s="10" t="s">
        <v>681</v>
      </c>
      <c r="N262" s="10" t="s">
        <v>717</v>
      </c>
      <c r="O262" s="10" t="s">
        <v>653</v>
      </c>
      <c r="P262" s="1"/>
      <c r="Q262" s="11" t="b">
        <f>O262=P262</f>
        <v>0</v>
      </c>
      <c r="R262" s="30">
        <v>30040938</v>
      </c>
      <c r="S262" s="1"/>
      <c r="T262" s="11" t="b">
        <f>R262=S262</f>
        <v>0</v>
      </c>
      <c r="U262" s="10" t="s">
        <v>16</v>
      </c>
      <c r="V262" s="1"/>
      <c r="W262" s="11" t="b">
        <f>U262=V262</f>
        <v>0</v>
      </c>
      <c r="X262" s="13" t="s">
        <v>15</v>
      </c>
      <c r="Y262" s="1"/>
      <c r="Z262" s="1"/>
      <c r="AA262" s="59">
        <v>22003015</v>
      </c>
      <c r="AB262" s="10" t="s">
        <v>1409</v>
      </c>
      <c r="AD262" s="11" t="b">
        <f>AB262=AC262</f>
        <v>0</v>
      </c>
      <c r="AE262" s="10" t="s">
        <v>751</v>
      </c>
      <c r="AF262" s="1"/>
      <c r="AG262" s="11" t="b">
        <f>AE262=AF262</f>
        <v>0</v>
      </c>
      <c r="AH262" s="1">
        <v>18</v>
      </c>
      <c r="AI262" s="1">
        <v>17.73</v>
      </c>
      <c r="AJ262" s="16">
        <f>AI262*220/30*30.4375</f>
        <v>3957.4837500000003</v>
      </c>
      <c r="AK262" s="18">
        <v>3957.48</v>
      </c>
      <c r="AL262" s="71" t="s">
        <v>653</v>
      </c>
      <c r="AM262" s="19" t="b">
        <f>AL262=O262</f>
        <v>1</v>
      </c>
      <c r="AN262" s="7">
        <f>VLOOKUP(A262,'base ZITRHR129'!$G$1:$H$628,2,0)</f>
        <v>30040938</v>
      </c>
      <c r="AO262" s="7" t="b">
        <f>AN262=R262</f>
        <v>1</v>
      </c>
      <c r="AP262" s="7">
        <f>VLOOKUP(A262,'base ZITRHR129'!G56:W682,17,0)</f>
        <v>3957.48</v>
      </c>
      <c r="AQ262" s="7" t="b">
        <f>AP262=AK262</f>
        <v>1</v>
      </c>
      <c r="AR262" s="78"/>
    </row>
    <row r="263" spans="1:44" s="7" customFormat="1" x14ac:dyDescent="0.25">
      <c r="A263" s="7">
        <v>10043076</v>
      </c>
      <c r="B263" s="8" t="s">
        <v>286</v>
      </c>
      <c r="C263" s="8" t="s">
        <v>696</v>
      </c>
      <c r="D263" s="8" t="s">
        <v>717</v>
      </c>
      <c r="E263" s="8" t="s">
        <v>740</v>
      </c>
      <c r="F263" s="8" t="s">
        <v>1406</v>
      </c>
      <c r="G263" s="8" t="s">
        <v>767</v>
      </c>
      <c r="H263" s="9">
        <v>15</v>
      </c>
      <c r="I263" s="8" t="s">
        <v>676</v>
      </c>
      <c r="J263" s="8" t="s">
        <v>1034</v>
      </c>
      <c r="K263" s="8" t="s">
        <v>6</v>
      </c>
      <c r="L263" s="8" t="s">
        <v>17</v>
      </c>
      <c r="M263" s="10" t="s">
        <v>696</v>
      </c>
      <c r="N263" s="10" t="s">
        <v>717</v>
      </c>
      <c r="O263" s="10" t="s">
        <v>676</v>
      </c>
      <c r="P263" s="1"/>
      <c r="Q263" s="11" t="b">
        <f>O263=P263</f>
        <v>0</v>
      </c>
      <c r="R263" s="30">
        <v>30040939</v>
      </c>
      <c r="S263" s="1"/>
      <c r="T263" s="11" t="b">
        <f>R263=S263</f>
        <v>0</v>
      </c>
      <c r="U263" s="10" t="s">
        <v>6</v>
      </c>
      <c r="V263" s="1"/>
      <c r="W263" s="11" t="b">
        <f>U263=V263</f>
        <v>0</v>
      </c>
      <c r="X263" s="13" t="s">
        <v>15</v>
      </c>
      <c r="Y263" s="1"/>
      <c r="Z263" s="1"/>
      <c r="AA263" s="10">
        <v>22003014</v>
      </c>
      <c r="AB263" s="10" t="s">
        <v>1409</v>
      </c>
      <c r="AD263" s="11" t="b">
        <f>AB263=AC263</f>
        <v>0</v>
      </c>
      <c r="AE263" s="10" t="s">
        <v>767</v>
      </c>
      <c r="AF263" s="1"/>
      <c r="AG263" s="11" t="b">
        <f>AE263=AF263</f>
        <v>0</v>
      </c>
      <c r="AH263" s="1">
        <v>15</v>
      </c>
      <c r="AI263" s="1">
        <v>11.71</v>
      </c>
      <c r="AJ263" s="16">
        <f>AI263*220/30*30.4375</f>
        <v>2613.7695833333337</v>
      </c>
      <c r="AK263" s="18">
        <v>2613.77</v>
      </c>
      <c r="AL263" s="71" t="s">
        <v>676</v>
      </c>
      <c r="AM263" s="19" t="b">
        <f>AL263=O263</f>
        <v>1</v>
      </c>
      <c r="AN263" s="7">
        <f>VLOOKUP(A263,'base ZITRHR129'!$G$1:$H$628,2,0)</f>
        <v>30040939</v>
      </c>
      <c r="AO263" s="7" t="b">
        <f>AN263=R263</f>
        <v>1</v>
      </c>
      <c r="AP263" s="7">
        <f>VLOOKUP(A263,'base ZITRHR129'!G55:W681,17,0)</f>
        <v>2613.77</v>
      </c>
      <c r="AQ263" s="7" t="b">
        <f>AP263=AK263</f>
        <v>1</v>
      </c>
      <c r="AR263" s="78"/>
    </row>
    <row r="264" spans="1:44" s="7" customFormat="1" x14ac:dyDescent="0.25">
      <c r="A264" s="7">
        <v>10043191</v>
      </c>
      <c r="B264" s="8" t="s">
        <v>287</v>
      </c>
      <c r="C264" s="8" t="s">
        <v>707</v>
      </c>
      <c r="D264" s="8" t="s">
        <v>717</v>
      </c>
      <c r="E264" s="8" t="s">
        <v>736</v>
      </c>
      <c r="F264" s="8" t="s">
        <v>1406</v>
      </c>
      <c r="G264" s="8" t="s">
        <v>764</v>
      </c>
      <c r="H264" s="9">
        <v>21</v>
      </c>
      <c r="I264" s="8" t="s">
        <v>671</v>
      </c>
      <c r="J264" s="8" t="s">
        <v>1035</v>
      </c>
      <c r="K264" s="8" t="s">
        <v>6</v>
      </c>
      <c r="L264" s="8" t="s">
        <v>17</v>
      </c>
      <c r="M264" s="10" t="s">
        <v>707</v>
      </c>
      <c r="N264" s="10" t="s">
        <v>717</v>
      </c>
      <c r="O264" s="10" t="s">
        <v>671</v>
      </c>
      <c r="P264" s="1"/>
      <c r="Q264" s="11" t="b">
        <f>O264=P264</f>
        <v>0</v>
      </c>
      <c r="R264" s="30">
        <v>30040940</v>
      </c>
      <c r="S264" s="1"/>
      <c r="T264" s="11" t="b">
        <f>R264=S264</f>
        <v>0</v>
      </c>
      <c r="U264" s="10" t="s">
        <v>6</v>
      </c>
      <c r="V264" s="1"/>
      <c r="W264" s="11" t="b">
        <f>U264=V264</f>
        <v>0</v>
      </c>
      <c r="X264" s="13" t="s">
        <v>15</v>
      </c>
      <c r="Y264" s="1"/>
      <c r="Z264" s="1"/>
      <c r="AA264" s="10">
        <v>22003019</v>
      </c>
      <c r="AB264" s="10" t="s">
        <v>1409</v>
      </c>
      <c r="AD264" s="11" t="b">
        <f>AB264=AC264</f>
        <v>0</v>
      </c>
      <c r="AE264" s="10" t="s">
        <v>764</v>
      </c>
      <c r="AF264" s="1"/>
      <c r="AG264" s="11" t="b">
        <f>AE264=AF264</f>
        <v>0</v>
      </c>
      <c r="AH264" s="1">
        <v>21</v>
      </c>
      <c r="AI264" s="1">
        <v>23.45</v>
      </c>
      <c r="AJ264" s="16">
        <f>AI264*220/30*30.4375</f>
        <v>5234.2354166666664</v>
      </c>
      <c r="AK264" s="18">
        <v>5234.24</v>
      </c>
      <c r="AL264" s="71" t="s">
        <v>671</v>
      </c>
      <c r="AM264" s="19" t="b">
        <f>AL264=O264</f>
        <v>1</v>
      </c>
      <c r="AN264" s="7">
        <f>VLOOKUP(A264,'base ZITRHR129'!$G$1:$H$628,2,0)</f>
        <v>30040940</v>
      </c>
      <c r="AO264" s="7" t="b">
        <f>AN264=R264</f>
        <v>1</v>
      </c>
      <c r="AP264" s="7">
        <f>VLOOKUP(A264,'base ZITRHR129'!G54:W680,17,0)</f>
        <v>5234.24</v>
      </c>
      <c r="AQ264" s="7" t="b">
        <f>AP264=AK264</f>
        <v>1</v>
      </c>
      <c r="AR264" s="78"/>
    </row>
    <row r="265" spans="1:44" s="7" customFormat="1" x14ac:dyDescent="0.25">
      <c r="A265" s="7">
        <v>10043249</v>
      </c>
      <c r="B265" s="8" t="s">
        <v>288</v>
      </c>
      <c r="C265" s="8" t="s">
        <v>704</v>
      </c>
      <c r="D265" s="8" t="s">
        <v>717</v>
      </c>
      <c r="E265" s="8" t="s">
        <v>741</v>
      </c>
      <c r="F265" s="8" t="s">
        <v>1406</v>
      </c>
      <c r="G265" s="8" t="s">
        <v>768</v>
      </c>
      <c r="H265" s="9">
        <v>16</v>
      </c>
      <c r="I265" s="8" t="s">
        <v>669</v>
      </c>
      <c r="J265" s="8" t="s">
        <v>1036</v>
      </c>
      <c r="K265" s="8" t="s">
        <v>16</v>
      </c>
      <c r="L265" s="8" t="s">
        <v>17</v>
      </c>
      <c r="M265" s="10" t="s">
        <v>704</v>
      </c>
      <c r="N265" s="10" t="s">
        <v>717</v>
      </c>
      <c r="O265" s="10" t="s">
        <v>669</v>
      </c>
      <c r="P265" s="1"/>
      <c r="Q265" s="11" t="b">
        <f>O265=P265</f>
        <v>0</v>
      </c>
      <c r="R265" s="30">
        <v>30040941</v>
      </c>
      <c r="S265" s="1"/>
      <c r="T265" s="11" t="b">
        <f>R265=S265</f>
        <v>0</v>
      </c>
      <c r="U265" s="10" t="s">
        <v>16</v>
      </c>
      <c r="V265" s="1"/>
      <c r="W265" s="11" t="b">
        <f>U265=V265</f>
        <v>0</v>
      </c>
      <c r="X265" s="13" t="s">
        <v>15</v>
      </c>
      <c r="Y265" s="1"/>
      <c r="Z265" s="1"/>
      <c r="AA265" s="59">
        <v>22002748</v>
      </c>
      <c r="AB265" s="10" t="s">
        <v>1409</v>
      </c>
      <c r="AD265" s="11" t="b">
        <f>AB265=AC265</f>
        <v>0</v>
      </c>
      <c r="AE265" s="10" t="s">
        <v>768</v>
      </c>
      <c r="AF265" s="1"/>
      <c r="AG265" s="11" t="b">
        <f>AE265=AF265</f>
        <v>0</v>
      </c>
      <c r="AH265" s="1">
        <v>16</v>
      </c>
      <c r="AI265" s="1">
        <v>12.83</v>
      </c>
      <c r="AJ265" s="16">
        <f>AI265*220/30*30.4375</f>
        <v>2863.7629166666666</v>
      </c>
      <c r="AK265" s="18">
        <v>2863.76</v>
      </c>
      <c r="AL265" s="71" t="s">
        <v>669</v>
      </c>
      <c r="AM265" s="19" t="b">
        <f>AL265=O265</f>
        <v>1</v>
      </c>
      <c r="AN265" s="7">
        <f>VLOOKUP(A265,'base ZITRHR129'!$G$1:$H$628,2,0)</f>
        <v>30040941</v>
      </c>
      <c r="AO265" s="7" t="b">
        <f>AN265=R265</f>
        <v>1</v>
      </c>
      <c r="AP265" s="7">
        <f>VLOOKUP(A265,'base ZITRHR129'!G53:W679,17,0)</f>
        <v>2863.76</v>
      </c>
      <c r="AQ265" s="7" t="b">
        <f>AP265=AK265</f>
        <v>1</v>
      </c>
      <c r="AR265" s="78"/>
    </row>
    <row r="266" spans="1:44" s="7" customFormat="1" x14ac:dyDescent="0.25">
      <c r="A266" s="7">
        <v>10043327</v>
      </c>
      <c r="B266" s="8" t="s">
        <v>289</v>
      </c>
      <c r="C266" s="8" t="s">
        <v>689</v>
      </c>
      <c r="D266" s="8" t="s">
        <v>717</v>
      </c>
      <c r="E266" s="8" t="s">
        <v>730</v>
      </c>
      <c r="F266" s="8" t="s">
        <v>1406</v>
      </c>
      <c r="G266" s="8" t="s">
        <v>759</v>
      </c>
      <c r="H266" s="9">
        <v>17</v>
      </c>
      <c r="I266" s="8" t="s">
        <v>662</v>
      </c>
      <c r="J266" s="8" t="s">
        <v>1037</v>
      </c>
      <c r="K266" s="8" t="s">
        <v>16</v>
      </c>
      <c r="L266" s="8" t="s">
        <v>17</v>
      </c>
      <c r="M266" s="10" t="s">
        <v>689</v>
      </c>
      <c r="N266" s="10" t="s">
        <v>717</v>
      </c>
      <c r="O266" s="10" t="s">
        <v>662</v>
      </c>
      <c r="P266" s="1"/>
      <c r="Q266" s="11" t="b">
        <f>O266=P266</f>
        <v>0</v>
      </c>
      <c r="R266" s="30">
        <v>30040942</v>
      </c>
      <c r="S266" s="1"/>
      <c r="T266" s="11" t="b">
        <f>R266=S266</f>
        <v>0</v>
      </c>
      <c r="U266" s="10" t="s">
        <v>16</v>
      </c>
      <c r="V266" s="1"/>
      <c r="W266" s="11" t="b">
        <f>U266=V266</f>
        <v>0</v>
      </c>
      <c r="X266" s="13" t="s">
        <v>15</v>
      </c>
      <c r="Y266" s="1"/>
      <c r="Z266" s="1"/>
      <c r="AA266" s="10">
        <v>22002605</v>
      </c>
      <c r="AB266" s="10" t="s">
        <v>1409</v>
      </c>
      <c r="AD266" s="11" t="b">
        <f>AB266=AC266</f>
        <v>0</v>
      </c>
      <c r="AE266" s="10" t="s">
        <v>759</v>
      </c>
      <c r="AF266" s="1"/>
      <c r="AG266" s="11" t="b">
        <f>AE266=AF266</f>
        <v>0</v>
      </c>
      <c r="AH266" s="1">
        <v>17</v>
      </c>
      <c r="AI266" s="1">
        <v>14.04</v>
      </c>
      <c r="AJ266" s="16">
        <f>AI266*220/30*30.4375</f>
        <v>3133.8449999999998</v>
      </c>
      <c r="AK266" s="18">
        <v>3133.85</v>
      </c>
      <c r="AL266" s="71" t="s">
        <v>662</v>
      </c>
      <c r="AM266" s="19" t="b">
        <f>AL266=O266</f>
        <v>1</v>
      </c>
      <c r="AN266" s="7">
        <f>VLOOKUP(A266,'base ZITRHR129'!$G$1:$H$628,2,0)</f>
        <v>30040942</v>
      </c>
      <c r="AO266" s="7" t="b">
        <f>AN266=R266</f>
        <v>1</v>
      </c>
      <c r="AP266" s="7">
        <f>VLOOKUP(A266,'base ZITRHR129'!G52:W678,17,0)</f>
        <v>3133.85</v>
      </c>
      <c r="AQ266" s="7" t="b">
        <f>AP266=AK266</f>
        <v>1</v>
      </c>
      <c r="AR266" s="78"/>
    </row>
    <row r="267" spans="1:44" s="7" customFormat="1" x14ac:dyDescent="0.25">
      <c r="A267" s="7">
        <v>10043434</v>
      </c>
      <c r="B267" s="8" t="s">
        <v>290</v>
      </c>
      <c r="C267" s="8" t="s">
        <v>707</v>
      </c>
      <c r="D267" s="8" t="s">
        <v>717</v>
      </c>
      <c r="E267" s="8" t="s">
        <v>736</v>
      </c>
      <c r="F267" s="8" t="s">
        <v>1406</v>
      </c>
      <c r="G267" s="8" t="s">
        <v>764</v>
      </c>
      <c r="H267" s="9">
        <v>21</v>
      </c>
      <c r="I267" s="8" t="s">
        <v>671</v>
      </c>
      <c r="J267" s="8" t="s">
        <v>1038</v>
      </c>
      <c r="K267" s="8" t="s">
        <v>6</v>
      </c>
      <c r="L267" s="8" t="s">
        <v>17</v>
      </c>
      <c r="M267" s="10" t="s">
        <v>707</v>
      </c>
      <c r="N267" s="10" t="s">
        <v>717</v>
      </c>
      <c r="O267" s="10" t="s">
        <v>671</v>
      </c>
      <c r="P267" s="1"/>
      <c r="Q267" s="11" t="b">
        <f>O267=P267</f>
        <v>0</v>
      </c>
      <c r="R267" s="30">
        <v>30040943</v>
      </c>
      <c r="S267" s="1"/>
      <c r="T267" s="11" t="b">
        <f>R267=S267</f>
        <v>0</v>
      </c>
      <c r="U267" s="10" t="s">
        <v>6</v>
      </c>
      <c r="V267" s="1"/>
      <c r="W267" s="11" t="b">
        <f>U267=V267</f>
        <v>0</v>
      </c>
      <c r="X267" s="13" t="s">
        <v>15</v>
      </c>
      <c r="Y267" s="1"/>
      <c r="Z267" s="1"/>
      <c r="AA267" s="59">
        <v>22003019</v>
      </c>
      <c r="AB267" s="10" t="s">
        <v>1409</v>
      </c>
      <c r="AD267" s="11" t="b">
        <f>AB267=AC267</f>
        <v>0</v>
      </c>
      <c r="AE267" s="10" t="s">
        <v>764</v>
      </c>
      <c r="AF267" s="1"/>
      <c r="AG267" s="11" t="b">
        <f>AE267=AF267</f>
        <v>0</v>
      </c>
      <c r="AH267" s="1">
        <v>21</v>
      </c>
      <c r="AI267" s="1">
        <v>22.11</v>
      </c>
      <c r="AJ267" s="16">
        <f>AI267*220/30*30.4375</f>
        <v>4935.1362499999996</v>
      </c>
      <c r="AK267" s="18">
        <v>4935.1400000000003</v>
      </c>
      <c r="AL267" s="71" t="s">
        <v>671</v>
      </c>
      <c r="AM267" s="19" t="b">
        <f>AL267=O267</f>
        <v>1</v>
      </c>
      <c r="AN267" s="7">
        <f>VLOOKUP(A267,'base ZITRHR129'!$G$1:$H$628,2,0)</f>
        <v>30040943</v>
      </c>
      <c r="AO267" s="7" t="b">
        <f>AN267=R267</f>
        <v>1</v>
      </c>
      <c r="AP267" s="7">
        <f>VLOOKUP(A267,'base ZITRHR129'!G51:W677,17,0)</f>
        <v>4935.1400000000003</v>
      </c>
      <c r="AQ267" s="7" t="b">
        <f>AP267=AK267</f>
        <v>1</v>
      </c>
      <c r="AR267" s="78"/>
    </row>
    <row r="268" spans="1:44" s="7" customFormat="1" x14ac:dyDescent="0.25">
      <c r="A268" s="7">
        <v>10043436</v>
      </c>
      <c r="B268" s="8" t="s">
        <v>291</v>
      </c>
      <c r="C268" s="8" t="s">
        <v>689</v>
      </c>
      <c r="D268" s="8" t="s">
        <v>717</v>
      </c>
      <c r="E268" s="8" t="s">
        <v>723</v>
      </c>
      <c r="F268" s="8" t="s">
        <v>1406</v>
      </c>
      <c r="G268" s="8" t="s">
        <v>19</v>
      </c>
      <c r="H268" s="9">
        <v>16</v>
      </c>
      <c r="I268" s="8" t="s">
        <v>662</v>
      </c>
      <c r="J268" s="8" t="s">
        <v>1039</v>
      </c>
      <c r="K268" s="8" t="s">
        <v>16</v>
      </c>
      <c r="L268" s="8" t="s">
        <v>17</v>
      </c>
      <c r="M268" s="10" t="s">
        <v>689</v>
      </c>
      <c r="N268" s="10" t="s">
        <v>717</v>
      </c>
      <c r="O268" s="10" t="s">
        <v>662</v>
      </c>
      <c r="P268" s="1"/>
      <c r="Q268" s="11" t="b">
        <f>O268=P268</f>
        <v>0</v>
      </c>
      <c r="R268" s="30">
        <v>30040944</v>
      </c>
      <c r="S268" s="1"/>
      <c r="T268" s="11" t="b">
        <f>R268=S268</f>
        <v>0</v>
      </c>
      <c r="U268" s="10" t="s">
        <v>16</v>
      </c>
      <c r="V268" s="1"/>
      <c r="W268" s="11" t="b">
        <f>U268=V268</f>
        <v>0</v>
      </c>
      <c r="X268" s="13" t="s">
        <v>15</v>
      </c>
      <c r="Y268" s="1"/>
      <c r="Z268" s="1"/>
      <c r="AA268" s="10">
        <v>22002460</v>
      </c>
      <c r="AB268" s="10" t="s">
        <v>1409</v>
      </c>
      <c r="AD268" s="11" t="b">
        <f>AB268=AC268</f>
        <v>0</v>
      </c>
      <c r="AE268" s="10" t="s">
        <v>19</v>
      </c>
      <c r="AF268" s="1"/>
      <c r="AG268" s="11" t="b">
        <f>AE268=AF268</f>
        <v>0</v>
      </c>
      <c r="AH268" s="1">
        <v>16</v>
      </c>
      <c r="AI268" s="1">
        <v>10.26</v>
      </c>
      <c r="AJ268" s="16">
        <f>AI268*220/30*30.4375</f>
        <v>2290.1174999999998</v>
      </c>
      <c r="AK268" s="18">
        <v>2290.12</v>
      </c>
      <c r="AL268" s="71" t="s">
        <v>662</v>
      </c>
      <c r="AM268" s="19" t="b">
        <f>AL268=O268</f>
        <v>1</v>
      </c>
      <c r="AN268" s="7">
        <f>VLOOKUP(A268,'base ZITRHR129'!$G$1:$H$628,2,0)</f>
        <v>30040944</v>
      </c>
      <c r="AO268" s="7" t="b">
        <f>AN268=R268</f>
        <v>1</v>
      </c>
      <c r="AP268" s="7">
        <f>VLOOKUP(A268,'base ZITRHR129'!G50:W676,17,0)</f>
        <v>2290.12</v>
      </c>
      <c r="AQ268" s="7" t="b">
        <f>AP268=AK268</f>
        <v>1</v>
      </c>
      <c r="AR268" s="78"/>
    </row>
    <row r="269" spans="1:44" s="7" customFormat="1" x14ac:dyDescent="0.25">
      <c r="A269" s="7">
        <v>10043524</v>
      </c>
      <c r="B269" s="8" t="s">
        <v>292</v>
      </c>
      <c r="C269" s="8" t="s">
        <v>706</v>
      </c>
      <c r="D269" s="8" t="s">
        <v>717</v>
      </c>
      <c r="E269" s="8" t="s">
        <v>724</v>
      </c>
      <c r="F269" s="8" t="s">
        <v>1406</v>
      </c>
      <c r="G269" s="8" t="s">
        <v>21</v>
      </c>
      <c r="H269" s="9">
        <v>16</v>
      </c>
      <c r="I269" s="8" t="s">
        <v>660</v>
      </c>
      <c r="J269" s="8" t="s">
        <v>1040</v>
      </c>
      <c r="K269" s="8" t="s">
        <v>16</v>
      </c>
      <c r="L269" s="8" t="s">
        <v>17</v>
      </c>
      <c r="M269" s="10" t="s">
        <v>706</v>
      </c>
      <c r="N269" s="10" t="s">
        <v>717</v>
      </c>
      <c r="O269" s="10" t="s">
        <v>660</v>
      </c>
      <c r="P269" s="1"/>
      <c r="Q269" s="11" t="b">
        <f>O269=P269</f>
        <v>0</v>
      </c>
      <c r="R269" s="30">
        <v>30040945</v>
      </c>
      <c r="S269" s="1"/>
      <c r="T269" s="11" t="b">
        <f>R269=S269</f>
        <v>0</v>
      </c>
      <c r="U269" s="10" t="s">
        <v>16</v>
      </c>
      <c r="V269" s="1"/>
      <c r="W269" s="11" t="b">
        <f>U269=V269</f>
        <v>0</v>
      </c>
      <c r="X269" s="13" t="s">
        <v>15</v>
      </c>
      <c r="Y269" s="1"/>
      <c r="Z269" s="1"/>
      <c r="AA269" s="10">
        <v>22002616</v>
      </c>
      <c r="AB269" s="10" t="s">
        <v>1409</v>
      </c>
      <c r="AD269" s="11" t="b">
        <f>AB269=AC269</f>
        <v>0</v>
      </c>
      <c r="AE269" s="10" t="s">
        <v>21</v>
      </c>
      <c r="AF269" s="1"/>
      <c r="AG269" s="11" t="b">
        <f>AE269=AF269</f>
        <v>0</v>
      </c>
      <c r="AH269" s="1">
        <v>16</v>
      </c>
      <c r="AI269" s="1">
        <v>11.71</v>
      </c>
      <c r="AJ269" s="16">
        <f>AI269*220/30*30.4375</f>
        <v>2613.7695833333337</v>
      </c>
      <c r="AK269" s="18">
        <v>2613.77</v>
      </c>
      <c r="AL269" s="71" t="s">
        <v>660</v>
      </c>
      <c r="AM269" s="19" t="b">
        <f>AL269=O269</f>
        <v>1</v>
      </c>
      <c r="AN269" s="7">
        <f>VLOOKUP(A269,'base ZITRHR129'!$G$1:$H$628,2,0)</f>
        <v>30040945</v>
      </c>
      <c r="AO269" s="7" t="b">
        <f>AN269=R269</f>
        <v>1</v>
      </c>
      <c r="AP269" s="7">
        <f>VLOOKUP(A269,'base ZITRHR129'!G49:W675,17,0)</f>
        <v>2613.77</v>
      </c>
      <c r="AQ269" s="7" t="b">
        <f>AP269=AK269</f>
        <v>1</v>
      </c>
      <c r="AR269" s="78"/>
    </row>
    <row r="270" spans="1:44" s="7" customFormat="1" x14ac:dyDescent="0.25">
      <c r="A270" s="7">
        <v>10043533</v>
      </c>
      <c r="B270" s="8" t="s">
        <v>293</v>
      </c>
      <c r="C270" s="8" t="s">
        <v>709</v>
      </c>
      <c r="D270" s="8" t="s">
        <v>717</v>
      </c>
      <c r="E270" s="8" t="s">
        <v>737</v>
      </c>
      <c r="F270" s="8" t="s">
        <v>1406</v>
      </c>
      <c r="G270" s="8" t="s">
        <v>765</v>
      </c>
      <c r="H270" s="9">
        <v>14</v>
      </c>
      <c r="I270" s="8" t="s">
        <v>673</v>
      </c>
      <c r="J270" s="8" t="s">
        <v>1041</v>
      </c>
      <c r="K270" s="8" t="s">
        <v>16</v>
      </c>
      <c r="L270" s="8" t="s">
        <v>17</v>
      </c>
      <c r="M270" s="10" t="s">
        <v>709</v>
      </c>
      <c r="N270" s="10" t="s">
        <v>717</v>
      </c>
      <c r="O270" s="10" t="s">
        <v>673</v>
      </c>
      <c r="P270" s="1"/>
      <c r="Q270" s="11" t="b">
        <f>O270=P270</f>
        <v>0</v>
      </c>
      <c r="R270" s="30">
        <v>30040946</v>
      </c>
      <c r="S270" s="1"/>
      <c r="T270" s="11" t="b">
        <f>R270=S270</f>
        <v>0</v>
      </c>
      <c r="U270" s="10" t="s">
        <v>16</v>
      </c>
      <c r="V270" s="1"/>
      <c r="W270" s="11" t="b">
        <f>U270=V270</f>
        <v>0</v>
      </c>
      <c r="X270" s="13" t="s">
        <v>15</v>
      </c>
      <c r="Y270" s="1"/>
      <c r="Z270" s="1"/>
      <c r="AA270" s="59">
        <v>22002830</v>
      </c>
      <c r="AB270" s="10" t="s">
        <v>1409</v>
      </c>
      <c r="AD270" s="11" t="b">
        <f>AB270=AC270</f>
        <v>0</v>
      </c>
      <c r="AE270" s="10" t="s">
        <v>765</v>
      </c>
      <c r="AF270" s="1"/>
      <c r="AG270" s="11" t="b">
        <f>AE270=AF270</f>
        <v>0</v>
      </c>
      <c r="AH270" s="1">
        <v>14</v>
      </c>
      <c r="AI270" s="1">
        <v>8.59</v>
      </c>
      <c r="AJ270" s="16">
        <f>AI270*220/30*30.4375</f>
        <v>1917.3595833333334</v>
      </c>
      <c r="AK270" s="18">
        <v>1917.36</v>
      </c>
      <c r="AL270" s="71" t="s">
        <v>673</v>
      </c>
      <c r="AM270" s="19" t="b">
        <f>AL270=O270</f>
        <v>1</v>
      </c>
      <c r="AN270" s="7">
        <f>VLOOKUP(A270,'base ZITRHR129'!$G$1:$H$628,2,0)</f>
        <v>30040946</v>
      </c>
      <c r="AO270" s="7" t="b">
        <f>AN270=R270</f>
        <v>1</v>
      </c>
      <c r="AP270" s="7">
        <f>VLOOKUP(A270,'base ZITRHR129'!G48:W674,17,0)</f>
        <v>1917.36</v>
      </c>
      <c r="AQ270" s="7" t="b">
        <f>AP270=AK270</f>
        <v>1</v>
      </c>
      <c r="AR270" s="78"/>
    </row>
    <row r="271" spans="1:44" s="7" customFormat="1" x14ac:dyDescent="0.25">
      <c r="A271" s="7">
        <v>10043616</v>
      </c>
      <c r="B271" s="8" t="s">
        <v>294</v>
      </c>
      <c r="C271" s="8" t="s">
        <v>690</v>
      </c>
      <c r="D271" s="8" t="s">
        <v>717</v>
      </c>
      <c r="E271" s="8" t="s">
        <v>726</v>
      </c>
      <c r="F271" s="8" t="s">
        <v>1406</v>
      </c>
      <c r="G271" s="8" t="s">
        <v>755</v>
      </c>
      <c r="H271" s="9">
        <v>15</v>
      </c>
      <c r="I271" s="8" t="s">
        <v>663</v>
      </c>
      <c r="J271" s="8" t="s">
        <v>1042</v>
      </c>
      <c r="K271" s="8" t="s">
        <v>16</v>
      </c>
      <c r="L271" s="8" t="s">
        <v>17</v>
      </c>
      <c r="M271" s="10" t="s">
        <v>690</v>
      </c>
      <c r="N271" s="10" t="s">
        <v>717</v>
      </c>
      <c r="O271" s="10" t="s">
        <v>663</v>
      </c>
      <c r="P271" s="1"/>
      <c r="Q271" s="11" t="b">
        <f>O271=P271</f>
        <v>0</v>
      </c>
      <c r="R271" s="30">
        <v>30040947</v>
      </c>
      <c r="S271" s="1"/>
      <c r="T271" s="11" t="b">
        <f>R271=S271</f>
        <v>0</v>
      </c>
      <c r="U271" s="10" t="s">
        <v>16</v>
      </c>
      <c r="V271" s="1"/>
      <c r="W271" s="11" t="b">
        <f>U271=V271</f>
        <v>0</v>
      </c>
      <c r="X271" s="13" t="s">
        <v>15</v>
      </c>
      <c r="Y271" s="1"/>
      <c r="Z271" s="1"/>
      <c r="AA271" s="59">
        <v>22002617</v>
      </c>
      <c r="AB271" s="10" t="s">
        <v>1409</v>
      </c>
      <c r="AD271" s="11" t="b">
        <f>AB271=AC271</f>
        <v>0</v>
      </c>
      <c r="AE271" s="10" t="s">
        <v>755</v>
      </c>
      <c r="AF271" s="1"/>
      <c r="AG271" s="11" t="b">
        <f>AE271=AF271</f>
        <v>0</v>
      </c>
      <c r="AH271" s="1">
        <v>15</v>
      </c>
      <c r="AI271" s="1">
        <v>11.43</v>
      </c>
      <c r="AJ271" s="16">
        <f>AI271*220/30*30.4375</f>
        <v>2551.2712499999998</v>
      </c>
      <c r="AK271" s="18">
        <v>2551.27</v>
      </c>
      <c r="AL271" s="71" t="s">
        <v>663</v>
      </c>
      <c r="AM271" s="19" t="b">
        <f>AL271=O271</f>
        <v>1</v>
      </c>
      <c r="AN271" s="7">
        <f>VLOOKUP(A271,'base ZITRHR129'!$G$1:$H$628,2,0)</f>
        <v>30040947</v>
      </c>
      <c r="AO271" s="7" t="b">
        <f>AN271=R271</f>
        <v>1</v>
      </c>
      <c r="AP271" s="7">
        <f>VLOOKUP(A271,'base ZITRHR129'!G47:W673,17,0)</f>
        <v>2551.27</v>
      </c>
      <c r="AQ271" s="7" t="b">
        <f>AP271=AK271</f>
        <v>1</v>
      </c>
      <c r="AR271" s="78"/>
    </row>
    <row r="272" spans="1:44" s="7" customFormat="1" x14ac:dyDescent="0.25">
      <c r="A272" s="7">
        <v>10043700</v>
      </c>
      <c r="B272" s="8" t="s">
        <v>295</v>
      </c>
      <c r="C272" s="8" t="s">
        <v>710</v>
      </c>
      <c r="D272" s="8" t="s">
        <v>717</v>
      </c>
      <c r="E272" s="8" t="s">
        <v>724</v>
      </c>
      <c r="F272" s="8" t="s">
        <v>1406</v>
      </c>
      <c r="G272" s="8" t="s">
        <v>21</v>
      </c>
      <c r="H272" s="9">
        <v>16</v>
      </c>
      <c r="I272" s="8" t="s">
        <v>674</v>
      </c>
      <c r="J272" s="8" t="s">
        <v>1043</v>
      </c>
      <c r="K272" s="8" t="s">
        <v>16</v>
      </c>
      <c r="L272" s="8" t="s">
        <v>17</v>
      </c>
      <c r="M272" s="10" t="s">
        <v>710</v>
      </c>
      <c r="N272" s="10" t="s">
        <v>717</v>
      </c>
      <c r="O272" s="10" t="s">
        <v>674</v>
      </c>
      <c r="P272" s="1"/>
      <c r="Q272" s="11" t="b">
        <f>O272=P272</f>
        <v>0</v>
      </c>
      <c r="R272" s="30">
        <v>30040948</v>
      </c>
      <c r="S272" s="1"/>
      <c r="T272" s="11" t="b">
        <f>R272=S272</f>
        <v>0</v>
      </c>
      <c r="U272" s="10" t="s">
        <v>16</v>
      </c>
      <c r="V272" s="1"/>
      <c r="W272" s="11" t="b">
        <f>U272=V272</f>
        <v>0</v>
      </c>
      <c r="X272" s="13" t="s">
        <v>15</v>
      </c>
      <c r="Y272" s="1"/>
      <c r="Z272" s="1"/>
      <c r="AA272" s="10">
        <v>22002616</v>
      </c>
      <c r="AB272" s="10" t="s">
        <v>1409</v>
      </c>
      <c r="AD272" s="11" t="b">
        <f>AB272=AC272</f>
        <v>0</v>
      </c>
      <c r="AE272" s="10" t="s">
        <v>21</v>
      </c>
      <c r="AF272" s="1"/>
      <c r="AG272" s="11" t="b">
        <f>AE272=AF272</f>
        <v>0</v>
      </c>
      <c r="AH272" s="1">
        <v>16</v>
      </c>
      <c r="AI272" s="1">
        <v>11.71</v>
      </c>
      <c r="AJ272" s="16">
        <f>AI272*220/30*30.4375</f>
        <v>2613.7695833333337</v>
      </c>
      <c r="AK272" s="18">
        <v>2613.77</v>
      </c>
      <c r="AL272" s="71" t="s">
        <v>674</v>
      </c>
      <c r="AM272" s="19" t="b">
        <f>AL272=O272</f>
        <v>1</v>
      </c>
      <c r="AN272" s="7">
        <f>VLOOKUP(A272,'base ZITRHR129'!$G$1:$H$628,2,0)</f>
        <v>30040948</v>
      </c>
      <c r="AO272" s="7" t="b">
        <f>AN272=R272</f>
        <v>1</v>
      </c>
      <c r="AP272" s="7">
        <f>VLOOKUP(A272,'base ZITRHR129'!G46:W672,17,0)</f>
        <v>2613.77</v>
      </c>
      <c r="AQ272" s="7" t="b">
        <f>AP272=AK272</f>
        <v>1</v>
      </c>
      <c r="AR272" s="78"/>
    </row>
    <row r="273" spans="1:44" s="7" customFormat="1" x14ac:dyDescent="0.25">
      <c r="A273" s="7">
        <v>10043728</v>
      </c>
      <c r="B273" s="8" t="s">
        <v>296</v>
      </c>
      <c r="C273" s="8" t="s">
        <v>681</v>
      </c>
      <c r="D273" s="8" t="s">
        <v>717</v>
      </c>
      <c r="E273" s="8" t="s">
        <v>720</v>
      </c>
      <c r="F273" s="8" t="s">
        <v>1406</v>
      </c>
      <c r="G273" s="8" t="s">
        <v>751</v>
      </c>
      <c r="H273" s="9">
        <v>18</v>
      </c>
      <c r="I273" s="8" t="s">
        <v>653</v>
      </c>
      <c r="J273" s="8" t="s">
        <v>1044</v>
      </c>
      <c r="K273" s="8" t="s">
        <v>16</v>
      </c>
      <c r="L273" s="8" t="s">
        <v>17</v>
      </c>
      <c r="M273" s="10" t="s">
        <v>681</v>
      </c>
      <c r="N273" s="10" t="s">
        <v>717</v>
      </c>
      <c r="O273" s="10" t="s">
        <v>653</v>
      </c>
      <c r="P273" s="1"/>
      <c r="Q273" s="11" t="b">
        <f>O273=P273</f>
        <v>0</v>
      </c>
      <c r="R273" s="30">
        <v>30040949</v>
      </c>
      <c r="S273" s="1"/>
      <c r="T273" s="11" t="b">
        <f>R273=S273</f>
        <v>0</v>
      </c>
      <c r="U273" s="10" t="s">
        <v>16</v>
      </c>
      <c r="V273" s="1"/>
      <c r="W273" s="11" t="b">
        <f>U273=V273</f>
        <v>0</v>
      </c>
      <c r="X273" s="13" t="s">
        <v>15</v>
      </c>
      <c r="Y273" s="1"/>
      <c r="Z273" s="1"/>
      <c r="AA273" s="10">
        <v>22003015</v>
      </c>
      <c r="AB273" s="10" t="s">
        <v>1409</v>
      </c>
      <c r="AD273" s="11" t="b">
        <f>AB273=AC273</f>
        <v>0</v>
      </c>
      <c r="AE273" s="10" t="s">
        <v>751</v>
      </c>
      <c r="AF273" s="1"/>
      <c r="AG273" s="11" t="b">
        <f>AE273=AF273</f>
        <v>0</v>
      </c>
      <c r="AH273" s="1">
        <v>18</v>
      </c>
      <c r="AI273" s="1">
        <v>15</v>
      </c>
      <c r="AJ273" s="16">
        <f>AI273*220/30*30.4375</f>
        <v>3348.125</v>
      </c>
      <c r="AK273" s="18">
        <v>3348.13</v>
      </c>
      <c r="AL273" s="71" t="s">
        <v>653</v>
      </c>
      <c r="AM273" s="19" t="b">
        <f>AL273=O273</f>
        <v>1</v>
      </c>
      <c r="AN273" s="7">
        <f>VLOOKUP(A273,'base ZITRHR129'!$G$1:$H$628,2,0)</f>
        <v>30040949</v>
      </c>
      <c r="AO273" s="7" t="b">
        <f>AN273=R273</f>
        <v>1</v>
      </c>
      <c r="AP273" s="7">
        <f>VLOOKUP(A273,'base ZITRHR129'!G45:W671,17,0)</f>
        <v>3348.13</v>
      </c>
      <c r="AQ273" s="7" t="b">
        <f>AP273=AK273</f>
        <v>1</v>
      </c>
      <c r="AR273" s="78"/>
    </row>
    <row r="274" spans="1:44" s="7" customFormat="1" x14ac:dyDescent="0.25">
      <c r="A274" s="7">
        <v>10043729</v>
      </c>
      <c r="B274" s="8" t="s">
        <v>297</v>
      </c>
      <c r="C274" s="8" t="s">
        <v>689</v>
      </c>
      <c r="D274" s="8" t="s">
        <v>717</v>
      </c>
      <c r="E274" s="8" t="s">
        <v>730</v>
      </c>
      <c r="F274" s="8" t="s">
        <v>1406</v>
      </c>
      <c r="G274" s="8" t="s">
        <v>759</v>
      </c>
      <c r="H274" s="9">
        <v>17</v>
      </c>
      <c r="I274" s="8" t="s">
        <v>662</v>
      </c>
      <c r="J274" s="8" t="s">
        <v>1045</v>
      </c>
      <c r="K274" s="8" t="s">
        <v>16</v>
      </c>
      <c r="L274" s="8" t="s">
        <v>17</v>
      </c>
      <c r="M274" s="10" t="s">
        <v>689</v>
      </c>
      <c r="N274" s="10" t="s">
        <v>717</v>
      </c>
      <c r="O274" s="10" t="s">
        <v>662</v>
      </c>
      <c r="P274" s="1"/>
      <c r="Q274" s="11" t="b">
        <f>O274=P274</f>
        <v>0</v>
      </c>
      <c r="R274" s="30">
        <v>30040950</v>
      </c>
      <c r="S274" s="1"/>
      <c r="T274" s="11" t="b">
        <f>R274=S274</f>
        <v>0</v>
      </c>
      <c r="U274" s="10" t="s">
        <v>16</v>
      </c>
      <c r="V274" s="1"/>
      <c r="W274" s="11" t="b">
        <f>U274=V274</f>
        <v>0</v>
      </c>
      <c r="X274" s="13" t="s">
        <v>15</v>
      </c>
      <c r="Y274" s="1"/>
      <c r="Z274" s="1"/>
      <c r="AA274" s="10">
        <v>22002605</v>
      </c>
      <c r="AB274" s="10" t="s">
        <v>1409</v>
      </c>
      <c r="AD274" s="11" t="b">
        <f>AB274=AC274</f>
        <v>0</v>
      </c>
      <c r="AE274" s="10" t="s">
        <v>759</v>
      </c>
      <c r="AF274" s="1"/>
      <c r="AG274" s="11" t="b">
        <f>AE274=AF274</f>
        <v>0</v>
      </c>
      <c r="AH274" s="1">
        <v>17</v>
      </c>
      <c r="AI274" s="1">
        <v>14.04</v>
      </c>
      <c r="AJ274" s="16">
        <f>AI274*220/30*30.4375</f>
        <v>3133.8449999999998</v>
      </c>
      <c r="AK274" s="18">
        <v>3133.85</v>
      </c>
      <c r="AL274" s="71" t="s">
        <v>662</v>
      </c>
      <c r="AM274" s="19" t="b">
        <f>AL274=O274</f>
        <v>1</v>
      </c>
      <c r="AN274" s="7">
        <f>VLOOKUP(A274,'base ZITRHR129'!$G$1:$H$628,2,0)</f>
        <v>30040950</v>
      </c>
      <c r="AO274" s="7" t="b">
        <f>AN274=R274</f>
        <v>1</v>
      </c>
      <c r="AP274" s="7">
        <f>VLOOKUP(A274,'base ZITRHR129'!G44:W670,17,0)</f>
        <v>3133.85</v>
      </c>
      <c r="AQ274" s="7" t="b">
        <f>AP274=AK274</f>
        <v>1</v>
      </c>
      <c r="AR274" s="78"/>
    </row>
    <row r="275" spans="1:44" s="7" customFormat="1" x14ac:dyDescent="0.25">
      <c r="A275" s="7">
        <v>10043822</v>
      </c>
      <c r="B275" s="8" t="s">
        <v>298</v>
      </c>
      <c r="C275" s="8" t="s">
        <v>704</v>
      </c>
      <c r="D275" s="8" t="s">
        <v>717</v>
      </c>
      <c r="E275" s="8" t="s">
        <v>737</v>
      </c>
      <c r="F275" s="8" t="s">
        <v>1406</v>
      </c>
      <c r="G275" s="8" t="s">
        <v>765</v>
      </c>
      <c r="H275" s="9">
        <v>14</v>
      </c>
      <c r="I275" s="8" t="s">
        <v>669</v>
      </c>
      <c r="J275" s="8" t="s">
        <v>1046</v>
      </c>
      <c r="K275" s="8" t="s">
        <v>16</v>
      </c>
      <c r="L275" s="8" t="s">
        <v>17</v>
      </c>
      <c r="M275" s="10" t="s">
        <v>704</v>
      </c>
      <c r="N275" s="10" t="s">
        <v>717</v>
      </c>
      <c r="O275" s="10" t="s">
        <v>669</v>
      </c>
      <c r="P275" s="1"/>
      <c r="Q275" s="11" t="b">
        <f>O275=P275</f>
        <v>0</v>
      </c>
      <c r="R275" s="30">
        <v>30040951</v>
      </c>
      <c r="S275" s="1"/>
      <c r="T275" s="11" t="b">
        <f>R275=S275</f>
        <v>0</v>
      </c>
      <c r="U275" s="10" t="s">
        <v>16</v>
      </c>
      <c r="V275" s="1"/>
      <c r="W275" s="11" t="b">
        <f>U275=V275</f>
        <v>0</v>
      </c>
      <c r="X275" s="13" t="s">
        <v>15</v>
      </c>
      <c r="Y275" s="1"/>
      <c r="Z275" s="1"/>
      <c r="AA275" s="10">
        <v>22002830</v>
      </c>
      <c r="AB275" s="10" t="s">
        <v>1409</v>
      </c>
      <c r="AD275" s="11" t="b">
        <f>AB275=AC275</f>
        <v>0</v>
      </c>
      <c r="AE275" s="10" t="s">
        <v>765</v>
      </c>
      <c r="AF275" s="1"/>
      <c r="AG275" s="11" t="b">
        <f>AE275=AF275</f>
        <v>0</v>
      </c>
      <c r="AH275" s="1">
        <v>14</v>
      </c>
      <c r="AI275" s="1">
        <v>8.59</v>
      </c>
      <c r="AJ275" s="16">
        <f>AI275*220/30*30.4375</f>
        <v>1917.3595833333334</v>
      </c>
      <c r="AK275" s="18">
        <v>1917.36</v>
      </c>
      <c r="AL275" s="71" t="s">
        <v>669</v>
      </c>
      <c r="AM275" s="19" t="b">
        <f>AL275=O275</f>
        <v>1</v>
      </c>
      <c r="AN275" s="7">
        <f>VLOOKUP(A275,'base ZITRHR129'!$G$1:$H$628,2,0)</f>
        <v>30040951</v>
      </c>
      <c r="AO275" s="7" t="b">
        <f>AN275=R275</f>
        <v>1</v>
      </c>
      <c r="AP275" s="7">
        <f>VLOOKUP(A275,'base ZITRHR129'!G43:W669,17,0)</f>
        <v>1917.36</v>
      </c>
      <c r="AQ275" s="7" t="b">
        <f>AP275=AK275</f>
        <v>1</v>
      </c>
      <c r="AR275" s="78"/>
    </row>
    <row r="276" spans="1:44" s="7" customFormat="1" x14ac:dyDescent="0.25">
      <c r="A276" s="7">
        <v>10044166</v>
      </c>
      <c r="B276" s="8" t="s">
        <v>299</v>
      </c>
      <c r="C276" s="8" t="s">
        <v>690</v>
      </c>
      <c r="D276" s="8" t="s">
        <v>717</v>
      </c>
      <c r="E276" s="8" t="s">
        <v>726</v>
      </c>
      <c r="F276" s="8" t="s">
        <v>1406</v>
      </c>
      <c r="G276" s="8" t="s">
        <v>755</v>
      </c>
      <c r="H276" s="9">
        <v>15</v>
      </c>
      <c r="I276" s="8" t="s">
        <v>663</v>
      </c>
      <c r="J276" s="8" t="s">
        <v>1047</v>
      </c>
      <c r="K276" s="8" t="s">
        <v>16</v>
      </c>
      <c r="L276" s="8" t="s">
        <v>17</v>
      </c>
      <c r="M276" s="10" t="s">
        <v>690</v>
      </c>
      <c r="N276" s="10" t="s">
        <v>717</v>
      </c>
      <c r="O276" s="10" t="s">
        <v>663</v>
      </c>
      <c r="P276" s="1"/>
      <c r="Q276" s="11" t="b">
        <f>O276=P276</f>
        <v>0</v>
      </c>
      <c r="R276" s="30">
        <v>30040952</v>
      </c>
      <c r="S276" s="1"/>
      <c r="T276" s="11" t="b">
        <f>R276=S276</f>
        <v>0</v>
      </c>
      <c r="U276" s="10" t="s">
        <v>16</v>
      </c>
      <c r="V276" s="1"/>
      <c r="W276" s="11" t="b">
        <f>U276=V276</f>
        <v>0</v>
      </c>
      <c r="X276" s="13" t="s">
        <v>15</v>
      </c>
      <c r="Y276" s="1"/>
      <c r="Z276" s="1"/>
      <c r="AA276" s="10">
        <v>22002617</v>
      </c>
      <c r="AB276" s="10" t="s">
        <v>1409</v>
      </c>
      <c r="AD276" s="11" t="b">
        <f>AB276=AC276</f>
        <v>0</v>
      </c>
      <c r="AE276" s="10" t="s">
        <v>755</v>
      </c>
      <c r="AF276" s="1"/>
      <c r="AG276" s="11" t="b">
        <f>AE276=AF276</f>
        <v>0</v>
      </c>
      <c r="AH276" s="1">
        <v>15</v>
      </c>
      <c r="AI276" s="1">
        <v>10.02</v>
      </c>
      <c r="AJ276" s="16">
        <f>AI276*220/30*30.4375</f>
        <v>2236.5475000000001</v>
      </c>
      <c r="AK276" s="18">
        <v>2236.5500000000002</v>
      </c>
      <c r="AL276" s="71" t="s">
        <v>663</v>
      </c>
      <c r="AM276" s="19" t="b">
        <f>AL276=O276</f>
        <v>1</v>
      </c>
      <c r="AN276" s="7">
        <f>VLOOKUP(A276,'base ZITRHR129'!$G$1:$H$628,2,0)</f>
        <v>30040952</v>
      </c>
      <c r="AO276" s="7" t="b">
        <f>AN276=R276</f>
        <v>1</v>
      </c>
      <c r="AP276" s="7">
        <f>VLOOKUP(A276,'base ZITRHR129'!G42:W668,17,0)</f>
        <v>2236.5500000000002</v>
      </c>
      <c r="AQ276" s="7" t="b">
        <f>AP276=AK276</f>
        <v>1</v>
      </c>
      <c r="AR276" s="78"/>
    </row>
    <row r="277" spans="1:44" s="7" customFormat="1" x14ac:dyDescent="0.25">
      <c r="A277" s="7">
        <v>10044322</v>
      </c>
      <c r="B277" s="8" t="s">
        <v>300</v>
      </c>
      <c r="C277" s="8" t="s">
        <v>684</v>
      </c>
      <c r="D277" s="8" t="s">
        <v>717</v>
      </c>
      <c r="E277" s="8" t="s">
        <v>720</v>
      </c>
      <c r="F277" s="8" t="s">
        <v>1406</v>
      </c>
      <c r="G277" s="8" t="s">
        <v>751</v>
      </c>
      <c r="H277" s="9">
        <v>18</v>
      </c>
      <c r="I277" s="8" t="s">
        <v>657</v>
      </c>
      <c r="J277" s="8" t="s">
        <v>1048</v>
      </c>
      <c r="K277" s="8" t="s">
        <v>16</v>
      </c>
      <c r="L277" s="8" t="s">
        <v>17</v>
      </c>
      <c r="M277" s="10" t="s">
        <v>684</v>
      </c>
      <c r="N277" s="10" t="s">
        <v>717</v>
      </c>
      <c r="O277" s="10" t="s">
        <v>657</v>
      </c>
      <c r="P277" s="1"/>
      <c r="Q277" s="11" t="b">
        <f>O277=P277</f>
        <v>0</v>
      </c>
      <c r="R277" s="30">
        <v>30040953</v>
      </c>
      <c r="S277" s="1"/>
      <c r="T277" s="11" t="b">
        <f>R277=S277</f>
        <v>0</v>
      </c>
      <c r="U277" s="10" t="s">
        <v>16</v>
      </c>
      <c r="V277" s="1"/>
      <c r="W277" s="11" t="b">
        <f>U277=V277</f>
        <v>0</v>
      </c>
      <c r="X277" s="13" t="s">
        <v>15</v>
      </c>
      <c r="Y277" s="1"/>
      <c r="Z277" s="1"/>
      <c r="AA277" s="10">
        <v>22003015</v>
      </c>
      <c r="AB277" s="10" t="s">
        <v>1409</v>
      </c>
      <c r="AD277" s="11" t="b">
        <f>AB277=AC277</f>
        <v>0</v>
      </c>
      <c r="AE277" s="10" t="s">
        <v>751</v>
      </c>
      <c r="AF277" s="1"/>
      <c r="AG277" s="11" t="b">
        <f>AE277=AF277</f>
        <v>0</v>
      </c>
      <c r="AH277" s="1">
        <v>18</v>
      </c>
      <c r="AI277" s="1">
        <v>15</v>
      </c>
      <c r="AJ277" s="16">
        <f>AI277*220/30*30.4375</f>
        <v>3348.125</v>
      </c>
      <c r="AK277" s="18">
        <v>3348.13</v>
      </c>
      <c r="AL277" s="71" t="s">
        <v>657</v>
      </c>
      <c r="AM277" s="19" t="b">
        <f>AL277=O277</f>
        <v>1</v>
      </c>
      <c r="AN277" s="7">
        <f>VLOOKUP(A277,'base ZITRHR129'!$G$1:$H$628,2,0)</f>
        <v>30040953</v>
      </c>
      <c r="AO277" s="7" t="b">
        <f>AN277=R277</f>
        <v>1</v>
      </c>
      <c r="AP277" s="7">
        <f>VLOOKUP(A277,'base ZITRHR129'!G41:W667,17,0)</f>
        <v>3348.13</v>
      </c>
      <c r="AQ277" s="7" t="b">
        <f>AP277=AK277</f>
        <v>1</v>
      </c>
      <c r="AR277" s="78"/>
    </row>
    <row r="278" spans="1:44" s="7" customFormat="1" x14ac:dyDescent="0.25">
      <c r="A278" s="7">
        <v>10044323</v>
      </c>
      <c r="B278" s="8" t="s">
        <v>301</v>
      </c>
      <c r="C278" s="8" t="s">
        <v>700</v>
      </c>
      <c r="D278" s="8" t="s">
        <v>717</v>
      </c>
      <c r="E278" s="8" t="s">
        <v>732</v>
      </c>
      <c r="F278" s="8" t="s">
        <v>1407</v>
      </c>
      <c r="G278" s="8" t="s">
        <v>761</v>
      </c>
      <c r="H278" s="9">
        <v>15</v>
      </c>
      <c r="I278" s="8" t="s">
        <v>666</v>
      </c>
      <c r="J278" s="8" t="s">
        <v>1049</v>
      </c>
      <c r="K278" s="8" t="s">
        <v>16</v>
      </c>
      <c r="L278" s="8" t="s">
        <v>17</v>
      </c>
      <c r="M278" s="10" t="s">
        <v>700</v>
      </c>
      <c r="N278" s="10" t="s">
        <v>717</v>
      </c>
      <c r="O278" s="10" t="s">
        <v>666</v>
      </c>
      <c r="P278" s="1"/>
      <c r="Q278" s="11" t="b">
        <f>O278=P278</f>
        <v>0</v>
      </c>
      <c r="R278" s="30">
        <v>30041333</v>
      </c>
      <c r="S278" s="1"/>
      <c r="T278" s="11" t="b">
        <f>R278=S278</f>
        <v>0</v>
      </c>
      <c r="U278" s="10" t="s">
        <v>16</v>
      </c>
      <c r="V278" s="1"/>
      <c r="W278" s="11" t="b">
        <f>U278=V278</f>
        <v>0</v>
      </c>
      <c r="X278" s="13" t="s">
        <v>15</v>
      </c>
      <c r="Y278" s="1"/>
      <c r="Z278" s="1"/>
      <c r="AA278" s="15">
        <v>22003423</v>
      </c>
      <c r="AB278" s="10" t="s">
        <v>1410</v>
      </c>
      <c r="AD278" s="11" t="b">
        <f>AB278=AC278</f>
        <v>0</v>
      </c>
      <c r="AE278" s="10" t="s">
        <v>761</v>
      </c>
      <c r="AF278" s="1"/>
      <c r="AG278" s="11" t="b">
        <f>AE278=AF278</f>
        <v>0</v>
      </c>
      <c r="AH278" s="1">
        <v>15</v>
      </c>
      <c r="AI278" s="1">
        <v>11.71</v>
      </c>
      <c r="AJ278" s="16">
        <f>AI278*180/30*30.4375</f>
        <v>2138.5387500000002</v>
      </c>
      <c r="AK278" s="18">
        <v>2138.54</v>
      </c>
      <c r="AL278" s="71" t="s">
        <v>666</v>
      </c>
      <c r="AM278" s="19" t="b">
        <f>AL278=O278</f>
        <v>1</v>
      </c>
      <c r="AN278" s="7">
        <f>VLOOKUP(A278,'base ZITRHR129'!$G$1:$H$628,2,0)</f>
        <v>30041333</v>
      </c>
      <c r="AO278" s="7" t="b">
        <f>AN278=R278</f>
        <v>1</v>
      </c>
      <c r="AP278" s="7">
        <f>VLOOKUP(A278,'base ZITRHR129'!G40:W666,17,0)</f>
        <v>2138.54</v>
      </c>
      <c r="AQ278" s="7" t="b">
        <f>AP278=AK278</f>
        <v>1</v>
      </c>
      <c r="AR278" s="78"/>
    </row>
    <row r="279" spans="1:44" s="7" customFormat="1" x14ac:dyDescent="0.25">
      <c r="A279" s="7">
        <v>10044359</v>
      </c>
      <c r="B279" s="8" t="s">
        <v>302</v>
      </c>
      <c r="C279" s="8" t="s">
        <v>694</v>
      </c>
      <c r="D279" s="8" t="s">
        <v>717</v>
      </c>
      <c r="E279" s="8" t="s">
        <v>730</v>
      </c>
      <c r="F279" s="8" t="s">
        <v>1406</v>
      </c>
      <c r="G279" s="8" t="s">
        <v>759</v>
      </c>
      <c r="H279" s="9">
        <v>17</v>
      </c>
      <c r="I279" s="8" t="s">
        <v>667</v>
      </c>
      <c r="J279" s="8" t="s">
        <v>1050</v>
      </c>
      <c r="K279" s="8" t="s">
        <v>16</v>
      </c>
      <c r="L279" s="8" t="s">
        <v>17</v>
      </c>
      <c r="M279" s="10" t="s">
        <v>694</v>
      </c>
      <c r="N279" s="10" t="s">
        <v>717</v>
      </c>
      <c r="O279" s="10" t="s">
        <v>667</v>
      </c>
      <c r="P279" s="1"/>
      <c r="Q279" s="11" t="b">
        <f>O279=P279</f>
        <v>0</v>
      </c>
      <c r="R279" s="30">
        <v>30040955</v>
      </c>
      <c r="S279" s="1"/>
      <c r="T279" s="11" t="b">
        <f>R279=S279</f>
        <v>0</v>
      </c>
      <c r="U279" s="10" t="s">
        <v>16</v>
      </c>
      <c r="V279" s="1"/>
      <c r="W279" s="11" t="b">
        <f>U279=V279</f>
        <v>0</v>
      </c>
      <c r="X279" s="13" t="s">
        <v>15</v>
      </c>
      <c r="Y279" s="1"/>
      <c r="Z279" s="1"/>
      <c r="AA279" s="63">
        <v>22002605</v>
      </c>
      <c r="AB279" s="10" t="s">
        <v>1409</v>
      </c>
      <c r="AD279" s="11" t="b">
        <f>AB279=AC279</f>
        <v>0</v>
      </c>
      <c r="AE279" s="10" t="s">
        <v>759</v>
      </c>
      <c r="AF279" s="1"/>
      <c r="AG279" s="11" t="b">
        <f>AE279=AF279</f>
        <v>0</v>
      </c>
      <c r="AH279" s="1">
        <v>17</v>
      </c>
      <c r="AI279" s="1">
        <v>14.04</v>
      </c>
      <c r="AJ279" s="16">
        <f>AI279*220/30*30.4375</f>
        <v>3133.8449999999998</v>
      </c>
      <c r="AK279" s="18">
        <v>3133.85</v>
      </c>
      <c r="AL279" s="71" t="s">
        <v>667</v>
      </c>
      <c r="AM279" s="19" t="b">
        <f>AL279=O279</f>
        <v>1</v>
      </c>
      <c r="AN279" s="7">
        <f>VLOOKUP(A279,'base ZITRHR129'!$G$1:$H$628,2,0)</f>
        <v>30040955</v>
      </c>
      <c r="AO279" s="7" t="b">
        <f>AN279=R279</f>
        <v>1</v>
      </c>
      <c r="AP279" s="7">
        <f>VLOOKUP(A279,'base ZITRHR129'!G39:W665,17,0)</f>
        <v>3133.85</v>
      </c>
      <c r="AQ279" s="7" t="b">
        <f>AP279=AK279</f>
        <v>1</v>
      </c>
      <c r="AR279" s="78"/>
    </row>
    <row r="280" spans="1:44" s="7" customFormat="1" x14ac:dyDescent="0.25">
      <c r="A280" s="7">
        <v>10044360</v>
      </c>
      <c r="B280" s="8" t="s">
        <v>303</v>
      </c>
      <c r="C280" s="8" t="s">
        <v>689</v>
      </c>
      <c r="D280" s="8" t="s">
        <v>717</v>
      </c>
      <c r="E280" s="8" t="s">
        <v>730</v>
      </c>
      <c r="F280" s="8" t="s">
        <v>1406</v>
      </c>
      <c r="G280" s="8" t="s">
        <v>759</v>
      </c>
      <c r="H280" s="9">
        <v>17</v>
      </c>
      <c r="I280" s="8" t="s">
        <v>662</v>
      </c>
      <c r="J280" s="8" t="s">
        <v>1051</v>
      </c>
      <c r="K280" s="8" t="s">
        <v>16</v>
      </c>
      <c r="L280" s="8" t="s">
        <v>17</v>
      </c>
      <c r="M280" s="10" t="s">
        <v>689</v>
      </c>
      <c r="N280" s="10" t="s">
        <v>717</v>
      </c>
      <c r="O280" s="10" t="s">
        <v>662</v>
      </c>
      <c r="P280" s="1"/>
      <c r="Q280" s="11" t="b">
        <f>O280=P280</f>
        <v>0</v>
      </c>
      <c r="R280" s="30">
        <v>30040956</v>
      </c>
      <c r="S280" s="1"/>
      <c r="T280" s="11" t="b">
        <f>R280=S280</f>
        <v>0</v>
      </c>
      <c r="U280" s="10" t="s">
        <v>16</v>
      </c>
      <c r="V280" s="1"/>
      <c r="W280" s="11" t="b">
        <f>U280=V280</f>
        <v>0</v>
      </c>
      <c r="X280" s="13" t="s">
        <v>15</v>
      </c>
      <c r="Y280" s="1"/>
      <c r="Z280" s="1"/>
      <c r="AA280" s="10">
        <v>22002605</v>
      </c>
      <c r="AB280" s="10" t="s">
        <v>1409</v>
      </c>
      <c r="AD280" s="11" t="b">
        <f>AB280=AC280</f>
        <v>0</v>
      </c>
      <c r="AE280" s="10" t="s">
        <v>759</v>
      </c>
      <c r="AF280" s="1"/>
      <c r="AG280" s="11" t="b">
        <f>AE280=AF280</f>
        <v>0</v>
      </c>
      <c r="AH280" s="1">
        <v>17</v>
      </c>
      <c r="AI280" s="1">
        <v>14.04</v>
      </c>
      <c r="AJ280" s="16">
        <f>AI280*220/30*30.4375</f>
        <v>3133.8449999999998</v>
      </c>
      <c r="AK280" s="18">
        <v>3133.85</v>
      </c>
      <c r="AL280" s="71" t="s">
        <v>662</v>
      </c>
      <c r="AM280" s="19" t="b">
        <f>AL280=O280</f>
        <v>1</v>
      </c>
      <c r="AN280" s="7">
        <f>VLOOKUP(A280,'base ZITRHR129'!$G$1:$H$628,2,0)</f>
        <v>30040956</v>
      </c>
      <c r="AO280" s="7" t="b">
        <f>AN280=R280</f>
        <v>1</v>
      </c>
      <c r="AP280" s="7">
        <f>VLOOKUP(A280,'base ZITRHR129'!G38:W664,17,0)</f>
        <v>3133.85</v>
      </c>
      <c r="AQ280" s="7" t="b">
        <f>AP280=AK280</f>
        <v>1</v>
      </c>
      <c r="AR280" s="78"/>
    </row>
    <row r="281" spans="1:44" s="7" customFormat="1" x14ac:dyDescent="0.25">
      <c r="A281" s="7">
        <v>10044456</v>
      </c>
      <c r="B281" s="8" t="s">
        <v>304</v>
      </c>
      <c r="C281" s="8" t="s">
        <v>704</v>
      </c>
      <c r="D281" s="8" t="s">
        <v>717</v>
      </c>
      <c r="E281" s="8" t="s">
        <v>737</v>
      </c>
      <c r="F281" s="8" t="s">
        <v>1406</v>
      </c>
      <c r="G281" s="8" t="s">
        <v>765</v>
      </c>
      <c r="H281" s="9">
        <v>14</v>
      </c>
      <c r="I281" s="8" t="s">
        <v>669</v>
      </c>
      <c r="J281" s="8" t="s">
        <v>1052</v>
      </c>
      <c r="K281" s="8" t="s">
        <v>16</v>
      </c>
      <c r="L281" s="8" t="s">
        <v>17</v>
      </c>
      <c r="M281" s="10" t="s">
        <v>704</v>
      </c>
      <c r="N281" s="10" t="s">
        <v>717</v>
      </c>
      <c r="O281" s="10" t="s">
        <v>669</v>
      </c>
      <c r="P281" s="1"/>
      <c r="Q281" s="11" t="b">
        <f>O281=P281</f>
        <v>0</v>
      </c>
      <c r="R281" s="30">
        <v>30040957</v>
      </c>
      <c r="S281" s="1"/>
      <c r="T281" s="11" t="b">
        <f>R281=S281</f>
        <v>0</v>
      </c>
      <c r="U281" s="10" t="s">
        <v>16</v>
      </c>
      <c r="V281" s="1"/>
      <c r="W281" s="11" t="b">
        <f>U281=V281</f>
        <v>0</v>
      </c>
      <c r="X281" s="13" t="s">
        <v>15</v>
      </c>
      <c r="Y281" s="1"/>
      <c r="Z281" s="1"/>
      <c r="AA281" s="10">
        <v>22002830</v>
      </c>
      <c r="AB281" s="10" t="s">
        <v>1409</v>
      </c>
      <c r="AD281" s="11" t="b">
        <f>AB281=AC281</f>
        <v>0</v>
      </c>
      <c r="AE281" s="10" t="s">
        <v>765</v>
      </c>
      <c r="AF281" s="1"/>
      <c r="AG281" s="11" t="b">
        <f>AE281=AF281</f>
        <v>0</v>
      </c>
      <c r="AH281" s="1">
        <v>14</v>
      </c>
      <c r="AI281" s="1">
        <v>8.59</v>
      </c>
      <c r="AJ281" s="16">
        <f>AI281*220/30*30.4375</f>
        <v>1917.3595833333334</v>
      </c>
      <c r="AK281" s="18">
        <v>1917.36</v>
      </c>
      <c r="AL281" s="71" t="s">
        <v>669</v>
      </c>
      <c r="AM281" s="19" t="b">
        <f>AL281=O281</f>
        <v>1</v>
      </c>
      <c r="AN281" s="7">
        <f>VLOOKUP(A281,'base ZITRHR129'!$G$1:$H$628,2,0)</f>
        <v>30040957</v>
      </c>
      <c r="AO281" s="7" t="b">
        <f>AN281=R281</f>
        <v>1</v>
      </c>
      <c r="AP281" s="7">
        <f>VLOOKUP(A281,'base ZITRHR129'!G37:W663,17,0)</f>
        <v>1917.36</v>
      </c>
      <c r="AQ281" s="7" t="b">
        <f>AP281=AK281</f>
        <v>1</v>
      </c>
      <c r="AR281" s="78"/>
    </row>
    <row r="282" spans="1:44" s="7" customFormat="1" x14ac:dyDescent="0.25">
      <c r="A282" s="7">
        <v>10044601</v>
      </c>
      <c r="B282" s="8" t="s">
        <v>305</v>
      </c>
      <c r="C282" s="8" t="s">
        <v>690</v>
      </c>
      <c r="D282" s="8" t="s">
        <v>717</v>
      </c>
      <c r="E282" s="8" t="s">
        <v>726</v>
      </c>
      <c r="F282" s="8" t="s">
        <v>1406</v>
      </c>
      <c r="G282" s="8" t="s">
        <v>755</v>
      </c>
      <c r="H282" s="9">
        <v>15</v>
      </c>
      <c r="I282" s="8" t="s">
        <v>663</v>
      </c>
      <c r="J282" s="8" t="s">
        <v>1053</v>
      </c>
      <c r="K282" s="8" t="s">
        <v>16</v>
      </c>
      <c r="L282" s="8" t="s">
        <v>17</v>
      </c>
      <c r="M282" s="10" t="s">
        <v>690</v>
      </c>
      <c r="N282" s="10" t="s">
        <v>717</v>
      </c>
      <c r="O282" s="10" t="s">
        <v>663</v>
      </c>
      <c r="P282" s="1"/>
      <c r="Q282" s="11" t="b">
        <f>O282=P282</f>
        <v>0</v>
      </c>
      <c r="R282" s="30">
        <v>30040958</v>
      </c>
      <c r="S282" s="1"/>
      <c r="T282" s="11" t="b">
        <f>R282=S282</f>
        <v>0</v>
      </c>
      <c r="U282" s="10" t="s">
        <v>16</v>
      </c>
      <c r="V282" s="1"/>
      <c r="W282" s="11" t="b">
        <f>U282=V282</f>
        <v>0</v>
      </c>
      <c r="X282" s="13" t="s">
        <v>15</v>
      </c>
      <c r="Y282" s="1"/>
      <c r="Z282" s="1"/>
      <c r="AA282" s="10">
        <v>22002617</v>
      </c>
      <c r="AB282" s="10" t="s">
        <v>1409</v>
      </c>
      <c r="AD282" s="11" t="b">
        <f>AB282=AC282</f>
        <v>0</v>
      </c>
      <c r="AE282" s="10" t="s">
        <v>755</v>
      </c>
      <c r="AF282" s="1"/>
      <c r="AG282" s="11" t="b">
        <f>AE282=AF282</f>
        <v>0</v>
      </c>
      <c r="AH282" s="1">
        <v>15</v>
      </c>
      <c r="AI282" s="1">
        <v>11.43</v>
      </c>
      <c r="AJ282" s="16">
        <f>AI282*220/30*30.4375</f>
        <v>2551.2712499999998</v>
      </c>
      <c r="AK282" s="18">
        <v>2551.27</v>
      </c>
      <c r="AL282" s="71" t="s">
        <v>663</v>
      </c>
      <c r="AM282" s="19" t="b">
        <f>AL282=O282</f>
        <v>1</v>
      </c>
      <c r="AN282" s="7">
        <f>VLOOKUP(A282,'base ZITRHR129'!$G$1:$H$628,2,0)</f>
        <v>30040958</v>
      </c>
      <c r="AO282" s="7" t="b">
        <f>AN282=R282</f>
        <v>1</v>
      </c>
      <c r="AP282" s="7">
        <f>VLOOKUP(A282,'base ZITRHR129'!G36:W662,17,0)</f>
        <v>2551.27</v>
      </c>
      <c r="AQ282" s="7" t="b">
        <f>AP282=AK282</f>
        <v>1</v>
      </c>
      <c r="AR282" s="78"/>
    </row>
    <row r="283" spans="1:44" s="7" customFormat="1" x14ac:dyDescent="0.25">
      <c r="A283" s="7">
        <v>10044713</v>
      </c>
      <c r="B283" s="8" t="s">
        <v>306</v>
      </c>
      <c r="C283" s="8" t="s">
        <v>690</v>
      </c>
      <c r="D283" s="8" t="s">
        <v>717</v>
      </c>
      <c r="E283" s="8" t="s">
        <v>726</v>
      </c>
      <c r="F283" s="8" t="s">
        <v>1406</v>
      </c>
      <c r="G283" s="8" t="s">
        <v>755</v>
      </c>
      <c r="H283" s="9">
        <v>15</v>
      </c>
      <c r="I283" s="8" t="s">
        <v>663</v>
      </c>
      <c r="J283" s="8" t="s">
        <v>1054</v>
      </c>
      <c r="K283" s="8" t="s">
        <v>16</v>
      </c>
      <c r="L283" s="8" t="s">
        <v>17</v>
      </c>
      <c r="M283" s="10" t="s">
        <v>690</v>
      </c>
      <c r="N283" s="10" t="s">
        <v>717</v>
      </c>
      <c r="O283" s="10" t="s">
        <v>663</v>
      </c>
      <c r="P283" s="1"/>
      <c r="Q283" s="11" t="b">
        <f>O283=P283</f>
        <v>0</v>
      </c>
      <c r="R283" s="30">
        <v>30040959</v>
      </c>
      <c r="S283" s="1"/>
      <c r="T283" s="11" t="b">
        <f>R283=S283</f>
        <v>0</v>
      </c>
      <c r="U283" s="10" t="s">
        <v>16</v>
      </c>
      <c r="V283" s="1"/>
      <c r="W283" s="11" t="b">
        <f>U283=V283</f>
        <v>0</v>
      </c>
      <c r="X283" s="13" t="s">
        <v>15</v>
      </c>
      <c r="Y283" s="1"/>
      <c r="Z283" s="1"/>
      <c r="AA283" s="10">
        <v>22002617</v>
      </c>
      <c r="AB283" s="10" t="s">
        <v>1409</v>
      </c>
      <c r="AD283" s="11" t="b">
        <f>AB283=AC283</f>
        <v>0</v>
      </c>
      <c r="AE283" s="10" t="s">
        <v>755</v>
      </c>
      <c r="AF283" s="1"/>
      <c r="AG283" s="11" t="b">
        <f>AE283=AF283</f>
        <v>0</v>
      </c>
      <c r="AH283" s="1">
        <v>15</v>
      </c>
      <c r="AI283" s="1">
        <v>11.43</v>
      </c>
      <c r="AJ283" s="16">
        <f>AI283*220/30*30.4375</f>
        <v>2551.2712499999998</v>
      </c>
      <c r="AK283" s="18">
        <v>2551.27</v>
      </c>
      <c r="AL283" s="71" t="s">
        <v>663</v>
      </c>
      <c r="AM283" s="19" t="b">
        <f>AL283=O283</f>
        <v>1</v>
      </c>
      <c r="AN283" s="7">
        <f>VLOOKUP(A283,'base ZITRHR129'!$G$1:$H$628,2,0)</f>
        <v>30040959</v>
      </c>
      <c r="AO283" s="7" t="b">
        <f>AN283=R283</f>
        <v>1</v>
      </c>
      <c r="AP283" s="7">
        <f>VLOOKUP(A283,'base ZITRHR129'!G35:W661,17,0)</f>
        <v>2551.27</v>
      </c>
      <c r="AQ283" s="7" t="b">
        <f>AP283=AK283</f>
        <v>1</v>
      </c>
      <c r="AR283" s="78"/>
    </row>
    <row r="284" spans="1:44" s="7" customFormat="1" x14ac:dyDescent="0.25">
      <c r="A284" s="7">
        <v>10044715</v>
      </c>
      <c r="B284" s="8" t="s">
        <v>307</v>
      </c>
      <c r="C284" s="8" t="s">
        <v>679</v>
      </c>
      <c r="D284" s="8" t="s">
        <v>717</v>
      </c>
      <c r="E284" s="8" t="s">
        <v>720</v>
      </c>
      <c r="F284" s="8" t="s">
        <v>1406</v>
      </c>
      <c r="G284" s="8" t="s">
        <v>751</v>
      </c>
      <c r="H284" s="9">
        <v>18</v>
      </c>
      <c r="I284" s="8" t="s">
        <v>653</v>
      </c>
      <c r="J284" s="8" t="s">
        <v>1055</v>
      </c>
      <c r="K284" s="8" t="s">
        <v>16</v>
      </c>
      <c r="L284" s="8" t="s">
        <v>17</v>
      </c>
      <c r="M284" s="10" t="s">
        <v>679</v>
      </c>
      <c r="N284" s="10" t="s">
        <v>717</v>
      </c>
      <c r="O284" s="10" t="s">
        <v>653</v>
      </c>
      <c r="P284" s="1"/>
      <c r="Q284" s="11" t="b">
        <f>O284=P284</f>
        <v>0</v>
      </c>
      <c r="R284" s="30">
        <v>30040960</v>
      </c>
      <c r="S284" s="1"/>
      <c r="T284" s="11" t="b">
        <f>R284=S284</f>
        <v>0</v>
      </c>
      <c r="U284" s="10" t="s">
        <v>16</v>
      </c>
      <c r="V284" s="1"/>
      <c r="W284" s="11" t="b">
        <f>U284=V284</f>
        <v>0</v>
      </c>
      <c r="X284" s="13" t="s">
        <v>15</v>
      </c>
      <c r="Y284" s="1"/>
      <c r="Z284" s="1"/>
      <c r="AA284" s="10">
        <v>22003015</v>
      </c>
      <c r="AB284" s="10" t="s">
        <v>1409</v>
      </c>
      <c r="AD284" s="11" t="b">
        <f>AB284=AC284</f>
        <v>0</v>
      </c>
      <c r="AE284" s="10" t="s">
        <v>751</v>
      </c>
      <c r="AF284" s="1"/>
      <c r="AG284" s="11" t="b">
        <f>AE284=AF284</f>
        <v>0</v>
      </c>
      <c r="AH284" s="1">
        <v>18</v>
      </c>
      <c r="AI284" s="1">
        <v>17.73</v>
      </c>
      <c r="AJ284" s="16">
        <f>AI284*220/30*30.4375</f>
        <v>3957.4837500000003</v>
      </c>
      <c r="AK284" s="18">
        <v>3957.48</v>
      </c>
      <c r="AL284" s="71" t="s">
        <v>653</v>
      </c>
      <c r="AM284" s="19" t="b">
        <f>AL284=O284</f>
        <v>1</v>
      </c>
      <c r="AN284" s="7">
        <f>VLOOKUP(A284,'base ZITRHR129'!$G$1:$H$628,2,0)</f>
        <v>30040960</v>
      </c>
      <c r="AO284" s="7" t="b">
        <f>AN284=R284</f>
        <v>1</v>
      </c>
      <c r="AP284" s="7">
        <f>VLOOKUP(A284,'base ZITRHR129'!G34:W660,17,0)</f>
        <v>3957.48</v>
      </c>
      <c r="AQ284" s="7" t="b">
        <f>AP284=AK284</f>
        <v>1</v>
      </c>
      <c r="AR284" s="78"/>
    </row>
    <row r="285" spans="1:44" s="7" customFormat="1" x14ac:dyDescent="0.25">
      <c r="A285" s="7">
        <v>10044785</v>
      </c>
      <c r="B285" s="8" t="s">
        <v>308</v>
      </c>
      <c r="C285" s="8" t="s">
        <v>712</v>
      </c>
      <c r="D285" s="8" t="s">
        <v>717</v>
      </c>
      <c r="E285" s="8" t="s">
        <v>723</v>
      </c>
      <c r="F285" s="8" t="s">
        <v>1406</v>
      </c>
      <c r="G285" s="8" t="s">
        <v>19</v>
      </c>
      <c r="H285" s="9">
        <v>16</v>
      </c>
      <c r="I285" s="8" t="s">
        <v>661</v>
      </c>
      <c r="J285" s="8" t="s">
        <v>1056</v>
      </c>
      <c r="K285" s="8" t="s">
        <v>16</v>
      </c>
      <c r="L285" s="8" t="s">
        <v>17</v>
      </c>
      <c r="M285" s="10" t="s">
        <v>712</v>
      </c>
      <c r="N285" s="10" t="s">
        <v>717</v>
      </c>
      <c r="O285" s="10" t="s">
        <v>661</v>
      </c>
      <c r="P285" s="1"/>
      <c r="Q285" s="11" t="b">
        <f>O285=P285</f>
        <v>0</v>
      </c>
      <c r="R285" s="30">
        <v>30040961</v>
      </c>
      <c r="S285" s="1"/>
      <c r="T285" s="11" t="b">
        <f>R285=S285</f>
        <v>0</v>
      </c>
      <c r="U285" s="10" t="s">
        <v>16</v>
      </c>
      <c r="V285" s="1"/>
      <c r="W285" s="11" t="b">
        <f>U285=V285</f>
        <v>0</v>
      </c>
      <c r="X285" s="13" t="s">
        <v>15</v>
      </c>
      <c r="Y285" s="1"/>
      <c r="Z285" s="1"/>
      <c r="AA285" s="10">
        <v>22002460</v>
      </c>
      <c r="AB285" s="10" t="s">
        <v>1409</v>
      </c>
      <c r="AD285" s="11" t="b">
        <f>AB285=AC285</f>
        <v>0</v>
      </c>
      <c r="AE285" s="10" t="s">
        <v>19</v>
      </c>
      <c r="AF285" s="1"/>
      <c r="AG285" s="11" t="b">
        <f>AE285=AF285</f>
        <v>0</v>
      </c>
      <c r="AH285" s="1">
        <v>16</v>
      </c>
      <c r="AI285" s="1">
        <v>10.26</v>
      </c>
      <c r="AJ285" s="16">
        <f>AI285*220/30*30.4375</f>
        <v>2290.1174999999998</v>
      </c>
      <c r="AK285" s="18">
        <v>2290.12</v>
      </c>
      <c r="AL285" s="71" t="s">
        <v>661</v>
      </c>
      <c r="AM285" s="19" t="b">
        <f>AL285=O285</f>
        <v>1</v>
      </c>
      <c r="AN285" s="7">
        <f>VLOOKUP(A285,'base ZITRHR129'!$G$1:$H$628,2,0)</f>
        <v>30040961</v>
      </c>
      <c r="AO285" s="7" t="b">
        <f>AN285=R285</f>
        <v>1</v>
      </c>
      <c r="AP285" s="7">
        <f>VLOOKUP(A285,'base ZITRHR129'!G33:W659,17,0)</f>
        <v>2290.12</v>
      </c>
      <c r="AQ285" s="7" t="b">
        <f>AP285=AK285</f>
        <v>1</v>
      </c>
      <c r="AR285" s="78"/>
    </row>
    <row r="286" spans="1:44" s="7" customFormat="1" x14ac:dyDescent="0.25">
      <c r="A286" s="7">
        <v>10045531</v>
      </c>
      <c r="B286" s="8" t="s">
        <v>309</v>
      </c>
      <c r="C286" s="8" t="s">
        <v>695</v>
      </c>
      <c r="D286" s="8" t="s">
        <v>717</v>
      </c>
      <c r="E286" s="8" t="s">
        <v>724</v>
      </c>
      <c r="F286" s="8" t="s">
        <v>1406</v>
      </c>
      <c r="G286" s="8" t="s">
        <v>21</v>
      </c>
      <c r="H286" s="9">
        <v>16</v>
      </c>
      <c r="I286" s="8" t="s">
        <v>660</v>
      </c>
      <c r="J286" s="8" t="s">
        <v>1057</v>
      </c>
      <c r="K286" s="8" t="s">
        <v>16</v>
      </c>
      <c r="L286" s="8" t="s">
        <v>17</v>
      </c>
      <c r="M286" s="10" t="s">
        <v>695</v>
      </c>
      <c r="N286" s="10" t="s">
        <v>717</v>
      </c>
      <c r="O286" s="10" t="s">
        <v>660</v>
      </c>
      <c r="P286" s="1"/>
      <c r="Q286" s="11" t="b">
        <f>O286=P286</f>
        <v>0</v>
      </c>
      <c r="R286" s="30">
        <v>30040962</v>
      </c>
      <c r="S286" s="1"/>
      <c r="T286" s="11" t="b">
        <f>R286=S286</f>
        <v>0</v>
      </c>
      <c r="U286" s="10" t="s">
        <v>16</v>
      </c>
      <c r="V286" s="1"/>
      <c r="W286" s="11" t="b">
        <f>U286=V286</f>
        <v>0</v>
      </c>
      <c r="X286" s="13" t="s">
        <v>15</v>
      </c>
      <c r="Y286" s="1"/>
      <c r="Z286" s="1"/>
      <c r="AA286" s="59">
        <v>22002616</v>
      </c>
      <c r="AB286" s="10" t="s">
        <v>1409</v>
      </c>
      <c r="AD286" s="11" t="b">
        <f>AB286=AC286</f>
        <v>0</v>
      </c>
      <c r="AE286" s="10" t="s">
        <v>21</v>
      </c>
      <c r="AF286" s="1"/>
      <c r="AG286" s="11" t="b">
        <f>AE286=AF286</f>
        <v>0</v>
      </c>
      <c r="AH286" s="1">
        <v>16</v>
      </c>
      <c r="AI286" s="1">
        <v>11.71</v>
      </c>
      <c r="AJ286" s="16">
        <f>AI286*220/30*30.4375</f>
        <v>2613.7695833333337</v>
      </c>
      <c r="AK286" s="18">
        <v>2613.77</v>
      </c>
      <c r="AL286" s="71" t="s">
        <v>660</v>
      </c>
      <c r="AM286" s="19" t="b">
        <f>AL286=O286</f>
        <v>1</v>
      </c>
      <c r="AN286" s="7">
        <f>VLOOKUP(A286,'base ZITRHR129'!$G$1:$H$628,2,0)</f>
        <v>30040962</v>
      </c>
      <c r="AO286" s="7" t="b">
        <f>AN286=R286</f>
        <v>1</v>
      </c>
      <c r="AP286" s="7">
        <f>VLOOKUP(A286,'base ZITRHR129'!G32:W658,17,0)</f>
        <v>2613.77</v>
      </c>
      <c r="AQ286" s="7" t="b">
        <f>AP286=AK286</f>
        <v>1</v>
      </c>
      <c r="AR286" s="78"/>
    </row>
    <row r="287" spans="1:44" s="7" customFormat="1" ht="12" x14ac:dyDescent="0.2">
      <c r="A287" s="20">
        <v>10045776</v>
      </c>
      <c r="B287" s="21" t="s">
        <v>310</v>
      </c>
      <c r="C287" s="21" t="s">
        <v>700</v>
      </c>
      <c r="D287" s="21" t="s">
        <v>717</v>
      </c>
      <c r="E287" s="21" t="s">
        <v>738</v>
      </c>
      <c r="F287" s="21" t="s">
        <v>1407</v>
      </c>
      <c r="G287" s="21" t="s">
        <v>765</v>
      </c>
      <c r="H287" s="22">
        <v>14</v>
      </c>
      <c r="I287" s="21" t="s">
        <v>666</v>
      </c>
      <c r="J287" s="21" t="s">
        <v>1058</v>
      </c>
      <c r="K287" s="21" t="s">
        <v>16</v>
      </c>
      <c r="L287" s="21" t="s">
        <v>17</v>
      </c>
      <c r="M287" s="21" t="s">
        <v>700</v>
      </c>
      <c r="N287" s="21" t="s">
        <v>717</v>
      </c>
      <c r="O287" s="21" t="s">
        <v>666</v>
      </c>
      <c r="P287" s="23"/>
      <c r="Q287" s="24" t="b">
        <f>O287=P287</f>
        <v>0</v>
      </c>
      <c r="R287" s="31">
        <v>30040963</v>
      </c>
      <c r="S287" s="23"/>
      <c r="T287" s="24" t="b">
        <f>R287=S287</f>
        <v>0</v>
      </c>
      <c r="U287" s="21" t="s">
        <v>16</v>
      </c>
      <c r="V287" s="23"/>
      <c r="W287" s="24" t="b">
        <f>U287=V287</f>
        <v>0</v>
      </c>
      <c r="X287" s="25" t="s">
        <v>15</v>
      </c>
      <c r="Y287" s="23"/>
      <c r="Z287" s="23"/>
      <c r="AA287" s="64">
        <v>22003024</v>
      </c>
      <c r="AB287" s="21" t="s">
        <v>1410</v>
      </c>
      <c r="AC287" s="20"/>
      <c r="AD287" s="24" t="b">
        <f>AB287=AC287</f>
        <v>0</v>
      </c>
      <c r="AE287" s="21" t="s">
        <v>765</v>
      </c>
      <c r="AF287" s="23"/>
      <c r="AG287" s="24" t="b">
        <f>AE287=AF287</f>
        <v>0</v>
      </c>
      <c r="AH287" s="23">
        <v>14</v>
      </c>
      <c r="AI287" s="23">
        <v>9.9</v>
      </c>
      <c r="AJ287" s="26">
        <f>AI287*180/30*30.4375</f>
        <v>1807.9875</v>
      </c>
      <c r="AK287" s="27">
        <v>1807.99</v>
      </c>
      <c r="AL287" s="73" t="s">
        <v>666</v>
      </c>
      <c r="AM287" s="28" t="b">
        <f>AL287=O287</f>
        <v>1</v>
      </c>
      <c r="AN287" s="20">
        <f>VLOOKUP(A287,'base ZITRHR129'!$G$1:$H$628,2,0)</f>
        <v>30040963</v>
      </c>
      <c r="AO287" s="20" t="b">
        <f>AN287=R287</f>
        <v>1</v>
      </c>
      <c r="AP287" s="20">
        <f>VLOOKUP(A287,'base ZITRHR129'!G31:W657,17,0)</f>
        <v>9.9</v>
      </c>
      <c r="AQ287" s="20" t="b">
        <f>AP287=AK287</f>
        <v>0</v>
      </c>
      <c r="AR287" s="69" t="s">
        <v>1516</v>
      </c>
    </row>
    <row r="288" spans="1:44" s="7" customFormat="1" x14ac:dyDescent="0.25">
      <c r="A288" s="7">
        <v>10045818</v>
      </c>
      <c r="B288" s="8" t="s">
        <v>311</v>
      </c>
      <c r="C288" s="8" t="s">
        <v>688</v>
      </c>
      <c r="D288" s="8" t="s">
        <v>717</v>
      </c>
      <c r="E288" s="8" t="s">
        <v>739</v>
      </c>
      <c r="F288" s="8" t="s">
        <v>1406</v>
      </c>
      <c r="G288" s="8" t="s">
        <v>766</v>
      </c>
      <c r="H288" s="9">
        <v>14</v>
      </c>
      <c r="I288" s="8" t="s">
        <v>661</v>
      </c>
      <c r="J288" s="8" t="s">
        <v>1059</v>
      </c>
      <c r="K288" s="8" t="s">
        <v>16</v>
      </c>
      <c r="L288" s="8" t="s">
        <v>17</v>
      </c>
      <c r="M288" s="10" t="s">
        <v>688</v>
      </c>
      <c r="N288" s="10" t="s">
        <v>717</v>
      </c>
      <c r="O288" s="10" t="s">
        <v>661</v>
      </c>
      <c r="P288" s="1"/>
      <c r="Q288" s="11" t="b">
        <f>O288=P288</f>
        <v>0</v>
      </c>
      <c r="R288" s="30">
        <v>30040964</v>
      </c>
      <c r="S288" s="1"/>
      <c r="T288" s="11" t="b">
        <f>R288=S288</f>
        <v>0</v>
      </c>
      <c r="U288" s="10" t="s">
        <v>16</v>
      </c>
      <c r="V288" s="1"/>
      <c r="W288" s="11" t="b">
        <f>U288=V288</f>
        <v>0</v>
      </c>
      <c r="X288" s="13" t="s">
        <v>15</v>
      </c>
      <c r="Y288" s="1"/>
      <c r="Z288" s="1"/>
      <c r="AA288" s="10">
        <v>22001415</v>
      </c>
      <c r="AB288" s="10" t="s">
        <v>1409</v>
      </c>
      <c r="AD288" s="11" t="b">
        <f>AB288=AC288</f>
        <v>0</v>
      </c>
      <c r="AE288" s="10" t="s">
        <v>766</v>
      </c>
      <c r="AF288" s="1"/>
      <c r="AG288" s="11" t="b">
        <f>AE288=AF288</f>
        <v>0</v>
      </c>
      <c r="AH288" s="1">
        <v>14</v>
      </c>
      <c r="AI288" s="1">
        <v>8.59</v>
      </c>
      <c r="AJ288" s="16">
        <f>AI288*220/30*30.4375</f>
        <v>1917.3595833333334</v>
      </c>
      <c r="AK288" s="18">
        <v>1917.36</v>
      </c>
      <c r="AL288" s="71" t="s">
        <v>661</v>
      </c>
      <c r="AM288" s="19" t="b">
        <f>AL288=O288</f>
        <v>1</v>
      </c>
      <c r="AN288" s="7">
        <f>VLOOKUP(A288,'base ZITRHR129'!$G$1:$H$628,2,0)</f>
        <v>30040964</v>
      </c>
      <c r="AO288" s="7" t="b">
        <f>AN288=R288</f>
        <v>1</v>
      </c>
      <c r="AP288" s="7">
        <f>VLOOKUP(A288,'base ZITRHR129'!G30:W656,17,0)</f>
        <v>1917.36</v>
      </c>
      <c r="AQ288" s="7" t="b">
        <f>AP288=AK288</f>
        <v>1</v>
      </c>
      <c r="AR288" s="78"/>
    </row>
    <row r="289" spans="1:44" s="7" customFormat="1" x14ac:dyDescent="0.25">
      <c r="A289" s="7">
        <v>10045894</v>
      </c>
      <c r="B289" s="8" t="s">
        <v>312</v>
      </c>
      <c r="C289" s="8" t="s">
        <v>681</v>
      </c>
      <c r="D289" s="8" t="s">
        <v>717</v>
      </c>
      <c r="E289" s="8" t="s">
        <v>720</v>
      </c>
      <c r="F289" s="8" t="s">
        <v>1406</v>
      </c>
      <c r="G289" s="8" t="s">
        <v>751</v>
      </c>
      <c r="H289" s="9">
        <v>18</v>
      </c>
      <c r="I289" s="8" t="s">
        <v>653</v>
      </c>
      <c r="J289" s="8" t="s">
        <v>1060</v>
      </c>
      <c r="K289" s="8" t="s">
        <v>16</v>
      </c>
      <c r="L289" s="8" t="s">
        <v>17</v>
      </c>
      <c r="M289" s="10" t="s">
        <v>681</v>
      </c>
      <c r="N289" s="10" t="s">
        <v>717</v>
      </c>
      <c r="O289" s="10" t="s">
        <v>653</v>
      </c>
      <c r="P289" s="1"/>
      <c r="Q289" s="11" t="b">
        <f>O289=P289</f>
        <v>0</v>
      </c>
      <c r="R289" s="30">
        <v>30040965</v>
      </c>
      <c r="S289" s="1"/>
      <c r="T289" s="11" t="b">
        <f>R289=S289</f>
        <v>0</v>
      </c>
      <c r="U289" s="10" t="s">
        <v>16</v>
      </c>
      <c r="V289" s="1"/>
      <c r="W289" s="11" t="b">
        <f>U289=V289</f>
        <v>0</v>
      </c>
      <c r="X289" s="13" t="s">
        <v>15</v>
      </c>
      <c r="Y289" s="1"/>
      <c r="Z289" s="1"/>
      <c r="AA289" s="59">
        <v>22003015</v>
      </c>
      <c r="AB289" s="10" t="s">
        <v>1409</v>
      </c>
      <c r="AD289" s="11" t="b">
        <f>AB289=AC289</f>
        <v>0</v>
      </c>
      <c r="AE289" s="10" t="s">
        <v>751</v>
      </c>
      <c r="AF289" s="1"/>
      <c r="AG289" s="11" t="b">
        <f>AE289=AF289</f>
        <v>0</v>
      </c>
      <c r="AH289" s="1">
        <v>18</v>
      </c>
      <c r="AI289" s="1">
        <v>17.73</v>
      </c>
      <c r="AJ289" s="16">
        <f>AI289*220/30*30.4375</f>
        <v>3957.4837500000003</v>
      </c>
      <c r="AK289" s="18">
        <v>3957.48</v>
      </c>
      <c r="AL289" s="71" t="s">
        <v>653</v>
      </c>
      <c r="AM289" s="19" t="b">
        <f>AL289=O289</f>
        <v>1</v>
      </c>
      <c r="AN289" s="7">
        <f>VLOOKUP(A289,'base ZITRHR129'!$G$1:$H$628,2,0)</f>
        <v>30040965</v>
      </c>
      <c r="AO289" s="7" t="b">
        <f>AN289=R289</f>
        <v>1</v>
      </c>
      <c r="AP289" s="7">
        <f>VLOOKUP(A289,'base ZITRHR129'!G29:W655,17,0)</f>
        <v>3957.48</v>
      </c>
      <c r="AQ289" s="7" t="b">
        <f>AP289=AK289</f>
        <v>1</v>
      </c>
      <c r="AR289" s="78"/>
    </row>
    <row r="290" spans="1:44" s="7" customFormat="1" x14ac:dyDescent="0.25">
      <c r="A290" s="7">
        <v>10045900</v>
      </c>
      <c r="B290" s="8" t="s">
        <v>313</v>
      </c>
      <c r="C290" s="8" t="s">
        <v>690</v>
      </c>
      <c r="D290" s="8" t="s">
        <v>717</v>
      </c>
      <c r="E290" s="8" t="s">
        <v>719</v>
      </c>
      <c r="F290" s="8" t="s">
        <v>1406</v>
      </c>
      <c r="G290" s="8" t="s">
        <v>20</v>
      </c>
      <c r="H290" s="9">
        <v>19</v>
      </c>
      <c r="I290" s="8" t="s">
        <v>663</v>
      </c>
      <c r="J290" s="8" t="s">
        <v>1061</v>
      </c>
      <c r="K290" s="8" t="s">
        <v>16</v>
      </c>
      <c r="L290" s="8" t="s">
        <v>17</v>
      </c>
      <c r="M290" s="10" t="s">
        <v>690</v>
      </c>
      <c r="N290" s="10" t="s">
        <v>717</v>
      </c>
      <c r="O290" s="10" t="s">
        <v>663</v>
      </c>
      <c r="P290" s="1"/>
      <c r="Q290" s="11" t="b">
        <f>O290=P290</f>
        <v>0</v>
      </c>
      <c r="R290" s="30">
        <v>30040966</v>
      </c>
      <c r="S290" s="1"/>
      <c r="T290" s="11" t="b">
        <f>R290=S290</f>
        <v>0</v>
      </c>
      <c r="U290" s="10" t="s">
        <v>16</v>
      </c>
      <c r="V290" s="1"/>
      <c r="W290" s="11" t="b">
        <f>U290=V290</f>
        <v>0</v>
      </c>
      <c r="X290" s="13" t="s">
        <v>15</v>
      </c>
      <c r="Y290" s="1"/>
      <c r="Z290" s="1"/>
      <c r="AA290" s="59">
        <v>22002723</v>
      </c>
      <c r="AB290" s="10" t="s">
        <v>1409</v>
      </c>
      <c r="AD290" s="11" t="b">
        <f>AB290=AC290</f>
        <v>0</v>
      </c>
      <c r="AE290" s="10" t="s">
        <v>20</v>
      </c>
      <c r="AF290" s="1"/>
      <c r="AG290" s="11" t="b">
        <f>AE290=AF290</f>
        <v>0</v>
      </c>
      <c r="AH290" s="1">
        <v>19</v>
      </c>
      <c r="AI290" s="1">
        <v>13.17</v>
      </c>
      <c r="AJ290" s="16">
        <f>AI290*220/30*30.4375</f>
        <v>2939.6537499999999</v>
      </c>
      <c r="AK290" s="18">
        <v>2939.65</v>
      </c>
      <c r="AL290" s="71" t="s">
        <v>663</v>
      </c>
      <c r="AM290" s="19" t="b">
        <f>AL290=O290</f>
        <v>1</v>
      </c>
      <c r="AN290" s="7">
        <f>VLOOKUP(A290,'base ZITRHR129'!$G$1:$H$628,2,0)</f>
        <v>30040966</v>
      </c>
      <c r="AO290" s="7" t="b">
        <f>AN290=R290</f>
        <v>1</v>
      </c>
      <c r="AP290" s="7">
        <f>VLOOKUP(A290,'base ZITRHR129'!G28:W654,17,0)</f>
        <v>2939.65</v>
      </c>
      <c r="AQ290" s="7" t="b">
        <f>AP290=AK290</f>
        <v>1</v>
      </c>
      <c r="AR290" s="78"/>
    </row>
    <row r="291" spans="1:44" s="7" customFormat="1" x14ac:dyDescent="0.25">
      <c r="A291" s="7">
        <v>10045902</v>
      </c>
      <c r="B291" s="8" t="s">
        <v>314</v>
      </c>
      <c r="C291" s="8" t="s">
        <v>679</v>
      </c>
      <c r="D291" s="8" t="s">
        <v>717</v>
      </c>
      <c r="E291" s="8" t="s">
        <v>720</v>
      </c>
      <c r="F291" s="8" t="s">
        <v>1406</v>
      </c>
      <c r="G291" s="8" t="s">
        <v>751</v>
      </c>
      <c r="H291" s="9">
        <v>18</v>
      </c>
      <c r="I291" s="8" t="s">
        <v>653</v>
      </c>
      <c r="J291" s="8" t="s">
        <v>1062</v>
      </c>
      <c r="K291" s="8" t="s">
        <v>16</v>
      </c>
      <c r="L291" s="8" t="s">
        <v>17</v>
      </c>
      <c r="M291" s="10" t="s">
        <v>679</v>
      </c>
      <c r="N291" s="10" t="s">
        <v>717</v>
      </c>
      <c r="O291" s="10" t="s">
        <v>653</v>
      </c>
      <c r="P291" s="1"/>
      <c r="Q291" s="11" t="b">
        <f>O291=P291</f>
        <v>0</v>
      </c>
      <c r="R291" s="30">
        <v>30040967</v>
      </c>
      <c r="S291" s="1"/>
      <c r="T291" s="11" t="b">
        <f>R291=S291</f>
        <v>0</v>
      </c>
      <c r="U291" s="10" t="s">
        <v>16</v>
      </c>
      <c r="V291" s="1"/>
      <c r="W291" s="11" t="b">
        <f>U291=V291</f>
        <v>0</v>
      </c>
      <c r="X291" s="13" t="s">
        <v>15</v>
      </c>
      <c r="Y291" s="1"/>
      <c r="Z291" s="1"/>
      <c r="AA291" s="10">
        <v>22003015</v>
      </c>
      <c r="AB291" s="10" t="s">
        <v>1409</v>
      </c>
      <c r="AD291" s="11" t="b">
        <f>AB291=AC291</f>
        <v>0</v>
      </c>
      <c r="AE291" s="10" t="s">
        <v>751</v>
      </c>
      <c r="AF291" s="1"/>
      <c r="AG291" s="11" t="b">
        <f>AE291=AF291</f>
        <v>0</v>
      </c>
      <c r="AH291" s="1">
        <v>18</v>
      </c>
      <c r="AI291" s="1">
        <v>17.73</v>
      </c>
      <c r="AJ291" s="16">
        <f>AI291*220/30*30.4375</f>
        <v>3957.4837500000003</v>
      </c>
      <c r="AK291" s="18">
        <v>3957.48</v>
      </c>
      <c r="AL291" s="71" t="s">
        <v>653</v>
      </c>
      <c r="AM291" s="19" t="b">
        <f>AL291=O291</f>
        <v>1</v>
      </c>
      <c r="AN291" s="7">
        <f>VLOOKUP(A291,'base ZITRHR129'!$G$1:$H$628,2,0)</f>
        <v>30040967</v>
      </c>
      <c r="AO291" s="7" t="b">
        <f>AN291=R291</f>
        <v>1</v>
      </c>
      <c r="AP291" s="7">
        <f>VLOOKUP(A291,'base ZITRHR129'!G27:W653,17,0)</f>
        <v>3957.48</v>
      </c>
      <c r="AQ291" s="7" t="b">
        <f>AP291=AK291</f>
        <v>1</v>
      </c>
      <c r="AR291" s="78"/>
    </row>
    <row r="292" spans="1:44" s="7" customFormat="1" x14ac:dyDescent="0.25">
      <c r="A292" s="7">
        <v>10045962</v>
      </c>
      <c r="B292" s="8" t="s">
        <v>315</v>
      </c>
      <c r="C292" s="8" t="s">
        <v>700</v>
      </c>
      <c r="D292" s="8" t="s">
        <v>717</v>
      </c>
      <c r="E292" s="8" t="s">
        <v>732</v>
      </c>
      <c r="F292" s="8" t="s">
        <v>1407</v>
      </c>
      <c r="G292" s="8" t="s">
        <v>761</v>
      </c>
      <c r="H292" s="9">
        <v>15</v>
      </c>
      <c r="I292" s="8" t="s">
        <v>666</v>
      </c>
      <c r="J292" s="8" t="s">
        <v>1063</v>
      </c>
      <c r="K292" s="8" t="s">
        <v>16</v>
      </c>
      <c r="L292" s="8" t="s">
        <v>17</v>
      </c>
      <c r="M292" s="10" t="s">
        <v>700</v>
      </c>
      <c r="N292" s="10" t="s">
        <v>717</v>
      </c>
      <c r="O292" s="10" t="s">
        <v>666</v>
      </c>
      <c r="P292" s="1"/>
      <c r="Q292" s="11" t="b">
        <f>O292=P292</f>
        <v>0</v>
      </c>
      <c r="R292" s="30">
        <v>30041334</v>
      </c>
      <c r="S292" s="1"/>
      <c r="T292" s="11" t="b">
        <f>R292=S292</f>
        <v>0</v>
      </c>
      <c r="U292" s="10" t="s">
        <v>16</v>
      </c>
      <c r="V292" s="1"/>
      <c r="W292" s="11" t="b">
        <f>U292=V292</f>
        <v>0</v>
      </c>
      <c r="X292" s="13" t="s">
        <v>15</v>
      </c>
      <c r="Y292" s="1"/>
      <c r="Z292" s="1"/>
      <c r="AA292" s="61">
        <v>22003423</v>
      </c>
      <c r="AB292" s="10" t="s">
        <v>1410</v>
      </c>
      <c r="AD292" s="11" t="b">
        <f>AB292=AC292</f>
        <v>0</v>
      </c>
      <c r="AE292" s="10" t="s">
        <v>761</v>
      </c>
      <c r="AF292" s="1"/>
      <c r="AG292" s="11" t="b">
        <f>AE292=AF292</f>
        <v>0</v>
      </c>
      <c r="AH292" s="1">
        <v>15</v>
      </c>
      <c r="AI292" s="1">
        <v>11.71</v>
      </c>
      <c r="AJ292" s="16">
        <f>AI292*180/30*30.4375</f>
        <v>2138.5387500000002</v>
      </c>
      <c r="AK292" s="18">
        <v>2138.54</v>
      </c>
      <c r="AL292" s="71" t="s">
        <v>666</v>
      </c>
      <c r="AM292" s="19" t="b">
        <f>AL292=O292</f>
        <v>1</v>
      </c>
      <c r="AN292" s="7">
        <f>VLOOKUP(A292,'base ZITRHR129'!$G$1:$H$628,2,0)</f>
        <v>30041334</v>
      </c>
      <c r="AO292" s="7" t="b">
        <f>AN292=R292</f>
        <v>1</v>
      </c>
      <c r="AP292" s="7">
        <f>VLOOKUP(A292,'base ZITRHR129'!G26:W652,17,0)</f>
        <v>2138.54</v>
      </c>
      <c r="AQ292" s="7" t="b">
        <f>AP292=AK292</f>
        <v>1</v>
      </c>
      <c r="AR292" s="78"/>
    </row>
    <row r="293" spans="1:44" s="7" customFormat="1" x14ac:dyDescent="0.25">
      <c r="A293" s="7">
        <v>10046019</v>
      </c>
      <c r="B293" s="8" t="s">
        <v>316</v>
      </c>
      <c r="C293" s="8" t="s">
        <v>690</v>
      </c>
      <c r="D293" s="8" t="s">
        <v>717</v>
      </c>
      <c r="E293" s="8" t="s">
        <v>726</v>
      </c>
      <c r="F293" s="8" t="s">
        <v>1406</v>
      </c>
      <c r="G293" s="8" t="s">
        <v>755</v>
      </c>
      <c r="H293" s="9">
        <v>15</v>
      </c>
      <c r="I293" s="8" t="s">
        <v>663</v>
      </c>
      <c r="J293" s="8" t="s">
        <v>1064</v>
      </c>
      <c r="K293" s="8" t="s">
        <v>16</v>
      </c>
      <c r="L293" s="8" t="s">
        <v>17</v>
      </c>
      <c r="M293" s="10" t="s">
        <v>690</v>
      </c>
      <c r="N293" s="10" t="s">
        <v>717</v>
      </c>
      <c r="O293" s="10" t="s">
        <v>663</v>
      </c>
      <c r="P293" s="1"/>
      <c r="Q293" s="11" t="b">
        <f>O293=P293</f>
        <v>0</v>
      </c>
      <c r="R293" s="30">
        <v>30040969</v>
      </c>
      <c r="S293" s="1"/>
      <c r="T293" s="11" t="b">
        <f>R293=S293</f>
        <v>0</v>
      </c>
      <c r="U293" s="10" t="s">
        <v>16</v>
      </c>
      <c r="V293" s="1"/>
      <c r="W293" s="11" t="b">
        <f>U293=V293</f>
        <v>0</v>
      </c>
      <c r="X293" s="13" t="s">
        <v>15</v>
      </c>
      <c r="Y293" s="1"/>
      <c r="Z293" s="1"/>
      <c r="AA293" s="10">
        <v>22002617</v>
      </c>
      <c r="AB293" s="10" t="s">
        <v>1409</v>
      </c>
      <c r="AD293" s="11" t="b">
        <f>AB293=AC293</f>
        <v>0</v>
      </c>
      <c r="AE293" s="10" t="s">
        <v>755</v>
      </c>
      <c r="AF293" s="1"/>
      <c r="AG293" s="11" t="b">
        <f>AE293=AF293</f>
        <v>0</v>
      </c>
      <c r="AH293" s="1">
        <v>15</v>
      </c>
      <c r="AI293" s="1">
        <v>11.43</v>
      </c>
      <c r="AJ293" s="16">
        <f>AI293*220/30*30.4375</f>
        <v>2551.2712499999998</v>
      </c>
      <c r="AK293" s="18">
        <v>2551.27</v>
      </c>
      <c r="AL293" s="71" t="s">
        <v>663</v>
      </c>
      <c r="AM293" s="19" t="b">
        <f>AL293=O293</f>
        <v>1</v>
      </c>
      <c r="AN293" s="7">
        <f>VLOOKUP(A293,'base ZITRHR129'!$G$1:$H$628,2,0)</f>
        <v>30040969</v>
      </c>
      <c r="AO293" s="7" t="b">
        <f>AN293=R293</f>
        <v>1</v>
      </c>
      <c r="AP293" s="7">
        <f>VLOOKUP(A293,'base ZITRHR129'!G25:W651,17,0)</f>
        <v>2551.27</v>
      </c>
      <c r="AQ293" s="7" t="b">
        <f>AP293=AK293</f>
        <v>1</v>
      </c>
      <c r="AR293" s="78"/>
    </row>
    <row r="294" spans="1:44" s="7" customFormat="1" x14ac:dyDescent="0.25">
      <c r="A294" s="7">
        <v>10046021</v>
      </c>
      <c r="B294" s="8" t="s">
        <v>317</v>
      </c>
      <c r="C294" s="8" t="s">
        <v>707</v>
      </c>
      <c r="D294" s="8" t="s">
        <v>717</v>
      </c>
      <c r="E294" s="8" t="s">
        <v>736</v>
      </c>
      <c r="F294" s="8" t="s">
        <v>1406</v>
      </c>
      <c r="G294" s="8" t="s">
        <v>764</v>
      </c>
      <c r="H294" s="9">
        <v>21</v>
      </c>
      <c r="I294" s="8" t="s">
        <v>671</v>
      </c>
      <c r="J294" s="8" t="s">
        <v>1065</v>
      </c>
      <c r="K294" s="8" t="s">
        <v>6</v>
      </c>
      <c r="L294" s="8" t="s">
        <v>17</v>
      </c>
      <c r="M294" s="10" t="s">
        <v>707</v>
      </c>
      <c r="N294" s="10" t="s">
        <v>717</v>
      </c>
      <c r="O294" s="10" t="s">
        <v>671</v>
      </c>
      <c r="P294" s="1"/>
      <c r="Q294" s="11" t="b">
        <f>O294=P294</f>
        <v>0</v>
      </c>
      <c r="R294" s="30">
        <v>30040970</v>
      </c>
      <c r="S294" s="1"/>
      <c r="T294" s="11" t="b">
        <f>R294=S294</f>
        <v>0</v>
      </c>
      <c r="U294" s="10" t="s">
        <v>6</v>
      </c>
      <c r="V294" s="1"/>
      <c r="W294" s="11" t="b">
        <f>U294=V294</f>
        <v>0</v>
      </c>
      <c r="X294" s="13" t="s">
        <v>15</v>
      </c>
      <c r="Y294" s="1"/>
      <c r="Z294" s="1"/>
      <c r="AA294" s="63">
        <v>22003019</v>
      </c>
      <c r="AB294" s="10" t="s">
        <v>1409</v>
      </c>
      <c r="AD294" s="11" t="b">
        <f>AB294=AC294</f>
        <v>0</v>
      </c>
      <c r="AE294" s="10" t="s">
        <v>764</v>
      </c>
      <c r="AF294" s="1"/>
      <c r="AG294" s="11" t="b">
        <f>AE294=AF294</f>
        <v>0</v>
      </c>
      <c r="AH294" s="1">
        <v>21</v>
      </c>
      <c r="AI294" s="1">
        <v>25.83</v>
      </c>
      <c r="AJ294" s="16">
        <f>AI294*220/30*30.4375</f>
        <v>5765.4712499999996</v>
      </c>
      <c r="AK294" s="18">
        <v>5765.47</v>
      </c>
      <c r="AL294" s="71" t="s">
        <v>671</v>
      </c>
      <c r="AM294" s="19" t="b">
        <f>AL294=O294</f>
        <v>1</v>
      </c>
      <c r="AN294" s="7">
        <f>VLOOKUP(A294,'base ZITRHR129'!$G$1:$H$628,2,0)</f>
        <v>30040970</v>
      </c>
      <c r="AO294" s="7" t="b">
        <f>AN294=R294</f>
        <v>1</v>
      </c>
      <c r="AP294" s="7">
        <f>VLOOKUP(A294,'base ZITRHR129'!G24:W650,17,0)</f>
        <v>5765.47</v>
      </c>
      <c r="AQ294" s="7" t="b">
        <f>AP294=AK294</f>
        <v>1</v>
      </c>
      <c r="AR294" s="78"/>
    </row>
    <row r="295" spans="1:44" s="7" customFormat="1" x14ac:dyDescent="0.25">
      <c r="A295" s="7">
        <v>10046024</v>
      </c>
      <c r="B295" s="8" t="s">
        <v>318</v>
      </c>
      <c r="C295" s="8" t="s">
        <v>706</v>
      </c>
      <c r="D295" s="8" t="s">
        <v>717</v>
      </c>
      <c r="E295" s="8" t="s">
        <v>724</v>
      </c>
      <c r="F295" s="8" t="s">
        <v>1406</v>
      </c>
      <c r="G295" s="8" t="s">
        <v>21</v>
      </c>
      <c r="H295" s="9">
        <v>16</v>
      </c>
      <c r="I295" s="8" t="s">
        <v>660</v>
      </c>
      <c r="J295" s="8" t="s">
        <v>1066</v>
      </c>
      <c r="K295" s="8" t="s">
        <v>16</v>
      </c>
      <c r="L295" s="8" t="s">
        <v>17</v>
      </c>
      <c r="M295" s="10" t="s">
        <v>706</v>
      </c>
      <c r="N295" s="10" t="s">
        <v>717</v>
      </c>
      <c r="O295" s="10" t="s">
        <v>660</v>
      </c>
      <c r="P295" s="1"/>
      <c r="Q295" s="11" t="b">
        <f>O295=P295</f>
        <v>0</v>
      </c>
      <c r="R295" s="30">
        <v>30040971</v>
      </c>
      <c r="S295" s="1"/>
      <c r="T295" s="11" t="b">
        <f>R295=S295</f>
        <v>0</v>
      </c>
      <c r="U295" s="10" t="s">
        <v>16</v>
      </c>
      <c r="V295" s="1"/>
      <c r="W295" s="11" t="b">
        <f>U295=V295</f>
        <v>0</v>
      </c>
      <c r="X295" s="13" t="s">
        <v>15</v>
      </c>
      <c r="Y295" s="1"/>
      <c r="Z295" s="1"/>
      <c r="AA295" s="10">
        <v>22002616</v>
      </c>
      <c r="AB295" s="10" t="s">
        <v>1409</v>
      </c>
      <c r="AD295" s="11" t="b">
        <f>AB295=AC295</f>
        <v>0</v>
      </c>
      <c r="AE295" s="10" t="s">
        <v>21</v>
      </c>
      <c r="AF295" s="1"/>
      <c r="AG295" s="11" t="b">
        <f>AE295=AF295</f>
        <v>0</v>
      </c>
      <c r="AH295" s="1">
        <v>16</v>
      </c>
      <c r="AI295" s="1">
        <v>11.71</v>
      </c>
      <c r="AJ295" s="16">
        <f>AI295*220/30*30.4375</f>
        <v>2613.7695833333337</v>
      </c>
      <c r="AK295" s="18">
        <v>2613.77</v>
      </c>
      <c r="AL295" s="71" t="s">
        <v>660</v>
      </c>
      <c r="AM295" s="19" t="b">
        <f>AL295=O295</f>
        <v>1</v>
      </c>
      <c r="AN295" s="7">
        <f>VLOOKUP(A295,'base ZITRHR129'!$G$1:$H$628,2,0)</f>
        <v>30040971</v>
      </c>
      <c r="AO295" s="7" t="b">
        <f>AN295=R295</f>
        <v>1</v>
      </c>
      <c r="AP295" s="7">
        <f>VLOOKUP(A295,'base ZITRHR129'!G23:W649,17,0)</f>
        <v>2613.77</v>
      </c>
      <c r="AQ295" s="7" t="b">
        <f>AP295=AK295</f>
        <v>1</v>
      </c>
      <c r="AR295" s="78"/>
    </row>
    <row r="296" spans="1:44" s="7" customFormat="1" x14ac:dyDescent="0.25">
      <c r="A296" s="7">
        <v>10046125</v>
      </c>
      <c r="B296" s="8" t="s">
        <v>319</v>
      </c>
      <c r="C296" s="8" t="s">
        <v>681</v>
      </c>
      <c r="D296" s="8" t="s">
        <v>717</v>
      </c>
      <c r="E296" s="8" t="s">
        <v>720</v>
      </c>
      <c r="F296" s="8" t="s">
        <v>1406</v>
      </c>
      <c r="G296" s="8" t="s">
        <v>751</v>
      </c>
      <c r="H296" s="9">
        <v>18</v>
      </c>
      <c r="I296" s="8" t="s">
        <v>653</v>
      </c>
      <c r="J296" s="8" t="s">
        <v>1067</v>
      </c>
      <c r="K296" s="8" t="s">
        <v>16</v>
      </c>
      <c r="L296" s="8" t="s">
        <v>17</v>
      </c>
      <c r="M296" s="10" t="s">
        <v>681</v>
      </c>
      <c r="N296" s="10" t="s">
        <v>717</v>
      </c>
      <c r="O296" s="10" t="s">
        <v>653</v>
      </c>
      <c r="P296" s="1"/>
      <c r="Q296" s="11" t="b">
        <f>O296=P296</f>
        <v>0</v>
      </c>
      <c r="R296" s="30">
        <v>30040972</v>
      </c>
      <c r="S296" s="1"/>
      <c r="T296" s="11" t="b">
        <f>R296=S296</f>
        <v>0</v>
      </c>
      <c r="U296" s="10" t="s">
        <v>16</v>
      </c>
      <c r="V296" s="1"/>
      <c r="W296" s="11" t="b">
        <f>U296=V296</f>
        <v>0</v>
      </c>
      <c r="X296" s="13" t="s">
        <v>15</v>
      </c>
      <c r="Y296" s="1"/>
      <c r="Z296" s="1"/>
      <c r="AA296" s="10">
        <v>22003015</v>
      </c>
      <c r="AB296" s="10" t="s">
        <v>1409</v>
      </c>
      <c r="AD296" s="11" t="b">
        <f>AB296=AC296</f>
        <v>0</v>
      </c>
      <c r="AE296" s="10" t="s">
        <v>751</v>
      </c>
      <c r="AF296" s="1"/>
      <c r="AG296" s="11" t="b">
        <f>AE296=AF296</f>
        <v>0</v>
      </c>
      <c r="AH296" s="1">
        <v>18</v>
      </c>
      <c r="AI296" s="1">
        <v>13.14</v>
      </c>
      <c r="AJ296" s="16">
        <f>AI296*220/30*30.4375</f>
        <v>2932.9575</v>
      </c>
      <c r="AK296" s="18">
        <v>2932.96</v>
      </c>
      <c r="AL296" s="71" t="s">
        <v>653</v>
      </c>
      <c r="AM296" s="19" t="b">
        <f>AL296=O296</f>
        <v>1</v>
      </c>
      <c r="AN296" s="7">
        <f>VLOOKUP(A296,'base ZITRHR129'!$G$1:$H$628,2,0)</f>
        <v>30040972</v>
      </c>
      <c r="AO296" s="7" t="b">
        <f>AN296=R296</f>
        <v>1</v>
      </c>
      <c r="AP296" s="7">
        <f>VLOOKUP(A296,'base ZITRHR129'!G22:W648,17,0)</f>
        <v>2932.96</v>
      </c>
      <c r="AQ296" s="7" t="b">
        <f>AP296=AK296</f>
        <v>1</v>
      </c>
      <c r="AR296" s="78"/>
    </row>
    <row r="297" spans="1:44" s="7" customFormat="1" x14ac:dyDescent="0.25">
      <c r="A297" s="7">
        <v>10046206</v>
      </c>
      <c r="B297" s="8" t="s">
        <v>320</v>
      </c>
      <c r="C297" s="8" t="s">
        <v>684</v>
      </c>
      <c r="D297" s="8" t="s">
        <v>717</v>
      </c>
      <c r="E297" s="8" t="s">
        <v>720</v>
      </c>
      <c r="F297" s="8" t="s">
        <v>1406</v>
      </c>
      <c r="G297" s="8" t="s">
        <v>751</v>
      </c>
      <c r="H297" s="9">
        <v>18</v>
      </c>
      <c r="I297" s="8" t="s">
        <v>657</v>
      </c>
      <c r="J297" s="8" t="s">
        <v>1068</v>
      </c>
      <c r="K297" s="8" t="s">
        <v>16</v>
      </c>
      <c r="L297" s="8" t="s">
        <v>17</v>
      </c>
      <c r="M297" s="10" t="s">
        <v>684</v>
      </c>
      <c r="N297" s="10" t="s">
        <v>717</v>
      </c>
      <c r="O297" s="10" t="s">
        <v>657</v>
      </c>
      <c r="P297" s="1"/>
      <c r="Q297" s="11" t="b">
        <f>O297=P297</f>
        <v>0</v>
      </c>
      <c r="R297" s="30">
        <v>30040973</v>
      </c>
      <c r="S297" s="1"/>
      <c r="T297" s="11" t="b">
        <f>R297=S297</f>
        <v>0</v>
      </c>
      <c r="U297" s="10" t="s">
        <v>16</v>
      </c>
      <c r="V297" s="1"/>
      <c r="W297" s="11" t="b">
        <f>U297=V297</f>
        <v>0</v>
      </c>
      <c r="X297" s="13" t="s">
        <v>15</v>
      </c>
      <c r="Y297" s="1"/>
      <c r="Z297" s="1"/>
      <c r="AA297" s="10">
        <v>22003015</v>
      </c>
      <c r="AB297" s="10" t="s">
        <v>1409</v>
      </c>
      <c r="AD297" s="11" t="b">
        <f>AB297=AC297</f>
        <v>0</v>
      </c>
      <c r="AE297" s="10" t="s">
        <v>751</v>
      </c>
      <c r="AF297" s="1"/>
      <c r="AG297" s="11" t="b">
        <f>AE297=AF297</f>
        <v>0</v>
      </c>
      <c r="AH297" s="1">
        <v>18</v>
      </c>
      <c r="AI297" s="1">
        <v>12.8</v>
      </c>
      <c r="AJ297" s="16">
        <f>AI297*220/30*30.4375</f>
        <v>2857.0666666666666</v>
      </c>
      <c r="AK297" s="18">
        <v>2857.07</v>
      </c>
      <c r="AL297" s="71" t="s">
        <v>657</v>
      </c>
      <c r="AM297" s="19" t="b">
        <f>AL297=O297</f>
        <v>1</v>
      </c>
      <c r="AN297" s="7">
        <f>VLOOKUP(A297,'base ZITRHR129'!$G$1:$H$628,2,0)</f>
        <v>30040973</v>
      </c>
      <c r="AO297" s="7" t="b">
        <f>AN297=R297</f>
        <v>1</v>
      </c>
      <c r="AP297" s="7">
        <f>VLOOKUP(A297,'base ZITRHR129'!G21:W647,17,0)</f>
        <v>2857.07</v>
      </c>
      <c r="AQ297" s="7" t="b">
        <f>AP297=AK297</f>
        <v>1</v>
      </c>
      <c r="AR297" s="78"/>
    </row>
    <row r="298" spans="1:44" s="7" customFormat="1" x14ac:dyDescent="0.25">
      <c r="A298" s="7">
        <v>10046299</v>
      </c>
      <c r="B298" s="8" t="s">
        <v>321</v>
      </c>
      <c r="C298" s="8" t="s">
        <v>704</v>
      </c>
      <c r="D298" s="8" t="s">
        <v>717</v>
      </c>
      <c r="E298" s="8" t="s">
        <v>735</v>
      </c>
      <c r="F298" s="8" t="s">
        <v>1406</v>
      </c>
      <c r="G298" s="8" t="s">
        <v>763</v>
      </c>
      <c r="H298" s="9">
        <v>17</v>
      </c>
      <c r="I298" s="8" t="s">
        <v>669</v>
      </c>
      <c r="J298" s="8" t="s">
        <v>1069</v>
      </c>
      <c r="K298" s="8" t="s">
        <v>16</v>
      </c>
      <c r="L298" s="8" t="s">
        <v>17</v>
      </c>
      <c r="M298" s="10" t="s">
        <v>704</v>
      </c>
      <c r="N298" s="10" t="s">
        <v>717</v>
      </c>
      <c r="O298" s="10" t="s">
        <v>669</v>
      </c>
      <c r="P298" s="1"/>
      <c r="Q298" s="11" t="b">
        <f>O298=P298</f>
        <v>0</v>
      </c>
      <c r="R298" s="30">
        <v>30040974</v>
      </c>
      <c r="S298" s="1"/>
      <c r="T298" s="11" t="b">
        <f>R298=S298</f>
        <v>0</v>
      </c>
      <c r="U298" s="10" t="s">
        <v>16</v>
      </c>
      <c r="V298" s="1"/>
      <c r="W298" s="11" t="b">
        <f>U298=V298</f>
        <v>0</v>
      </c>
      <c r="X298" s="13" t="s">
        <v>15</v>
      </c>
      <c r="Y298" s="1"/>
      <c r="Z298" s="1"/>
      <c r="AA298" s="60">
        <v>22001161</v>
      </c>
      <c r="AB298" s="10" t="s">
        <v>1409</v>
      </c>
      <c r="AD298" s="11" t="b">
        <f>AB298=AC298</f>
        <v>0</v>
      </c>
      <c r="AE298" s="10" t="s">
        <v>763</v>
      </c>
      <c r="AF298" s="1"/>
      <c r="AG298" s="11" t="b">
        <f>AE298=AF298</f>
        <v>0</v>
      </c>
      <c r="AH298" s="1">
        <v>17</v>
      </c>
      <c r="AI298" s="1">
        <v>10.24</v>
      </c>
      <c r="AJ298" s="16">
        <f>AI298*220/30*30.4375</f>
        <v>2285.6533333333332</v>
      </c>
      <c r="AK298" s="18">
        <v>2285.65</v>
      </c>
      <c r="AL298" s="71" t="s">
        <v>669</v>
      </c>
      <c r="AM298" s="19" t="b">
        <f>AL298=O298</f>
        <v>1</v>
      </c>
      <c r="AN298" s="7">
        <f>VLOOKUP(A298,'base ZITRHR129'!$G$1:$H$628,2,0)</f>
        <v>30040974</v>
      </c>
      <c r="AO298" s="7" t="b">
        <f>AN298=R298</f>
        <v>1</v>
      </c>
      <c r="AP298" s="7">
        <f>VLOOKUP(A298,'base ZITRHR129'!G20:W646,17,0)</f>
        <v>2285.65</v>
      </c>
      <c r="AQ298" s="7" t="b">
        <f>AP298=AK298</f>
        <v>1</v>
      </c>
      <c r="AR298" s="78"/>
    </row>
    <row r="299" spans="1:44" s="7" customFormat="1" ht="12" x14ac:dyDescent="0.2">
      <c r="A299" s="20">
        <v>10046460</v>
      </c>
      <c r="B299" s="21" t="s">
        <v>322</v>
      </c>
      <c r="C299" s="21" t="s">
        <v>700</v>
      </c>
      <c r="D299" s="21" t="s">
        <v>717</v>
      </c>
      <c r="E299" s="21" t="s">
        <v>738</v>
      </c>
      <c r="F299" s="21" t="s">
        <v>1407</v>
      </c>
      <c r="G299" s="21" t="s">
        <v>765</v>
      </c>
      <c r="H299" s="22">
        <v>14</v>
      </c>
      <c r="I299" s="21" t="s">
        <v>666</v>
      </c>
      <c r="J299" s="21" t="s">
        <v>1070</v>
      </c>
      <c r="K299" s="21" t="s">
        <v>16</v>
      </c>
      <c r="L299" s="21" t="s">
        <v>17</v>
      </c>
      <c r="M299" s="21" t="s">
        <v>700</v>
      </c>
      <c r="N299" s="21" t="s">
        <v>717</v>
      </c>
      <c r="O299" s="21" t="s">
        <v>666</v>
      </c>
      <c r="P299" s="23"/>
      <c r="Q299" s="24" t="b">
        <f>O299=P299</f>
        <v>0</v>
      </c>
      <c r="R299" s="31">
        <v>30040975</v>
      </c>
      <c r="S299" s="23"/>
      <c r="T299" s="24" t="b">
        <f>R299=S299</f>
        <v>0</v>
      </c>
      <c r="U299" s="21" t="s">
        <v>16</v>
      </c>
      <c r="V299" s="23"/>
      <c r="W299" s="24" t="b">
        <f>U299=V299</f>
        <v>0</v>
      </c>
      <c r="X299" s="25" t="s">
        <v>15</v>
      </c>
      <c r="Y299" s="23"/>
      <c r="Z299" s="23"/>
      <c r="AA299" s="64">
        <v>22003024</v>
      </c>
      <c r="AB299" s="21" t="s">
        <v>1410</v>
      </c>
      <c r="AC299" s="20"/>
      <c r="AD299" s="24" t="b">
        <f>AB299=AC299</f>
        <v>0</v>
      </c>
      <c r="AE299" s="21" t="s">
        <v>765</v>
      </c>
      <c r="AF299" s="23"/>
      <c r="AG299" s="24" t="b">
        <f>AE299=AF299</f>
        <v>0</v>
      </c>
      <c r="AH299" s="23">
        <v>14</v>
      </c>
      <c r="AI299" s="23">
        <v>9.9</v>
      </c>
      <c r="AJ299" s="26">
        <f>AI299*180/30*30.4375</f>
        <v>1807.9875</v>
      </c>
      <c r="AK299" s="27">
        <v>1807.99</v>
      </c>
      <c r="AL299" s="73" t="s">
        <v>666</v>
      </c>
      <c r="AM299" s="28" t="b">
        <f>AL299=O299</f>
        <v>1</v>
      </c>
      <c r="AN299" s="20">
        <f>VLOOKUP(A299,'base ZITRHR129'!$G$1:$H$628,2,0)</f>
        <v>30040975</v>
      </c>
      <c r="AO299" s="20" t="b">
        <f>AN299=R299</f>
        <v>1</v>
      </c>
      <c r="AP299" s="20">
        <f>VLOOKUP(A299,'base ZITRHR129'!G19:W645,17,0)</f>
        <v>9.9</v>
      </c>
      <c r="AQ299" s="20" t="b">
        <f>AP299=AK299</f>
        <v>0</v>
      </c>
      <c r="AR299" s="69" t="s">
        <v>1516</v>
      </c>
    </row>
    <row r="300" spans="1:44" s="7" customFormat="1" x14ac:dyDescent="0.25">
      <c r="A300" s="7">
        <v>10046533</v>
      </c>
      <c r="B300" s="8" t="s">
        <v>323</v>
      </c>
      <c r="C300" s="8" t="s">
        <v>681</v>
      </c>
      <c r="D300" s="8" t="s">
        <v>717</v>
      </c>
      <c r="E300" s="8" t="s">
        <v>720</v>
      </c>
      <c r="F300" s="8" t="s">
        <v>1406</v>
      </c>
      <c r="G300" s="8" t="s">
        <v>751</v>
      </c>
      <c r="H300" s="9">
        <v>18</v>
      </c>
      <c r="I300" s="8" t="s">
        <v>653</v>
      </c>
      <c r="J300" s="8" t="s">
        <v>1071</v>
      </c>
      <c r="K300" s="8" t="s">
        <v>16</v>
      </c>
      <c r="L300" s="8" t="s">
        <v>17</v>
      </c>
      <c r="M300" s="10" t="s">
        <v>681</v>
      </c>
      <c r="N300" s="10" t="s">
        <v>717</v>
      </c>
      <c r="O300" s="10" t="s">
        <v>653</v>
      </c>
      <c r="P300" s="1"/>
      <c r="Q300" s="11" t="b">
        <f>O300=P300</f>
        <v>0</v>
      </c>
      <c r="R300" s="30">
        <v>30040976</v>
      </c>
      <c r="S300" s="1"/>
      <c r="T300" s="11" t="b">
        <f>R300=S300</f>
        <v>0</v>
      </c>
      <c r="U300" s="10" t="s">
        <v>16</v>
      </c>
      <c r="V300" s="1"/>
      <c r="W300" s="11" t="b">
        <f>U300=V300</f>
        <v>0</v>
      </c>
      <c r="X300" s="13" t="s">
        <v>15</v>
      </c>
      <c r="Y300" s="1"/>
      <c r="Z300" s="1"/>
      <c r="AA300" s="10">
        <v>22003015</v>
      </c>
      <c r="AB300" s="10" t="s">
        <v>1409</v>
      </c>
      <c r="AD300" s="11" t="b">
        <f>AB300=AC300</f>
        <v>0</v>
      </c>
      <c r="AE300" s="10" t="s">
        <v>751</v>
      </c>
      <c r="AF300" s="1"/>
      <c r="AG300" s="11" t="b">
        <f>AE300=AF300</f>
        <v>0</v>
      </c>
      <c r="AH300" s="1">
        <v>18</v>
      </c>
      <c r="AI300" s="1">
        <v>15</v>
      </c>
      <c r="AJ300" s="16">
        <f>AI300*220/30*30.4375</f>
        <v>3348.125</v>
      </c>
      <c r="AK300" s="18">
        <v>3348.13</v>
      </c>
      <c r="AL300" s="71" t="s">
        <v>653</v>
      </c>
      <c r="AM300" s="19" t="b">
        <f>AL300=O300</f>
        <v>1</v>
      </c>
      <c r="AN300" s="7">
        <f>VLOOKUP(A300,'base ZITRHR129'!$G$1:$H$628,2,0)</f>
        <v>30040976</v>
      </c>
      <c r="AO300" s="7" t="b">
        <f>AN300=R300</f>
        <v>1</v>
      </c>
      <c r="AP300" s="7">
        <f>VLOOKUP(A300,'base ZITRHR129'!G18:W644,17,0)</f>
        <v>3348.13</v>
      </c>
      <c r="AQ300" s="7" t="b">
        <f>AP300=AK300</f>
        <v>1</v>
      </c>
      <c r="AR300" s="78"/>
    </row>
    <row r="301" spans="1:44" s="7" customFormat="1" x14ac:dyDescent="0.25">
      <c r="A301" s="7">
        <v>10046598</v>
      </c>
      <c r="B301" s="8" t="s">
        <v>324</v>
      </c>
      <c r="C301" s="8" t="s">
        <v>691</v>
      </c>
      <c r="D301" s="8" t="s">
        <v>717</v>
      </c>
      <c r="E301" s="8" t="s">
        <v>727</v>
      </c>
      <c r="F301" s="8" t="s">
        <v>1406</v>
      </c>
      <c r="G301" s="8" t="s">
        <v>756</v>
      </c>
      <c r="H301" s="9">
        <v>17</v>
      </c>
      <c r="I301" s="8" t="s">
        <v>664</v>
      </c>
      <c r="J301" s="8" t="s">
        <v>1072</v>
      </c>
      <c r="K301" s="8" t="s">
        <v>16</v>
      </c>
      <c r="L301" s="8" t="s">
        <v>17</v>
      </c>
      <c r="M301" s="10" t="s">
        <v>691</v>
      </c>
      <c r="N301" s="10" t="s">
        <v>717</v>
      </c>
      <c r="O301" s="10" t="s">
        <v>664</v>
      </c>
      <c r="P301" s="1"/>
      <c r="Q301" s="11" t="b">
        <f>O301=P301</f>
        <v>0</v>
      </c>
      <c r="R301" s="30">
        <v>30040977</v>
      </c>
      <c r="S301" s="1"/>
      <c r="T301" s="11" t="b">
        <f>R301=S301</f>
        <v>0</v>
      </c>
      <c r="U301" s="10" t="s">
        <v>16</v>
      </c>
      <c r="V301" s="1"/>
      <c r="W301" s="11" t="b">
        <f>U301=V301</f>
        <v>0</v>
      </c>
      <c r="X301" s="13" t="s">
        <v>15</v>
      </c>
      <c r="Y301" s="1"/>
      <c r="Z301" s="1"/>
      <c r="AA301" s="59">
        <v>22003017</v>
      </c>
      <c r="AB301" s="10" t="s">
        <v>1409</v>
      </c>
      <c r="AD301" s="11" t="b">
        <f>AB301=AC301</f>
        <v>0</v>
      </c>
      <c r="AE301" s="10" t="s">
        <v>756</v>
      </c>
      <c r="AF301" s="1"/>
      <c r="AG301" s="11" t="b">
        <f>AE301=AF301</f>
        <v>0</v>
      </c>
      <c r="AH301" s="1">
        <v>17</v>
      </c>
      <c r="AI301" s="1">
        <v>14.04</v>
      </c>
      <c r="AJ301" s="16">
        <f>AI301*220/30*30.4375</f>
        <v>3133.8449999999998</v>
      </c>
      <c r="AK301" s="18">
        <v>3133.85</v>
      </c>
      <c r="AL301" s="71" t="s">
        <v>664</v>
      </c>
      <c r="AM301" s="19" t="b">
        <f>AL301=O301</f>
        <v>1</v>
      </c>
      <c r="AN301" s="7">
        <f>VLOOKUP(A301,'base ZITRHR129'!$G$1:$H$628,2,0)</f>
        <v>30040977</v>
      </c>
      <c r="AO301" s="7" t="b">
        <f>AN301=R301</f>
        <v>1</v>
      </c>
      <c r="AP301" s="7">
        <f>VLOOKUP(A301,'base ZITRHR129'!G17:W643,17,0)</f>
        <v>3133.85</v>
      </c>
      <c r="AQ301" s="7" t="b">
        <f>AP301=AK301</f>
        <v>1</v>
      </c>
      <c r="AR301" s="78"/>
    </row>
    <row r="302" spans="1:44" s="7" customFormat="1" x14ac:dyDescent="0.25">
      <c r="A302" s="7">
        <v>10046615</v>
      </c>
      <c r="B302" s="8" t="s">
        <v>325</v>
      </c>
      <c r="C302" s="8" t="s">
        <v>704</v>
      </c>
      <c r="D302" s="8" t="s">
        <v>717</v>
      </c>
      <c r="E302" s="8" t="s">
        <v>737</v>
      </c>
      <c r="F302" s="8" t="s">
        <v>1406</v>
      </c>
      <c r="G302" s="8" t="s">
        <v>765</v>
      </c>
      <c r="H302" s="9">
        <v>14</v>
      </c>
      <c r="I302" s="8" t="s">
        <v>669</v>
      </c>
      <c r="J302" s="8" t="s">
        <v>1073</v>
      </c>
      <c r="K302" s="8" t="s">
        <v>16</v>
      </c>
      <c r="L302" s="8" t="s">
        <v>17</v>
      </c>
      <c r="M302" s="10" t="s">
        <v>704</v>
      </c>
      <c r="N302" s="10" t="s">
        <v>717</v>
      </c>
      <c r="O302" s="10" t="s">
        <v>669</v>
      </c>
      <c r="P302" s="1"/>
      <c r="Q302" s="11" t="b">
        <f>O302=P302</f>
        <v>0</v>
      </c>
      <c r="R302" s="30">
        <v>30040978</v>
      </c>
      <c r="S302" s="1"/>
      <c r="T302" s="11" t="b">
        <f>R302=S302</f>
        <v>0</v>
      </c>
      <c r="U302" s="10" t="s">
        <v>16</v>
      </c>
      <c r="V302" s="1"/>
      <c r="W302" s="11" t="b">
        <f>U302=V302</f>
        <v>0</v>
      </c>
      <c r="X302" s="13" t="s">
        <v>15</v>
      </c>
      <c r="Y302" s="1"/>
      <c r="Z302" s="1"/>
      <c r="AA302" s="63">
        <v>22002830</v>
      </c>
      <c r="AB302" s="10" t="s">
        <v>1409</v>
      </c>
      <c r="AD302" s="11" t="b">
        <f>AB302=AC302</f>
        <v>0</v>
      </c>
      <c r="AE302" s="10" t="s">
        <v>765</v>
      </c>
      <c r="AF302" s="1"/>
      <c r="AG302" s="11" t="b">
        <f>AE302=AF302</f>
        <v>0</v>
      </c>
      <c r="AH302" s="1">
        <v>14</v>
      </c>
      <c r="AI302" s="1">
        <v>8.59</v>
      </c>
      <c r="AJ302" s="16">
        <f>AI302*220/30*30.4375</f>
        <v>1917.3595833333334</v>
      </c>
      <c r="AK302" s="18">
        <v>1917.36</v>
      </c>
      <c r="AL302" s="71" t="s">
        <v>669</v>
      </c>
      <c r="AM302" s="19" t="b">
        <f>AL302=O302</f>
        <v>1</v>
      </c>
      <c r="AN302" s="7">
        <f>VLOOKUP(A302,'base ZITRHR129'!$G$1:$H$628,2,0)</f>
        <v>30040978</v>
      </c>
      <c r="AO302" s="7" t="b">
        <f>AN302=R302</f>
        <v>1</v>
      </c>
      <c r="AP302" s="7">
        <f>VLOOKUP(A302,'base ZITRHR129'!G16:W642,17,0)</f>
        <v>1917.36</v>
      </c>
      <c r="AQ302" s="7" t="b">
        <f>AP302=AK302</f>
        <v>1</v>
      </c>
      <c r="AR302" s="78"/>
    </row>
    <row r="303" spans="1:44" s="7" customFormat="1" x14ac:dyDescent="0.25">
      <c r="A303" s="7">
        <v>10046820</v>
      </c>
      <c r="B303" s="8" t="s">
        <v>326</v>
      </c>
      <c r="C303" s="8" t="s">
        <v>679</v>
      </c>
      <c r="D303" s="8" t="s">
        <v>717</v>
      </c>
      <c r="E303" s="8" t="s">
        <v>720</v>
      </c>
      <c r="F303" s="8" t="s">
        <v>1406</v>
      </c>
      <c r="G303" s="8" t="s">
        <v>751</v>
      </c>
      <c r="H303" s="9">
        <v>18</v>
      </c>
      <c r="I303" s="8" t="s">
        <v>653</v>
      </c>
      <c r="J303" s="8" t="s">
        <v>1074</v>
      </c>
      <c r="K303" s="8" t="s">
        <v>16</v>
      </c>
      <c r="L303" s="8" t="s">
        <v>17</v>
      </c>
      <c r="M303" s="10" t="s">
        <v>679</v>
      </c>
      <c r="N303" s="10" t="s">
        <v>717</v>
      </c>
      <c r="O303" s="10" t="s">
        <v>653</v>
      </c>
      <c r="P303" s="1"/>
      <c r="Q303" s="11" t="b">
        <f>O303=P303</f>
        <v>0</v>
      </c>
      <c r="R303" s="30">
        <v>30040979</v>
      </c>
      <c r="S303" s="1"/>
      <c r="T303" s="11" t="b">
        <f>R303=S303</f>
        <v>0</v>
      </c>
      <c r="U303" s="10" t="s">
        <v>16</v>
      </c>
      <c r="V303" s="1"/>
      <c r="W303" s="11" t="b">
        <f>U303=V303</f>
        <v>0</v>
      </c>
      <c r="X303" s="13" t="s">
        <v>15</v>
      </c>
      <c r="Y303" s="1"/>
      <c r="Z303" s="1"/>
      <c r="AA303" s="10">
        <v>22003015</v>
      </c>
      <c r="AB303" s="10" t="s">
        <v>1409</v>
      </c>
      <c r="AD303" s="11" t="b">
        <f>AB303=AC303</f>
        <v>0</v>
      </c>
      <c r="AE303" s="10" t="s">
        <v>751</v>
      </c>
      <c r="AF303" s="1"/>
      <c r="AG303" s="11" t="b">
        <f>AE303=AF303</f>
        <v>0</v>
      </c>
      <c r="AH303" s="1">
        <v>18</v>
      </c>
      <c r="AI303" s="1">
        <v>17.73</v>
      </c>
      <c r="AJ303" s="16">
        <f>AI303*220/30*30.4375</f>
        <v>3957.4837500000003</v>
      </c>
      <c r="AK303" s="18">
        <v>3957.48</v>
      </c>
      <c r="AL303" s="71" t="s">
        <v>653</v>
      </c>
      <c r="AM303" s="19" t="b">
        <f>AL303=O303</f>
        <v>1</v>
      </c>
      <c r="AN303" s="7">
        <f>VLOOKUP(A303,'base ZITRHR129'!$G$1:$H$628,2,0)</f>
        <v>30040979</v>
      </c>
      <c r="AO303" s="7" t="b">
        <f>AN303=R303</f>
        <v>1</v>
      </c>
      <c r="AP303" s="7">
        <f>VLOOKUP(A303,'base ZITRHR129'!G15:W641,17,0)</f>
        <v>3957.48</v>
      </c>
      <c r="AQ303" s="7" t="b">
        <f>AP303=AK303</f>
        <v>1</v>
      </c>
      <c r="AR303" s="78"/>
    </row>
    <row r="304" spans="1:44" s="7" customFormat="1" x14ac:dyDescent="0.25">
      <c r="A304" s="7">
        <v>10046838</v>
      </c>
      <c r="B304" s="8" t="s">
        <v>327</v>
      </c>
      <c r="C304" s="8" t="s">
        <v>701</v>
      </c>
      <c r="D304" s="8" t="s">
        <v>717</v>
      </c>
      <c r="E304" s="8" t="s">
        <v>720</v>
      </c>
      <c r="F304" s="8" t="s">
        <v>1406</v>
      </c>
      <c r="G304" s="8" t="s">
        <v>751</v>
      </c>
      <c r="H304" s="9">
        <v>18</v>
      </c>
      <c r="I304" s="8" t="s">
        <v>668</v>
      </c>
      <c r="J304" s="8" t="s">
        <v>1075</v>
      </c>
      <c r="K304" s="8" t="s">
        <v>16</v>
      </c>
      <c r="L304" s="8" t="s">
        <v>17</v>
      </c>
      <c r="M304" s="10" t="s">
        <v>701</v>
      </c>
      <c r="N304" s="10" t="s">
        <v>717</v>
      </c>
      <c r="O304" s="10" t="s">
        <v>668</v>
      </c>
      <c r="P304" s="1"/>
      <c r="Q304" s="11" t="b">
        <f>O304=P304</f>
        <v>0</v>
      </c>
      <c r="R304" s="30">
        <v>30040980</v>
      </c>
      <c r="S304" s="1"/>
      <c r="T304" s="11" t="b">
        <f>R304=S304</f>
        <v>0</v>
      </c>
      <c r="U304" s="10" t="s">
        <v>16</v>
      </c>
      <c r="V304" s="1"/>
      <c r="W304" s="11" t="b">
        <f>U304=V304</f>
        <v>0</v>
      </c>
      <c r="X304" s="13" t="s">
        <v>15</v>
      </c>
      <c r="Y304" s="1"/>
      <c r="Z304" s="1"/>
      <c r="AA304" s="10">
        <v>22003015</v>
      </c>
      <c r="AB304" s="10" t="s">
        <v>1409</v>
      </c>
      <c r="AD304" s="11" t="b">
        <f>AB304=AC304</f>
        <v>0</v>
      </c>
      <c r="AE304" s="10" t="s">
        <v>751</v>
      </c>
      <c r="AF304" s="1"/>
      <c r="AG304" s="11" t="b">
        <f>AE304=AF304</f>
        <v>0</v>
      </c>
      <c r="AH304" s="1">
        <v>18</v>
      </c>
      <c r="AI304" s="1">
        <v>13.14</v>
      </c>
      <c r="AJ304" s="16">
        <f>AI304*220/30*30.4375</f>
        <v>2932.9575</v>
      </c>
      <c r="AK304" s="18">
        <v>2932.96</v>
      </c>
      <c r="AL304" s="71" t="s">
        <v>668</v>
      </c>
      <c r="AM304" s="19" t="b">
        <f>AL304=O304</f>
        <v>1</v>
      </c>
      <c r="AN304" s="7">
        <f>VLOOKUP(A304,'base ZITRHR129'!$G$1:$H$628,2,0)</f>
        <v>30040980</v>
      </c>
      <c r="AO304" s="7" t="b">
        <f>AN304=R304</f>
        <v>1</v>
      </c>
      <c r="AP304" s="7">
        <f>VLOOKUP(A304,'base ZITRHR129'!G14:W640,17,0)</f>
        <v>2932.96</v>
      </c>
      <c r="AQ304" s="7" t="b">
        <f>AP304=AK304</f>
        <v>1</v>
      </c>
      <c r="AR304" s="78"/>
    </row>
    <row r="305" spans="1:44" s="7" customFormat="1" x14ac:dyDescent="0.25">
      <c r="A305" s="7">
        <v>10046841</v>
      </c>
      <c r="B305" s="8" t="s">
        <v>328</v>
      </c>
      <c r="C305" s="8" t="s">
        <v>681</v>
      </c>
      <c r="D305" s="8" t="s">
        <v>717</v>
      </c>
      <c r="E305" s="8" t="s">
        <v>720</v>
      </c>
      <c r="F305" s="8" t="s">
        <v>1406</v>
      </c>
      <c r="G305" s="8" t="s">
        <v>751</v>
      </c>
      <c r="H305" s="9">
        <v>18</v>
      </c>
      <c r="I305" s="8" t="s">
        <v>653</v>
      </c>
      <c r="J305" s="8" t="s">
        <v>1076</v>
      </c>
      <c r="K305" s="8" t="s">
        <v>16</v>
      </c>
      <c r="L305" s="8" t="s">
        <v>17</v>
      </c>
      <c r="M305" s="10" t="s">
        <v>681</v>
      </c>
      <c r="N305" s="10" t="s">
        <v>717</v>
      </c>
      <c r="O305" s="10" t="s">
        <v>653</v>
      </c>
      <c r="P305" s="1"/>
      <c r="Q305" s="11" t="b">
        <f>O305=P305</f>
        <v>0</v>
      </c>
      <c r="R305" s="30">
        <v>30040981</v>
      </c>
      <c r="S305" s="1"/>
      <c r="T305" s="11" t="b">
        <f>R305=S305</f>
        <v>0</v>
      </c>
      <c r="U305" s="10" t="s">
        <v>16</v>
      </c>
      <c r="V305" s="1"/>
      <c r="W305" s="11" t="b">
        <f>U305=V305</f>
        <v>0</v>
      </c>
      <c r="X305" s="13" t="s">
        <v>15</v>
      </c>
      <c r="Y305" s="1"/>
      <c r="Z305" s="1"/>
      <c r="AA305" s="10">
        <v>22003015</v>
      </c>
      <c r="AB305" s="10" t="s">
        <v>1409</v>
      </c>
      <c r="AD305" s="11" t="b">
        <f>AB305=AC305</f>
        <v>0</v>
      </c>
      <c r="AE305" s="10" t="s">
        <v>751</v>
      </c>
      <c r="AF305" s="1"/>
      <c r="AG305" s="11" t="b">
        <f>AE305=AF305</f>
        <v>0</v>
      </c>
      <c r="AH305" s="1">
        <v>18</v>
      </c>
      <c r="AI305" s="1">
        <v>17.73</v>
      </c>
      <c r="AJ305" s="16">
        <f>AI305*220/30*30.4375</f>
        <v>3957.4837500000003</v>
      </c>
      <c r="AK305" s="18">
        <v>3957.48</v>
      </c>
      <c r="AL305" s="71" t="s">
        <v>653</v>
      </c>
      <c r="AM305" s="19" t="b">
        <f>AL305=O305</f>
        <v>1</v>
      </c>
      <c r="AN305" s="7">
        <f>VLOOKUP(A305,'base ZITRHR129'!$G$1:$H$628,2,0)</f>
        <v>30040981</v>
      </c>
      <c r="AO305" s="7" t="b">
        <f>AN305=R305</f>
        <v>1</v>
      </c>
      <c r="AP305" s="7">
        <f>VLOOKUP(A305,'base ZITRHR129'!G13:W639,17,0)</f>
        <v>3957.48</v>
      </c>
      <c r="AQ305" s="7" t="b">
        <f>AP305=AK305</f>
        <v>1</v>
      </c>
      <c r="AR305" s="78"/>
    </row>
    <row r="306" spans="1:44" s="7" customFormat="1" x14ac:dyDescent="0.25">
      <c r="A306" s="7">
        <v>10046901</v>
      </c>
      <c r="B306" s="8" t="s">
        <v>329</v>
      </c>
      <c r="C306" s="8" t="s">
        <v>690</v>
      </c>
      <c r="D306" s="8" t="s">
        <v>717</v>
      </c>
      <c r="E306" s="8" t="s">
        <v>726</v>
      </c>
      <c r="F306" s="8" t="s">
        <v>1406</v>
      </c>
      <c r="G306" s="8" t="s">
        <v>755</v>
      </c>
      <c r="H306" s="9">
        <v>15</v>
      </c>
      <c r="I306" s="8" t="s">
        <v>663</v>
      </c>
      <c r="J306" s="8" t="s">
        <v>1077</v>
      </c>
      <c r="K306" s="8" t="s">
        <v>16</v>
      </c>
      <c r="L306" s="8" t="s">
        <v>17</v>
      </c>
      <c r="M306" s="10" t="s">
        <v>690</v>
      </c>
      <c r="N306" s="10" t="s">
        <v>717</v>
      </c>
      <c r="O306" s="10" t="s">
        <v>663</v>
      </c>
      <c r="P306" s="1"/>
      <c r="Q306" s="11" t="b">
        <f>O306=P306</f>
        <v>0</v>
      </c>
      <c r="R306" s="30">
        <v>30040982</v>
      </c>
      <c r="S306" s="1"/>
      <c r="T306" s="11" t="b">
        <f>R306=S306</f>
        <v>0</v>
      </c>
      <c r="U306" s="10" t="s">
        <v>16</v>
      </c>
      <c r="V306" s="1"/>
      <c r="W306" s="11" t="b">
        <f>U306=V306</f>
        <v>0</v>
      </c>
      <c r="X306" s="13" t="s">
        <v>15</v>
      </c>
      <c r="Y306" s="1"/>
      <c r="Z306" s="1"/>
      <c r="AA306" s="59">
        <v>22002617</v>
      </c>
      <c r="AB306" s="10" t="s">
        <v>1409</v>
      </c>
      <c r="AD306" s="11" t="b">
        <f>AB306=AC306</f>
        <v>0</v>
      </c>
      <c r="AE306" s="10" t="s">
        <v>755</v>
      </c>
      <c r="AF306" s="1"/>
      <c r="AG306" s="11" t="b">
        <f>AE306=AF306</f>
        <v>0</v>
      </c>
      <c r="AH306" s="1">
        <v>15</v>
      </c>
      <c r="AI306" s="1">
        <v>11.43</v>
      </c>
      <c r="AJ306" s="16">
        <f>AI306*220/30*30.4375</f>
        <v>2551.2712499999998</v>
      </c>
      <c r="AK306" s="18">
        <v>2551.27</v>
      </c>
      <c r="AL306" s="71" t="s">
        <v>663</v>
      </c>
      <c r="AM306" s="19" t="b">
        <f>AL306=O306</f>
        <v>1</v>
      </c>
      <c r="AN306" s="7">
        <f>VLOOKUP(A306,'base ZITRHR129'!$G$1:$H$628,2,0)</f>
        <v>30040982</v>
      </c>
      <c r="AO306" s="7" t="b">
        <f>AN306=R306</f>
        <v>1</v>
      </c>
      <c r="AP306" s="7">
        <f>VLOOKUP(A306,'base ZITRHR129'!G12:W638,17,0)</f>
        <v>2551.27</v>
      </c>
      <c r="AQ306" s="7" t="b">
        <f>AP306=AK306</f>
        <v>1</v>
      </c>
      <c r="AR306" s="78"/>
    </row>
    <row r="307" spans="1:44" s="7" customFormat="1" x14ac:dyDescent="0.25">
      <c r="A307" s="7">
        <v>10047084</v>
      </c>
      <c r="B307" s="8" t="s">
        <v>330</v>
      </c>
      <c r="C307" s="8" t="s">
        <v>681</v>
      </c>
      <c r="D307" s="8" t="s">
        <v>717</v>
      </c>
      <c r="E307" s="8" t="s">
        <v>720</v>
      </c>
      <c r="F307" s="8" t="s">
        <v>1406</v>
      </c>
      <c r="G307" s="8" t="s">
        <v>751</v>
      </c>
      <c r="H307" s="9">
        <v>18</v>
      </c>
      <c r="I307" s="8" t="s">
        <v>653</v>
      </c>
      <c r="J307" s="8" t="s">
        <v>1078</v>
      </c>
      <c r="K307" s="8" t="s">
        <v>16</v>
      </c>
      <c r="L307" s="8" t="s">
        <v>17</v>
      </c>
      <c r="M307" s="10" t="s">
        <v>681</v>
      </c>
      <c r="N307" s="10" t="s">
        <v>717</v>
      </c>
      <c r="O307" s="10" t="s">
        <v>653</v>
      </c>
      <c r="P307" s="1"/>
      <c r="Q307" s="11" t="b">
        <f>O307=P307</f>
        <v>0</v>
      </c>
      <c r="R307" s="30">
        <v>30040983</v>
      </c>
      <c r="S307" s="1"/>
      <c r="T307" s="11" t="b">
        <f>R307=S307</f>
        <v>0</v>
      </c>
      <c r="U307" s="10" t="s">
        <v>16</v>
      </c>
      <c r="V307" s="1"/>
      <c r="W307" s="11" t="b">
        <f>U307=V307</f>
        <v>0</v>
      </c>
      <c r="X307" s="13" t="s">
        <v>15</v>
      </c>
      <c r="Y307" s="1"/>
      <c r="Z307" s="1"/>
      <c r="AA307" s="10">
        <v>22003015</v>
      </c>
      <c r="AB307" s="10" t="s">
        <v>1409</v>
      </c>
      <c r="AD307" s="11" t="b">
        <f>AB307=AC307</f>
        <v>0</v>
      </c>
      <c r="AE307" s="10" t="s">
        <v>751</v>
      </c>
      <c r="AF307" s="1"/>
      <c r="AG307" s="11" t="b">
        <f>AE307=AF307</f>
        <v>0</v>
      </c>
      <c r="AH307" s="1">
        <v>18</v>
      </c>
      <c r="AI307" s="1">
        <v>13.14</v>
      </c>
      <c r="AJ307" s="16">
        <f>AI307*220/30*30.4375</f>
        <v>2932.9575</v>
      </c>
      <c r="AK307" s="18">
        <v>2932.96</v>
      </c>
      <c r="AL307" s="71" t="s">
        <v>653</v>
      </c>
      <c r="AM307" s="19" t="b">
        <f>AL307=O307</f>
        <v>1</v>
      </c>
      <c r="AN307" s="7">
        <f>VLOOKUP(A307,'base ZITRHR129'!$G$1:$H$628,2,0)</f>
        <v>30040983</v>
      </c>
      <c r="AO307" s="7" t="b">
        <f>AN307=R307</f>
        <v>1</v>
      </c>
      <c r="AP307" s="7">
        <f>VLOOKUP(A307,'base ZITRHR129'!G11:W637,17,0)</f>
        <v>2932.96</v>
      </c>
      <c r="AQ307" s="7" t="b">
        <f>AP307=AK307</f>
        <v>1</v>
      </c>
      <c r="AR307" s="78"/>
    </row>
    <row r="308" spans="1:44" s="7" customFormat="1" x14ac:dyDescent="0.25">
      <c r="A308" s="7">
        <v>10047156</v>
      </c>
      <c r="B308" s="8" t="s">
        <v>331</v>
      </c>
      <c r="C308" s="8" t="s">
        <v>695</v>
      </c>
      <c r="D308" s="8" t="s">
        <v>717</v>
      </c>
      <c r="E308" s="8" t="s">
        <v>724</v>
      </c>
      <c r="F308" s="8" t="s">
        <v>1406</v>
      </c>
      <c r="G308" s="8" t="s">
        <v>21</v>
      </c>
      <c r="H308" s="9">
        <v>16</v>
      </c>
      <c r="I308" s="8" t="s">
        <v>660</v>
      </c>
      <c r="J308" s="8" t="s">
        <v>1079</v>
      </c>
      <c r="K308" s="8" t="s">
        <v>16</v>
      </c>
      <c r="L308" s="8" t="s">
        <v>17</v>
      </c>
      <c r="M308" s="10" t="s">
        <v>695</v>
      </c>
      <c r="N308" s="10" t="s">
        <v>717</v>
      </c>
      <c r="O308" s="10" t="s">
        <v>660</v>
      </c>
      <c r="P308" s="1"/>
      <c r="Q308" s="11" t="b">
        <f>O308=P308</f>
        <v>0</v>
      </c>
      <c r="R308" s="30">
        <v>30040984</v>
      </c>
      <c r="S308" s="1"/>
      <c r="T308" s="11" t="b">
        <f>R308=S308</f>
        <v>0</v>
      </c>
      <c r="U308" s="10" t="s">
        <v>16</v>
      </c>
      <c r="V308" s="1"/>
      <c r="W308" s="11" t="b">
        <f>U308=V308</f>
        <v>0</v>
      </c>
      <c r="X308" s="13" t="s">
        <v>15</v>
      </c>
      <c r="Y308" s="1"/>
      <c r="Z308" s="1"/>
      <c r="AA308" s="10">
        <v>22002616</v>
      </c>
      <c r="AB308" s="10" t="s">
        <v>1409</v>
      </c>
      <c r="AD308" s="11" t="b">
        <f>AB308=AC308</f>
        <v>0</v>
      </c>
      <c r="AE308" s="10" t="s">
        <v>21</v>
      </c>
      <c r="AF308" s="1"/>
      <c r="AG308" s="11" t="b">
        <f>AE308=AF308</f>
        <v>0</v>
      </c>
      <c r="AH308" s="1">
        <v>16</v>
      </c>
      <c r="AI308" s="1">
        <v>11.71</v>
      </c>
      <c r="AJ308" s="16">
        <f>AI308*220/30*30.4375</f>
        <v>2613.7695833333337</v>
      </c>
      <c r="AK308" s="18">
        <v>2613.77</v>
      </c>
      <c r="AL308" s="71" t="s">
        <v>660</v>
      </c>
      <c r="AM308" s="19" t="b">
        <f>AL308=O308</f>
        <v>1</v>
      </c>
      <c r="AN308" s="7">
        <f>VLOOKUP(A308,'base ZITRHR129'!$G$1:$H$628,2,0)</f>
        <v>30040984</v>
      </c>
      <c r="AO308" s="7" t="b">
        <f>AN308=R308</f>
        <v>1</v>
      </c>
      <c r="AP308" s="7">
        <f>VLOOKUP(A308,'base ZITRHR129'!G10:W636,17,0)</f>
        <v>2613.77</v>
      </c>
      <c r="AQ308" s="7" t="b">
        <f>AP308=AK308</f>
        <v>1</v>
      </c>
      <c r="AR308" s="78"/>
    </row>
    <row r="309" spans="1:44" s="7" customFormat="1" x14ac:dyDescent="0.25">
      <c r="A309" s="7">
        <v>10047169</v>
      </c>
      <c r="B309" s="8" t="s">
        <v>332</v>
      </c>
      <c r="C309" s="8" t="s">
        <v>690</v>
      </c>
      <c r="D309" s="8" t="s">
        <v>717</v>
      </c>
      <c r="E309" s="8" t="s">
        <v>726</v>
      </c>
      <c r="F309" s="8" t="s">
        <v>1406</v>
      </c>
      <c r="G309" s="8" t="s">
        <v>755</v>
      </c>
      <c r="H309" s="9">
        <v>15</v>
      </c>
      <c r="I309" s="8" t="s">
        <v>663</v>
      </c>
      <c r="J309" s="8" t="s">
        <v>1080</v>
      </c>
      <c r="K309" s="8" t="s">
        <v>16</v>
      </c>
      <c r="L309" s="8" t="s">
        <v>17</v>
      </c>
      <c r="M309" s="10" t="s">
        <v>690</v>
      </c>
      <c r="N309" s="10" t="s">
        <v>717</v>
      </c>
      <c r="O309" s="10" t="s">
        <v>663</v>
      </c>
      <c r="P309" s="1"/>
      <c r="Q309" s="11" t="b">
        <f>O309=P309</f>
        <v>0</v>
      </c>
      <c r="R309" s="30">
        <v>30040985</v>
      </c>
      <c r="S309" s="1"/>
      <c r="T309" s="11" t="b">
        <f>R309=S309</f>
        <v>0</v>
      </c>
      <c r="U309" s="10" t="s">
        <v>16</v>
      </c>
      <c r="V309" s="1"/>
      <c r="W309" s="11" t="b">
        <f>U309=V309</f>
        <v>0</v>
      </c>
      <c r="X309" s="13" t="s">
        <v>15</v>
      </c>
      <c r="Y309" s="1"/>
      <c r="Z309" s="1"/>
      <c r="AA309" s="10">
        <v>22002617</v>
      </c>
      <c r="AB309" s="10" t="s">
        <v>1409</v>
      </c>
      <c r="AD309" s="11" t="b">
        <f>AB309=AC309</f>
        <v>0</v>
      </c>
      <c r="AE309" s="10" t="s">
        <v>755</v>
      </c>
      <c r="AF309" s="1"/>
      <c r="AG309" s="11" t="b">
        <f>AE309=AF309</f>
        <v>0</v>
      </c>
      <c r="AH309" s="1">
        <v>15</v>
      </c>
      <c r="AI309" s="1">
        <v>11.43</v>
      </c>
      <c r="AJ309" s="16">
        <f>AI309*220/30*30.4375</f>
        <v>2551.2712499999998</v>
      </c>
      <c r="AK309" s="18">
        <v>2551.27</v>
      </c>
      <c r="AL309" s="71" t="s">
        <v>663</v>
      </c>
      <c r="AM309" s="19" t="b">
        <f>AL309=O309</f>
        <v>1</v>
      </c>
      <c r="AN309" s="7">
        <f>VLOOKUP(A309,'base ZITRHR129'!$G$1:$H$628,2,0)</f>
        <v>30040985</v>
      </c>
      <c r="AO309" s="7" t="b">
        <f>AN309=R309</f>
        <v>1</v>
      </c>
      <c r="AP309" s="7">
        <f>VLOOKUP(A309,'base ZITRHR129'!G9:W635,17,0)</f>
        <v>2551.27</v>
      </c>
      <c r="AQ309" s="7" t="b">
        <f>AP309=AK309</f>
        <v>1</v>
      </c>
      <c r="AR309" s="78"/>
    </row>
    <row r="310" spans="1:44" s="7" customFormat="1" x14ac:dyDescent="0.25">
      <c r="A310" s="7">
        <v>10047433</v>
      </c>
      <c r="B310" s="8" t="s">
        <v>333</v>
      </c>
      <c r="C310" s="8" t="s">
        <v>689</v>
      </c>
      <c r="D310" s="8" t="s">
        <v>717</v>
      </c>
      <c r="E310" s="8" t="s">
        <v>730</v>
      </c>
      <c r="F310" s="8" t="s">
        <v>1406</v>
      </c>
      <c r="G310" s="8" t="s">
        <v>759</v>
      </c>
      <c r="H310" s="9">
        <v>17</v>
      </c>
      <c r="I310" s="8" t="s">
        <v>662</v>
      </c>
      <c r="J310" s="8" t="s">
        <v>1081</v>
      </c>
      <c r="K310" s="8" t="s">
        <v>16</v>
      </c>
      <c r="L310" s="8" t="s">
        <v>17</v>
      </c>
      <c r="M310" s="10" t="s">
        <v>689</v>
      </c>
      <c r="N310" s="10" t="s">
        <v>717</v>
      </c>
      <c r="O310" s="10" t="s">
        <v>662</v>
      </c>
      <c r="P310" s="1"/>
      <c r="Q310" s="11" t="b">
        <f>O310=P310</f>
        <v>0</v>
      </c>
      <c r="R310" s="30">
        <v>30040986</v>
      </c>
      <c r="S310" s="1"/>
      <c r="T310" s="11" t="b">
        <f>R310=S310</f>
        <v>0</v>
      </c>
      <c r="U310" s="10" t="s">
        <v>16</v>
      </c>
      <c r="V310" s="1"/>
      <c r="W310" s="11" t="b">
        <f>U310=V310</f>
        <v>0</v>
      </c>
      <c r="X310" s="13" t="s">
        <v>15</v>
      </c>
      <c r="Y310" s="1"/>
      <c r="Z310" s="1"/>
      <c r="AA310" s="10">
        <v>22002605</v>
      </c>
      <c r="AB310" s="10" t="s">
        <v>1409</v>
      </c>
      <c r="AD310" s="11" t="b">
        <f>AB310=AC310</f>
        <v>0</v>
      </c>
      <c r="AE310" s="10" t="s">
        <v>759</v>
      </c>
      <c r="AF310" s="1"/>
      <c r="AG310" s="11" t="b">
        <f>AE310=AF310</f>
        <v>0</v>
      </c>
      <c r="AH310" s="1">
        <v>17</v>
      </c>
      <c r="AI310" s="1">
        <v>13.31</v>
      </c>
      <c r="AJ310" s="16">
        <f>AI310*220/30*30.4375</f>
        <v>2970.9029166666669</v>
      </c>
      <c r="AK310" s="18">
        <v>2970.9</v>
      </c>
      <c r="AL310" s="71" t="s">
        <v>662</v>
      </c>
      <c r="AM310" s="19" t="b">
        <f>AL310=O310</f>
        <v>1</v>
      </c>
      <c r="AN310" s="7">
        <f>VLOOKUP(A310,'base ZITRHR129'!$G$1:$H$628,2,0)</f>
        <v>30040986</v>
      </c>
      <c r="AO310" s="7" t="b">
        <f>AN310=R310</f>
        <v>1</v>
      </c>
      <c r="AP310" s="7">
        <f>VLOOKUP(A310,'base ZITRHR129'!G8:W634,17,0)</f>
        <v>2970.9</v>
      </c>
      <c r="AQ310" s="7" t="b">
        <f>AP310=AK310</f>
        <v>1</v>
      </c>
      <c r="AR310" s="78"/>
    </row>
    <row r="311" spans="1:44" s="20" customFormat="1" x14ac:dyDescent="0.25">
      <c r="A311" s="7">
        <v>10047527</v>
      </c>
      <c r="B311" s="8" t="s">
        <v>334</v>
      </c>
      <c r="C311" s="8" t="s">
        <v>689</v>
      </c>
      <c r="D311" s="8" t="s">
        <v>717</v>
      </c>
      <c r="E311" s="8" t="s">
        <v>730</v>
      </c>
      <c r="F311" s="8" t="s">
        <v>1406</v>
      </c>
      <c r="G311" s="8" t="s">
        <v>759</v>
      </c>
      <c r="H311" s="9">
        <v>17</v>
      </c>
      <c r="I311" s="8" t="s">
        <v>662</v>
      </c>
      <c r="J311" s="8" t="s">
        <v>1082</v>
      </c>
      <c r="K311" s="8" t="s">
        <v>16</v>
      </c>
      <c r="L311" s="8" t="s">
        <v>17</v>
      </c>
      <c r="M311" s="10" t="s">
        <v>689</v>
      </c>
      <c r="N311" s="10" t="s">
        <v>717</v>
      </c>
      <c r="O311" s="10" t="s">
        <v>662</v>
      </c>
      <c r="P311" s="1"/>
      <c r="Q311" s="11" t="b">
        <f>O311=P311</f>
        <v>0</v>
      </c>
      <c r="R311" s="30">
        <v>30040987</v>
      </c>
      <c r="S311" s="1"/>
      <c r="T311" s="11" t="b">
        <f>R311=S311</f>
        <v>0</v>
      </c>
      <c r="U311" s="10" t="s">
        <v>16</v>
      </c>
      <c r="V311" s="1"/>
      <c r="W311" s="11" t="b">
        <f>U311=V311</f>
        <v>0</v>
      </c>
      <c r="X311" s="13" t="s">
        <v>15</v>
      </c>
      <c r="Y311" s="1"/>
      <c r="Z311" s="1"/>
      <c r="AA311" s="59">
        <v>22002605</v>
      </c>
      <c r="AB311" s="10" t="s">
        <v>1409</v>
      </c>
      <c r="AC311" s="7"/>
      <c r="AD311" s="11" t="b">
        <f>AB311=AC311</f>
        <v>0</v>
      </c>
      <c r="AE311" s="10" t="s">
        <v>759</v>
      </c>
      <c r="AF311" s="1"/>
      <c r="AG311" s="11" t="b">
        <f>AE311=AF311</f>
        <v>0</v>
      </c>
      <c r="AH311" s="1">
        <v>17</v>
      </c>
      <c r="AI311" s="1">
        <v>14.04</v>
      </c>
      <c r="AJ311" s="16">
        <f>AI311*220/30*30.4375</f>
        <v>3133.8449999999998</v>
      </c>
      <c r="AK311" s="18">
        <v>3133.85</v>
      </c>
      <c r="AL311" s="71" t="s">
        <v>662</v>
      </c>
      <c r="AM311" s="19" t="b">
        <f>AL311=O311</f>
        <v>1</v>
      </c>
      <c r="AN311" s="7">
        <f>VLOOKUP(A311,'base ZITRHR129'!$G$1:$H$628,2,0)</f>
        <v>30040987</v>
      </c>
      <c r="AO311" s="7" t="b">
        <f>AN311=R311</f>
        <v>1</v>
      </c>
      <c r="AP311" s="7">
        <f>VLOOKUP(A311,'base ZITRHR129'!G7:W633,17,0)</f>
        <v>3133.85</v>
      </c>
      <c r="AQ311" s="7" t="b">
        <f>AP311=AK311</f>
        <v>1</v>
      </c>
      <c r="AR311" s="78"/>
    </row>
    <row r="312" spans="1:44" s="7" customFormat="1" x14ac:dyDescent="0.25">
      <c r="A312" s="7">
        <v>10047610</v>
      </c>
      <c r="B312" s="8" t="s">
        <v>335</v>
      </c>
      <c r="C312" s="8" t="s">
        <v>680</v>
      </c>
      <c r="D312" s="8" t="s">
        <v>717</v>
      </c>
      <c r="E312" s="8" t="s">
        <v>729</v>
      </c>
      <c r="F312" s="8" t="s">
        <v>1406</v>
      </c>
      <c r="G312" s="8" t="s">
        <v>758</v>
      </c>
      <c r="H312" s="9">
        <v>17</v>
      </c>
      <c r="I312" s="8" t="s">
        <v>654</v>
      </c>
      <c r="J312" s="8" t="s">
        <v>1083</v>
      </c>
      <c r="K312" s="8" t="s">
        <v>16</v>
      </c>
      <c r="L312" s="8" t="s">
        <v>17</v>
      </c>
      <c r="M312" s="10" t="s">
        <v>680</v>
      </c>
      <c r="N312" s="10" t="s">
        <v>717</v>
      </c>
      <c r="O312" s="10" t="s">
        <v>654</v>
      </c>
      <c r="P312" s="1"/>
      <c r="Q312" s="11" t="b">
        <f>O312=P312</f>
        <v>0</v>
      </c>
      <c r="R312" s="30">
        <v>30040988</v>
      </c>
      <c r="S312" s="1"/>
      <c r="T312" s="11" t="b">
        <f>R312=S312</f>
        <v>0</v>
      </c>
      <c r="U312" s="10" t="s">
        <v>16</v>
      </c>
      <c r="V312" s="1"/>
      <c r="W312" s="11" t="b">
        <f>U312=V312</f>
        <v>0</v>
      </c>
      <c r="X312" s="13" t="s">
        <v>15</v>
      </c>
      <c r="Y312" s="1"/>
      <c r="Z312" s="1"/>
      <c r="AA312" s="10">
        <v>22002447</v>
      </c>
      <c r="AB312" s="10" t="s">
        <v>1409</v>
      </c>
      <c r="AD312" s="11" t="b">
        <f>AB312=AC312</f>
        <v>0</v>
      </c>
      <c r="AE312" s="10" t="s">
        <v>758</v>
      </c>
      <c r="AF312" s="1"/>
      <c r="AG312" s="11" t="b">
        <f>AE312=AF312</f>
        <v>0</v>
      </c>
      <c r="AH312" s="1">
        <v>17</v>
      </c>
      <c r="AI312" s="1">
        <v>14.48</v>
      </c>
      <c r="AJ312" s="16">
        <f>AI312*220/30*30.4375</f>
        <v>3232.0566666666668</v>
      </c>
      <c r="AK312" s="18">
        <v>3232.06</v>
      </c>
      <c r="AL312" s="71" t="s">
        <v>654</v>
      </c>
      <c r="AM312" s="19" t="b">
        <f>AL312=O312</f>
        <v>1</v>
      </c>
      <c r="AN312" s="7">
        <f>VLOOKUP(A312,'base ZITRHR129'!$G$1:$H$628,2,0)</f>
        <v>30040988</v>
      </c>
      <c r="AO312" s="7" t="b">
        <f>AN312=R312</f>
        <v>1</v>
      </c>
      <c r="AP312" s="7">
        <f>VLOOKUP(A312,'base ZITRHR129'!G6:W632,17,0)</f>
        <v>3232.06</v>
      </c>
      <c r="AQ312" s="7" t="b">
        <f>AP312=AK312</f>
        <v>1</v>
      </c>
      <c r="AR312" s="78"/>
    </row>
    <row r="313" spans="1:44" s="7" customFormat="1" x14ac:dyDescent="0.25">
      <c r="A313" s="7">
        <v>10047732</v>
      </c>
      <c r="B313" s="8" t="s">
        <v>336</v>
      </c>
      <c r="C313" s="8" t="s">
        <v>705</v>
      </c>
      <c r="D313" s="8" t="s">
        <v>717</v>
      </c>
      <c r="E313" s="8" t="s">
        <v>723</v>
      </c>
      <c r="F313" s="8" t="s">
        <v>1406</v>
      </c>
      <c r="G313" s="8" t="s">
        <v>19</v>
      </c>
      <c r="H313" s="9">
        <v>16</v>
      </c>
      <c r="I313" s="8" t="s">
        <v>670</v>
      </c>
      <c r="J313" s="8" t="s">
        <v>1084</v>
      </c>
      <c r="K313" s="8" t="s">
        <v>16</v>
      </c>
      <c r="L313" s="8" t="s">
        <v>17</v>
      </c>
      <c r="M313" s="10" t="s">
        <v>705</v>
      </c>
      <c r="N313" s="10" t="s">
        <v>717</v>
      </c>
      <c r="O313" s="10" t="s">
        <v>670</v>
      </c>
      <c r="P313" s="1"/>
      <c r="Q313" s="11" t="b">
        <f>O313=P313</f>
        <v>0</v>
      </c>
      <c r="R313" s="30">
        <v>30040989</v>
      </c>
      <c r="S313" s="1"/>
      <c r="T313" s="11" t="b">
        <f>R313=S313</f>
        <v>0</v>
      </c>
      <c r="U313" s="10" t="s">
        <v>16</v>
      </c>
      <c r="V313" s="1"/>
      <c r="W313" s="11" t="b">
        <f>U313=V313</f>
        <v>0</v>
      </c>
      <c r="X313" s="13" t="s">
        <v>15</v>
      </c>
      <c r="Y313" s="1"/>
      <c r="Z313" s="1"/>
      <c r="AA313" s="10">
        <v>22002460</v>
      </c>
      <c r="AB313" s="10" t="s">
        <v>1409</v>
      </c>
      <c r="AD313" s="11" t="b">
        <f>AB313=AC313</f>
        <v>0</v>
      </c>
      <c r="AE313" s="10" t="s">
        <v>19</v>
      </c>
      <c r="AF313" s="1"/>
      <c r="AG313" s="11" t="b">
        <f>AE313=AF313</f>
        <v>0</v>
      </c>
      <c r="AH313" s="1">
        <v>16</v>
      </c>
      <c r="AI313" s="1">
        <v>10.26</v>
      </c>
      <c r="AJ313" s="16">
        <f>AI313*220/30*30.4375</f>
        <v>2290.1174999999998</v>
      </c>
      <c r="AK313" s="18">
        <v>2290.12</v>
      </c>
      <c r="AL313" s="71" t="s">
        <v>670</v>
      </c>
      <c r="AM313" s="19" t="b">
        <f>AL313=O313</f>
        <v>1</v>
      </c>
      <c r="AN313" s="7">
        <f>VLOOKUP(A313,'base ZITRHR129'!$G$1:$H$628,2,0)</f>
        <v>30040989</v>
      </c>
      <c r="AO313" s="7" t="b">
        <f>AN313=R313</f>
        <v>1</v>
      </c>
      <c r="AP313" s="7">
        <f>VLOOKUP(A313,'base ZITRHR129'!G5:W631,17,0)</f>
        <v>2290.12</v>
      </c>
      <c r="AQ313" s="7" t="b">
        <f>AP313=AK313</f>
        <v>1</v>
      </c>
      <c r="AR313" s="78"/>
    </row>
    <row r="314" spans="1:44" s="7" customFormat="1" x14ac:dyDescent="0.25">
      <c r="A314" s="7">
        <v>10047737</v>
      </c>
      <c r="B314" s="8" t="s">
        <v>337</v>
      </c>
      <c r="C314" s="8" t="s">
        <v>695</v>
      </c>
      <c r="D314" s="8" t="s">
        <v>717</v>
      </c>
      <c r="E314" s="8" t="s">
        <v>724</v>
      </c>
      <c r="F314" s="8" t="s">
        <v>1406</v>
      </c>
      <c r="G314" s="8" t="s">
        <v>21</v>
      </c>
      <c r="H314" s="9">
        <v>16</v>
      </c>
      <c r="I314" s="8" t="s">
        <v>660</v>
      </c>
      <c r="J314" s="8" t="s">
        <v>1085</v>
      </c>
      <c r="K314" s="8" t="s">
        <v>16</v>
      </c>
      <c r="L314" s="8" t="s">
        <v>17</v>
      </c>
      <c r="M314" s="10" t="s">
        <v>695</v>
      </c>
      <c r="N314" s="10" t="s">
        <v>717</v>
      </c>
      <c r="O314" s="10" t="s">
        <v>660</v>
      </c>
      <c r="P314" s="1"/>
      <c r="Q314" s="11" t="b">
        <f>O314=P314</f>
        <v>0</v>
      </c>
      <c r="R314" s="30">
        <v>30040990</v>
      </c>
      <c r="S314" s="1"/>
      <c r="T314" s="11" t="b">
        <f>R314=S314</f>
        <v>0</v>
      </c>
      <c r="U314" s="10" t="s">
        <v>16</v>
      </c>
      <c r="V314" s="1"/>
      <c r="W314" s="11" t="b">
        <f>U314=V314</f>
        <v>0</v>
      </c>
      <c r="X314" s="13" t="s">
        <v>15</v>
      </c>
      <c r="Y314" s="1"/>
      <c r="Z314" s="1"/>
      <c r="AA314" s="10">
        <v>22002616</v>
      </c>
      <c r="AB314" s="10" t="s">
        <v>1409</v>
      </c>
      <c r="AD314" s="11" t="b">
        <f>AB314=AC314</f>
        <v>0</v>
      </c>
      <c r="AE314" s="10" t="s">
        <v>21</v>
      </c>
      <c r="AF314" s="1"/>
      <c r="AG314" s="11" t="b">
        <f>AE314=AF314</f>
        <v>0</v>
      </c>
      <c r="AH314" s="1">
        <v>16</v>
      </c>
      <c r="AI314" s="1">
        <v>11.71</v>
      </c>
      <c r="AJ314" s="16">
        <f>AI314*220/30*30.4375</f>
        <v>2613.7695833333337</v>
      </c>
      <c r="AK314" s="18">
        <v>2613.77</v>
      </c>
      <c r="AL314" s="71" t="s">
        <v>660</v>
      </c>
      <c r="AM314" s="19" t="b">
        <f>AL314=O314</f>
        <v>1</v>
      </c>
      <c r="AN314" s="7">
        <f>VLOOKUP(A314,'base ZITRHR129'!$G$1:$H$628,2,0)</f>
        <v>30040990</v>
      </c>
      <c r="AO314" s="7" t="b">
        <f>AN314=R314</f>
        <v>1</v>
      </c>
      <c r="AP314" s="7">
        <f>VLOOKUP(A314,'base ZITRHR129'!G4:W630,17,0)</f>
        <v>2613.77</v>
      </c>
      <c r="AQ314" s="7" t="b">
        <f>AP314=AK314</f>
        <v>1</v>
      </c>
      <c r="AR314" s="78"/>
    </row>
    <row r="315" spans="1:44" s="7" customFormat="1" x14ac:dyDescent="0.25">
      <c r="A315" s="7">
        <v>10047742</v>
      </c>
      <c r="B315" s="8" t="s">
        <v>338</v>
      </c>
      <c r="C315" s="8" t="s">
        <v>704</v>
      </c>
      <c r="D315" s="8" t="s">
        <v>717</v>
      </c>
      <c r="E315" s="8" t="s">
        <v>735</v>
      </c>
      <c r="F315" s="8" t="s">
        <v>1406</v>
      </c>
      <c r="G315" s="8" t="s">
        <v>763</v>
      </c>
      <c r="H315" s="9">
        <v>17</v>
      </c>
      <c r="I315" s="8" t="s">
        <v>669</v>
      </c>
      <c r="J315" s="8" t="s">
        <v>1086</v>
      </c>
      <c r="K315" s="8" t="s">
        <v>16</v>
      </c>
      <c r="L315" s="8" t="s">
        <v>17</v>
      </c>
      <c r="M315" s="10" t="s">
        <v>704</v>
      </c>
      <c r="N315" s="10" t="s">
        <v>717</v>
      </c>
      <c r="O315" s="10" t="s">
        <v>669</v>
      </c>
      <c r="P315" s="1"/>
      <c r="Q315" s="11" t="b">
        <f>O315=P315</f>
        <v>0</v>
      </c>
      <c r="R315" s="30">
        <v>30040991</v>
      </c>
      <c r="S315" s="1"/>
      <c r="T315" s="11" t="b">
        <f>R315=S315</f>
        <v>0</v>
      </c>
      <c r="U315" s="10" t="s">
        <v>16</v>
      </c>
      <c r="V315" s="1"/>
      <c r="W315" s="11" t="b">
        <f>U315=V315</f>
        <v>0</v>
      </c>
      <c r="X315" s="13" t="s">
        <v>15</v>
      </c>
      <c r="Y315" s="1"/>
      <c r="Z315" s="1"/>
      <c r="AA315" s="60">
        <v>22001161</v>
      </c>
      <c r="AB315" s="10" t="s">
        <v>1409</v>
      </c>
      <c r="AD315" s="11" t="b">
        <f>AB315=AC315</f>
        <v>0</v>
      </c>
      <c r="AE315" s="10" t="s">
        <v>763</v>
      </c>
      <c r="AF315" s="1"/>
      <c r="AG315" s="11" t="b">
        <f>AE315=AF315</f>
        <v>0</v>
      </c>
      <c r="AH315" s="1">
        <v>17</v>
      </c>
      <c r="AI315" s="1">
        <v>10.24</v>
      </c>
      <c r="AJ315" s="16">
        <f>AI315*220/30*30.4375</f>
        <v>2285.6533333333332</v>
      </c>
      <c r="AK315" s="18">
        <v>2285.65</v>
      </c>
      <c r="AL315" s="71" t="s">
        <v>669</v>
      </c>
      <c r="AM315" s="19" t="b">
        <f>AL315=O315</f>
        <v>1</v>
      </c>
      <c r="AN315" s="7">
        <f>VLOOKUP(A315,'base ZITRHR129'!$G$1:$H$628,2,0)</f>
        <v>30040991</v>
      </c>
      <c r="AO315" s="7" t="b">
        <f>AN315=R315</f>
        <v>1</v>
      </c>
      <c r="AP315" s="7">
        <f>VLOOKUP(A315,'base ZITRHR129'!G3:W629,17,0)</f>
        <v>2285.65</v>
      </c>
      <c r="AQ315" s="7" t="b">
        <f>AP315=AK315</f>
        <v>1</v>
      </c>
      <c r="AR315" s="78"/>
    </row>
    <row r="316" spans="1:44" s="7" customFormat="1" x14ac:dyDescent="0.25">
      <c r="A316" s="7">
        <v>10047839</v>
      </c>
      <c r="B316" s="8" t="s">
        <v>339</v>
      </c>
      <c r="C316" s="8" t="s">
        <v>691</v>
      </c>
      <c r="D316" s="8" t="s">
        <v>717</v>
      </c>
      <c r="E316" s="8" t="s">
        <v>727</v>
      </c>
      <c r="F316" s="8" t="s">
        <v>1406</v>
      </c>
      <c r="G316" s="8" t="s">
        <v>756</v>
      </c>
      <c r="H316" s="9">
        <v>17</v>
      </c>
      <c r="I316" s="8" t="s">
        <v>664</v>
      </c>
      <c r="J316" s="8" t="s">
        <v>1087</v>
      </c>
      <c r="K316" s="8" t="s">
        <v>16</v>
      </c>
      <c r="L316" s="8" t="s">
        <v>17</v>
      </c>
      <c r="M316" s="10" t="s">
        <v>691</v>
      </c>
      <c r="N316" s="10" t="s">
        <v>717</v>
      </c>
      <c r="O316" s="10" t="s">
        <v>664</v>
      </c>
      <c r="P316" s="1"/>
      <c r="Q316" s="11" t="b">
        <f>O316=P316</f>
        <v>0</v>
      </c>
      <c r="R316" s="30">
        <v>30040992</v>
      </c>
      <c r="S316" s="1"/>
      <c r="T316" s="11" t="b">
        <f>R316=S316</f>
        <v>0</v>
      </c>
      <c r="U316" s="10" t="s">
        <v>16</v>
      </c>
      <c r="V316" s="1"/>
      <c r="W316" s="11" t="b">
        <f>U316=V316</f>
        <v>0</v>
      </c>
      <c r="X316" s="13" t="s">
        <v>15</v>
      </c>
      <c r="Y316" s="1"/>
      <c r="Z316" s="1"/>
      <c r="AA316" s="10">
        <v>22003017</v>
      </c>
      <c r="AB316" s="10" t="s">
        <v>1409</v>
      </c>
      <c r="AD316" s="11" t="b">
        <f>AB316=AC316</f>
        <v>0</v>
      </c>
      <c r="AE316" s="10" t="s">
        <v>756</v>
      </c>
      <c r="AF316" s="1"/>
      <c r="AG316" s="11" t="b">
        <f>AE316=AF316</f>
        <v>0</v>
      </c>
      <c r="AH316" s="1">
        <v>17</v>
      </c>
      <c r="AI316" s="1">
        <v>12.45</v>
      </c>
      <c r="AJ316" s="16">
        <f>AI316*220/30*30.4375</f>
        <v>2778.9437499999999</v>
      </c>
      <c r="AK316" s="18">
        <v>2778.94</v>
      </c>
      <c r="AL316" s="71" t="s">
        <v>664</v>
      </c>
      <c r="AM316" s="19" t="b">
        <f>AL316=O316</f>
        <v>1</v>
      </c>
      <c r="AN316" s="7">
        <f>VLOOKUP(A316,'base ZITRHR129'!$G$1:$H$628,2,0)</f>
        <v>30040992</v>
      </c>
      <c r="AO316" s="7" t="b">
        <f>AN316=R316</f>
        <v>1</v>
      </c>
      <c r="AP316" s="7">
        <f>VLOOKUP(A316,'base ZITRHR129'!G2:W628,17,0)</f>
        <v>2778.94</v>
      </c>
      <c r="AQ316" s="7" t="b">
        <f>AP316=AK316</f>
        <v>1</v>
      </c>
      <c r="AR316" s="78"/>
    </row>
    <row r="317" spans="1:44" s="7" customFormat="1" x14ac:dyDescent="0.25">
      <c r="A317" s="7">
        <v>10047966</v>
      </c>
      <c r="B317" s="8" t="s">
        <v>340</v>
      </c>
      <c r="C317" s="8" t="s">
        <v>687</v>
      </c>
      <c r="D317" s="8" t="s">
        <v>717</v>
      </c>
      <c r="E317" s="8" t="s">
        <v>724</v>
      </c>
      <c r="F317" s="8" t="s">
        <v>1406</v>
      </c>
      <c r="G317" s="8" t="s">
        <v>21</v>
      </c>
      <c r="H317" s="9">
        <v>16</v>
      </c>
      <c r="I317" s="8" t="s">
        <v>660</v>
      </c>
      <c r="J317" s="8" t="s">
        <v>1088</v>
      </c>
      <c r="K317" s="8" t="s">
        <v>16</v>
      </c>
      <c r="L317" s="8" t="s">
        <v>17</v>
      </c>
      <c r="M317" s="10" t="s">
        <v>687</v>
      </c>
      <c r="N317" s="10" t="s">
        <v>717</v>
      </c>
      <c r="O317" s="10" t="s">
        <v>660</v>
      </c>
      <c r="P317" s="1"/>
      <c r="Q317" s="11" t="b">
        <f>O317=P317</f>
        <v>0</v>
      </c>
      <c r="R317" s="30">
        <v>30040993</v>
      </c>
      <c r="S317" s="1"/>
      <c r="T317" s="11" t="b">
        <f>R317=S317</f>
        <v>0</v>
      </c>
      <c r="U317" s="10" t="s">
        <v>16</v>
      </c>
      <c r="V317" s="1"/>
      <c r="W317" s="11" t="b">
        <f>U317=V317</f>
        <v>0</v>
      </c>
      <c r="X317" s="13" t="s">
        <v>15</v>
      </c>
      <c r="Y317" s="1"/>
      <c r="Z317" s="1"/>
      <c r="AA317" s="59">
        <v>22002616</v>
      </c>
      <c r="AB317" s="10" t="s">
        <v>1409</v>
      </c>
      <c r="AD317" s="11" t="b">
        <f>AB317=AC317</f>
        <v>0</v>
      </c>
      <c r="AE317" s="10" t="s">
        <v>21</v>
      </c>
      <c r="AF317" s="1"/>
      <c r="AG317" s="11" t="b">
        <f>AE317=AF317</f>
        <v>0</v>
      </c>
      <c r="AH317" s="1">
        <v>16</v>
      </c>
      <c r="AI317" s="1">
        <v>11.71</v>
      </c>
      <c r="AJ317" s="16">
        <f>AI317*220/30*30.4375</f>
        <v>2613.7695833333337</v>
      </c>
      <c r="AK317" s="18">
        <v>2613.77</v>
      </c>
      <c r="AL317" s="71" t="s">
        <v>660</v>
      </c>
      <c r="AM317" s="19" t="b">
        <f>AL317=O317</f>
        <v>1</v>
      </c>
      <c r="AN317" s="7">
        <f>VLOOKUP(A317,'base ZITRHR129'!$G$1:$H$628,2,0)</f>
        <v>30040993</v>
      </c>
      <c r="AO317" s="7" t="b">
        <f>AN317=R317</f>
        <v>1</v>
      </c>
      <c r="AP317" s="7">
        <f>VLOOKUP(A317,'base ZITRHR129'!G315:W941,17,0)</f>
        <v>2613.77</v>
      </c>
      <c r="AQ317" s="7" t="b">
        <f>AP317=AK317</f>
        <v>1</v>
      </c>
      <c r="AR317" s="78"/>
    </row>
    <row r="318" spans="1:44" s="7" customFormat="1" x14ac:dyDescent="0.25">
      <c r="A318" s="7">
        <v>10047969</v>
      </c>
      <c r="B318" s="8" t="s">
        <v>341</v>
      </c>
      <c r="C318" s="8" t="s">
        <v>695</v>
      </c>
      <c r="D318" s="8" t="s">
        <v>717</v>
      </c>
      <c r="E318" s="8" t="s">
        <v>724</v>
      </c>
      <c r="F318" s="8" t="s">
        <v>1406</v>
      </c>
      <c r="G318" s="8" t="s">
        <v>21</v>
      </c>
      <c r="H318" s="9">
        <v>16</v>
      </c>
      <c r="I318" s="8" t="s">
        <v>660</v>
      </c>
      <c r="J318" s="8" t="s">
        <v>1089</v>
      </c>
      <c r="K318" s="8" t="s">
        <v>16</v>
      </c>
      <c r="L318" s="8" t="s">
        <v>17</v>
      </c>
      <c r="M318" s="10" t="s">
        <v>695</v>
      </c>
      <c r="N318" s="10" t="s">
        <v>717</v>
      </c>
      <c r="O318" s="10" t="s">
        <v>660</v>
      </c>
      <c r="P318" s="1"/>
      <c r="Q318" s="11" t="b">
        <f>O318=P318</f>
        <v>0</v>
      </c>
      <c r="R318" s="30">
        <v>30040994</v>
      </c>
      <c r="S318" s="1"/>
      <c r="T318" s="11" t="b">
        <f>R318=S318</f>
        <v>0</v>
      </c>
      <c r="U318" s="10" t="s">
        <v>16</v>
      </c>
      <c r="V318" s="1"/>
      <c r="W318" s="11" t="b">
        <f>U318=V318</f>
        <v>0</v>
      </c>
      <c r="X318" s="13" t="s">
        <v>15</v>
      </c>
      <c r="Y318" s="1"/>
      <c r="Z318" s="1"/>
      <c r="AA318" s="63">
        <v>22002616</v>
      </c>
      <c r="AB318" s="10" t="s">
        <v>1409</v>
      </c>
      <c r="AD318" s="11" t="b">
        <f>AB318=AC318</f>
        <v>0</v>
      </c>
      <c r="AE318" s="10" t="s">
        <v>21</v>
      </c>
      <c r="AF318" s="1"/>
      <c r="AG318" s="11" t="b">
        <f>AE318=AF318</f>
        <v>0</v>
      </c>
      <c r="AH318" s="1">
        <v>16</v>
      </c>
      <c r="AI318" s="1">
        <v>11.71</v>
      </c>
      <c r="AJ318" s="16">
        <f>AI318*220/30*30.4375</f>
        <v>2613.7695833333337</v>
      </c>
      <c r="AK318" s="18">
        <v>2613.77</v>
      </c>
      <c r="AL318" s="71" t="s">
        <v>660</v>
      </c>
      <c r="AM318" s="19" t="b">
        <f>AL318=O318</f>
        <v>1</v>
      </c>
      <c r="AN318" s="7">
        <f>VLOOKUP(A318,'base ZITRHR129'!$G$1:$H$628,2,0)</f>
        <v>30040994</v>
      </c>
      <c r="AO318" s="7" t="b">
        <f>AN318=R318</f>
        <v>1</v>
      </c>
      <c r="AP318" s="7">
        <f>VLOOKUP(A318,'base ZITRHR129'!G314:W940,17,0)</f>
        <v>2613.77</v>
      </c>
      <c r="AQ318" s="7" t="b">
        <f>AP318=AK318</f>
        <v>1</v>
      </c>
      <c r="AR318" s="78"/>
    </row>
    <row r="319" spans="1:44" s="7" customFormat="1" x14ac:dyDescent="0.25">
      <c r="A319" s="7">
        <v>10048025</v>
      </c>
      <c r="B319" s="8" t="s">
        <v>342</v>
      </c>
      <c r="C319" s="8" t="s">
        <v>691</v>
      </c>
      <c r="D319" s="8" t="s">
        <v>717</v>
      </c>
      <c r="E319" s="8" t="s">
        <v>727</v>
      </c>
      <c r="F319" s="8" t="s">
        <v>1406</v>
      </c>
      <c r="G319" s="8" t="s">
        <v>756</v>
      </c>
      <c r="H319" s="9">
        <v>17</v>
      </c>
      <c r="I319" s="8" t="s">
        <v>664</v>
      </c>
      <c r="J319" s="8" t="s">
        <v>1090</v>
      </c>
      <c r="K319" s="8" t="s">
        <v>16</v>
      </c>
      <c r="L319" s="8" t="s">
        <v>17</v>
      </c>
      <c r="M319" s="10" t="s">
        <v>691</v>
      </c>
      <c r="N319" s="10" t="s">
        <v>717</v>
      </c>
      <c r="O319" s="10" t="s">
        <v>664</v>
      </c>
      <c r="P319" s="1"/>
      <c r="Q319" s="11" t="b">
        <f>O319=P319</f>
        <v>0</v>
      </c>
      <c r="R319" s="30">
        <v>30040995</v>
      </c>
      <c r="S319" s="1"/>
      <c r="T319" s="11" t="b">
        <f>R319=S319</f>
        <v>0</v>
      </c>
      <c r="U319" s="10" t="s">
        <v>16</v>
      </c>
      <c r="V319" s="1"/>
      <c r="W319" s="11" t="b">
        <f>U319=V319</f>
        <v>0</v>
      </c>
      <c r="X319" s="13" t="s">
        <v>15</v>
      </c>
      <c r="Y319" s="1"/>
      <c r="Z319" s="1"/>
      <c r="AA319" s="10">
        <v>22003017</v>
      </c>
      <c r="AB319" s="10" t="s">
        <v>1409</v>
      </c>
      <c r="AD319" s="11" t="b">
        <f>AB319=AC319</f>
        <v>0</v>
      </c>
      <c r="AE319" s="10" t="s">
        <v>756</v>
      </c>
      <c r="AF319" s="1"/>
      <c r="AG319" s="11" t="b">
        <f>AE319=AF319</f>
        <v>0</v>
      </c>
      <c r="AH319" s="1">
        <v>17</v>
      </c>
      <c r="AI319" s="1">
        <v>11.34</v>
      </c>
      <c r="AJ319" s="16">
        <f>AI319*220/30*30.4375</f>
        <v>2531.1825000000003</v>
      </c>
      <c r="AK319" s="18">
        <v>2531.1799999999998</v>
      </c>
      <c r="AL319" s="71" t="s">
        <v>664</v>
      </c>
      <c r="AM319" s="19" t="b">
        <f>AL319=O319</f>
        <v>1</v>
      </c>
      <c r="AN319" s="7">
        <f>VLOOKUP(A319,'base ZITRHR129'!$G$1:$H$628,2,0)</f>
        <v>30040995</v>
      </c>
      <c r="AO319" s="7" t="b">
        <f>AN319=R319</f>
        <v>1</v>
      </c>
      <c r="AP319" s="7">
        <f>VLOOKUP(A319,'base ZITRHR129'!G313:W939,17,0)</f>
        <v>2531.1799999999998</v>
      </c>
      <c r="AQ319" s="7" t="b">
        <f>AP319=AK319</f>
        <v>1</v>
      </c>
      <c r="AR319" s="78"/>
    </row>
    <row r="320" spans="1:44" s="7" customFormat="1" x14ac:dyDescent="0.25">
      <c r="A320" s="7">
        <v>10048028</v>
      </c>
      <c r="B320" s="8" t="s">
        <v>343</v>
      </c>
      <c r="C320" s="8" t="s">
        <v>687</v>
      </c>
      <c r="D320" s="8" t="s">
        <v>717</v>
      </c>
      <c r="E320" s="8" t="s">
        <v>724</v>
      </c>
      <c r="F320" s="8" t="s">
        <v>1406</v>
      </c>
      <c r="G320" s="8" t="s">
        <v>21</v>
      </c>
      <c r="H320" s="9">
        <v>16</v>
      </c>
      <c r="I320" s="8" t="s">
        <v>660</v>
      </c>
      <c r="J320" s="8" t="s">
        <v>1091</v>
      </c>
      <c r="K320" s="8" t="s">
        <v>16</v>
      </c>
      <c r="L320" s="8" t="s">
        <v>17</v>
      </c>
      <c r="M320" s="10" t="s">
        <v>687</v>
      </c>
      <c r="N320" s="10" t="s">
        <v>717</v>
      </c>
      <c r="O320" s="10" t="s">
        <v>660</v>
      </c>
      <c r="P320" s="1"/>
      <c r="Q320" s="11" t="b">
        <f>O320=P320</f>
        <v>0</v>
      </c>
      <c r="R320" s="30">
        <v>30040996</v>
      </c>
      <c r="S320" s="1"/>
      <c r="T320" s="11" t="b">
        <f>R320=S320</f>
        <v>0</v>
      </c>
      <c r="U320" s="10" t="s">
        <v>16</v>
      </c>
      <c r="V320" s="1"/>
      <c r="W320" s="11" t="b">
        <f>U320=V320</f>
        <v>0</v>
      </c>
      <c r="X320" s="13" t="s">
        <v>15</v>
      </c>
      <c r="Y320" s="1"/>
      <c r="Z320" s="1"/>
      <c r="AA320" s="10">
        <v>22002616</v>
      </c>
      <c r="AB320" s="10" t="s">
        <v>1409</v>
      </c>
      <c r="AD320" s="11" t="b">
        <f>AB320=AC320</f>
        <v>0</v>
      </c>
      <c r="AE320" s="10" t="s">
        <v>21</v>
      </c>
      <c r="AF320" s="1"/>
      <c r="AG320" s="11" t="b">
        <f>AE320=AF320</f>
        <v>0</v>
      </c>
      <c r="AH320" s="1">
        <v>16</v>
      </c>
      <c r="AI320" s="1">
        <v>11.71</v>
      </c>
      <c r="AJ320" s="16">
        <f>AI320*220/30*30.4375</f>
        <v>2613.7695833333337</v>
      </c>
      <c r="AK320" s="18">
        <v>2613.77</v>
      </c>
      <c r="AL320" s="71" t="s">
        <v>660</v>
      </c>
      <c r="AM320" s="19" t="b">
        <f>AL320=O320</f>
        <v>1</v>
      </c>
      <c r="AN320" s="7">
        <f>VLOOKUP(A320,'base ZITRHR129'!$G$1:$H$628,2,0)</f>
        <v>30040996</v>
      </c>
      <c r="AO320" s="7" t="b">
        <f>AN320=R320</f>
        <v>1</v>
      </c>
      <c r="AP320" s="7">
        <f>VLOOKUP(A320,'base ZITRHR129'!G312:W938,17,0)</f>
        <v>2613.77</v>
      </c>
      <c r="AQ320" s="7" t="b">
        <f>AP320=AK320</f>
        <v>1</v>
      </c>
      <c r="AR320" s="78"/>
    </row>
    <row r="321" spans="1:44" s="7" customFormat="1" ht="12" x14ac:dyDescent="0.2">
      <c r="A321" s="20">
        <v>10048052</v>
      </c>
      <c r="B321" s="21" t="s">
        <v>344</v>
      </c>
      <c r="C321" s="21" t="s">
        <v>700</v>
      </c>
      <c r="D321" s="21" t="s">
        <v>717</v>
      </c>
      <c r="E321" s="21" t="s">
        <v>738</v>
      </c>
      <c r="F321" s="21" t="s">
        <v>1407</v>
      </c>
      <c r="G321" s="21" t="s">
        <v>765</v>
      </c>
      <c r="H321" s="22">
        <v>14</v>
      </c>
      <c r="I321" s="21" t="s">
        <v>666</v>
      </c>
      <c r="J321" s="21" t="s">
        <v>1092</v>
      </c>
      <c r="K321" s="21" t="s">
        <v>16</v>
      </c>
      <c r="L321" s="21" t="s">
        <v>17</v>
      </c>
      <c r="M321" s="21" t="s">
        <v>700</v>
      </c>
      <c r="N321" s="21" t="s">
        <v>717</v>
      </c>
      <c r="O321" s="21" t="s">
        <v>666</v>
      </c>
      <c r="P321" s="23"/>
      <c r="Q321" s="24" t="b">
        <f>O321=P321</f>
        <v>0</v>
      </c>
      <c r="R321" s="31">
        <v>30040997</v>
      </c>
      <c r="S321" s="23"/>
      <c r="T321" s="24" t="b">
        <f>R321=S321</f>
        <v>0</v>
      </c>
      <c r="U321" s="21" t="s">
        <v>16</v>
      </c>
      <c r="V321" s="23"/>
      <c r="W321" s="24" t="b">
        <f>U321=V321</f>
        <v>0</v>
      </c>
      <c r="X321" s="25" t="s">
        <v>15</v>
      </c>
      <c r="Y321" s="23"/>
      <c r="Z321" s="23"/>
      <c r="AA321" s="64">
        <v>22003024</v>
      </c>
      <c r="AB321" s="21" t="s">
        <v>1410</v>
      </c>
      <c r="AC321" s="20"/>
      <c r="AD321" s="24" t="b">
        <f>AB321=AC321</f>
        <v>0</v>
      </c>
      <c r="AE321" s="21" t="s">
        <v>765</v>
      </c>
      <c r="AF321" s="23"/>
      <c r="AG321" s="24" t="b">
        <f>AE321=AF321</f>
        <v>0</v>
      </c>
      <c r="AH321" s="23">
        <v>14</v>
      </c>
      <c r="AI321" s="23">
        <v>9.9</v>
      </c>
      <c r="AJ321" s="26">
        <f>AI321*180/30*30.4375</f>
        <v>1807.9875</v>
      </c>
      <c r="AK321" s="27">
        <v>1807.99</v>
      </c>
      <c r="AL321" s="73" t="s">
        <v>666</v>
      </c>
      <c r="AM321" s="28" t="b">
        <f>AL321=O321</f>
        <v>1</v>
      </c>
      <c r="AN321" s="20">
        <f>VLOOKUP(A321,'base ZITRHR129'!$G$1:$H$628,2,0)</f>
        <v>30040997</v>
      </c>
      <c r="AO321" s="20" t="b">
        <f>AN321=R321</f>
        <v>1</v>
      </c>
      <c r="AP321" s="20">
        <f>VLOOKUP(A321,'base ZITRHR129'!G311:W937,17,0)</f>
        <v>9.9</v>
      </c>
      <c r="AQ321" s="20" t="b">
        <f>AP321=AK321</f>
        <v>0</v>
      </c>
      <c r="AR321" s="69" t="s">
        <v>1516</v>
      </c>
    </row>
    <row r="322" spans="1:44" s="7" customFormat="1" x14ac:dyDescent="0.25">
      <c r="A322" s="7">
        <v>10048063</v>
      </c>
      <c r="B322" s="8" t="s">
        <v>345</v>
      </c>
      <c r="C322" s="8" t="s">
        <v>683</v>
      </c>
      <c r="D322" s="8" t="s">
        <v>717</v>
      </c>
      <c r="E322" s="8" t="s">
        <v>722</v>
      </c>
      <c r="F322" s="8" t="s">
        <v>1406</v>
      </c>
      <c r="G322" s="8" t="s">
        <v>753</v>
      </c>
      <c r="H322" s="9">
        <v>19</v>
      </c>
      <c r="I322" s="8" t="s">
        <v>656</v>
      </c>
      <c r="J322" s="8" t="s">
        <v>1093</v>
      </c>
      <c r="K322" s="8" t="s">
        <v>6</v>
      </c>
      <c r="L322" s="8" t="s">
        <v>17</v>
      </c>
      <c r="M322" s="10" t="s">
        <v>683</v>
      </c>
      <c r="N322" s="10" t="s">
        <v>717</v>
      </c>
      <c r="O322" s="10" t="s">
        <v>656</v>
      </c>
      <c r="P322" s="1"/>
      <c r="Q322" s="11" t="b">
        <f>O322=P322</f>
        <v>0</v>
      </c>
      <c r="R322" s="30">
        <v>30040998</v>
      </c>
      <c r="S322" s="1"/>
      <c r="T322" s="11" t="b">
        <f>R322=S322</f>
        <v>0</v>
      </c>
      <c r="U322" s="10" t="s">
        <v>6</v>
      </c>
      <c r="V322" s="1"/>
      <c r="W322" s="11" t="b">
        <f>U322=V322</f>
        <v>0</v>
      </c>
      <c r="X322" s="13" t="s">
        <v>15</v>
      </c>
      <c r="Y322" s="1"/>
      <c r="Z322" s="1"/>
      <c r="AA322" s="10">
        <v>22002695</v>
      </c>
      <c r="AB322" s="10" t="s">
        <v>1409</v>
      </c>
      <c r="AD322" s="11" t="b">
        <f>AB322=AC322</f>
        <v>0</v>
      </c>
      <c r="AE322" s="10" t="s">
        <v>753</v>
      </c>
      <c r="AF322" s="1"/>
      <c r="AG322" s="11" t="b">
        <f>AE322=AF322</f>
        <v>0</v>
      </c>
      <c r="AH322" s="1">
        <v>19</v>
      </c>
      <c r="AI322" s="1">
        <v>16.53</v>
      </c>
      <c r="AJ322" s="16">
        <f>AI322*220/30*30.4375</f>
        <v>3689.6337500000004</v>
      </c>
      <c r="AK322" s="18">
        <v>3689.63</v>
      </c>
      <c r="AL322" s="71" t="s">
        <v>656</v>
      </c>
      <c r="AM322" s="19" t="b">
        <f>AL322=O322</f>
        <v>1</v>
      </c>
      <c r="AN322" s="7">
        <f>VLOOKUP(A322,'base ZITRHR129'!$G$1:$H$628,2,0)</f>
        <v>30040998</v>
      </c>
      <c r="AO322" s="7" t="b">
        <f>AN322=R322</f>
        <v>1</v>
      </c>
      <c r="AP322" s="7">
        <f>VLOOKUP(A322,'base ZITRHR129'!G310:W936,17,0)</f>
        <v>3689.63</v>
      </c>
      <c r="AQ322" s="7" t="b">
        <f>AP322=AK322</f>
        <v>1</v>
      </c>
      <c r="AR322" s="78"/>
    </row>
    <row r="323" spans="1:44" s="7" customFormat="1" x14ac:dyDescent="0.25">
      <c r="A323" s="7">
        <v>10048073</v>
      </c>
      <c r="B323" s="8" t="s">
        <v>346</v>
      </c>
      <c r="C323" s="8" t="s">
        <v>691</v>
      </c>
      <c r="D323" s="8" t="s">
        <v>717</v>
      </c>
      <c r="E323" s="8" t="s">
        <v>727</v>
      </c>
      <c r="F323" s="8" t="s">
        <v>1406</v>
      </c>
      <c r="G323" s="8" t="s">
        <v>756</v>
      </c>
      <c r="H323" s="9">
        <v>17</v>
      </c>
      <c r="I323" s="8" t="s">
        <v>664</v>
      </c>
      <c r="J323" s="8" t="s">
        <v>1094</v>
      </c>
      <c r="K323" s="8" t="s">
        <v>16</v>
      </c>
      <c r="L323" s="8" t="s">
        <v>17</v>
      </c>
      <c r="M323" s="10" t="s">
        <v>691</v>
      </c>
      <c r="N323" s="10" t="s">
        <v>717</v>
      </c>
      <c r="O323" s="10" t="s">
        <v>664</v>
      </c>
      <c r="P323" s="1"/>
      <c r="Q323" s="11" t="b">
        <f>O323=P323</f>
        <v>0</v>
      </c>
      <c r="R323" s="30">
        <v>30040999</v>
      </c>
      <c r="S323" s="1"/>
      <c r="T323" s="11" t="b">
        <f>R323=S323</f>
        <v>0</v>
      </c>
      <c r="U323" s="10" t="s">
        <v>16</v>
      </c>
      <c r="V323" s="1"/>
      <c r="W323" s="11" t="b">
        <f>U323=V323</f>
        <v>0</v>
      </c>
      <c r="X323" s="13" t="s">
        <v>15</v>
      </c>
      <c r="Y323" s="1"/>
      <c r="Z323" s="1"/>
      <c r="AA323" s="10">
        <v>22003017</v>
      </c>
      <c r="AB323" s="10" t="s">
        <v>1409</v>
      </c>
      <c r="AD323" s="11" t="b">
        <f>AB323=AC323</f>
        <v>0</v>
      </c>
      <c r="AE323" s="10" t="s">
        <v>756</v>
      </c>
      <c r="AF323" s="1"/>
      <c r="AG323" s="11" t="b">
        <f>AE323=AF323</f>
        <v>0</v>
      </c>
      <c r="AH323" s="1">
        <v>17</v>
      </c>
      <c r="AI323" s="1">
        <v>11.34</v>
      </c>
      <c r="AJ323" s="16">
        <f>AI323*220/30*30.4375</f>
        <v>2531.1825000000003</v>
      </c>
      <c r="AK323" s="18">
        <v>2531.1799999999998</v>
      </c>
      <c r="AL323" s="71" t="s">
        <v>664</v>
      </c>
      <c r="AM323" s="19" t="b">
        <f>AL323=O323</f>
        <v>1</v>
      </c>
      <c r="AN323" s="7">
        <f>VLOOKUP(A323,'base ZITRHR129'!$G$1:$H$628,2,0)</f>
        <v>30040999</v>
      </c>
      <c r="AO323" s="7" t="b">
        <f>AN323=R323</f>
        <v>1</v>
      </c>
      <c r="AP323" s="7">
        <f>VLOOKUP(A323,'base ZITRHR129'!G309:W935,17,0)</f>
        <v>2531.1799999999998</v>
      </c>
      <c r="AQ323" s="7" t="b">
        <f>AP323=AK323</f>
        <v>1</v>
      </c>
      <c r="AR323" s="78"/>
    </row>
    <row r="324" spans="1:44" s="7" customFormat="1" x14ac:dyDescent="0.25">
      <c r="A324" s="7">
        <v>10048074</v>
      </c>
      <c r="B324" s="8" t="s">
        <v>347</v>
      </c>
      <c r="C324" s="8" t="s">
        <v>686</v>
      </c>
      <c r="D324" s="8" t="s">
        <v>717</v>
      </c>
      <c r="E324" s="8" t="s">
        <v>723</v>
      </c>
      <c r="F324" s="8" t="s">
        <v>1406</v>
      </c>
      <c r="G324" s="8" t="s">
        <v>19</v>
      </c>
      <c r="H324" s="9">
        <v>16</v>
      </c>
      <c r="I324" s="8" t="s">
        <v>659</v>
      </c>
      <c r="J324" s="8" t="s">
        <v>1095</v>
      </c>
      <c r="K324" s="8" t="s">
        <v>6</v>
      </c>
      <c r="L324" s="8" t="s">
        <v>17</v>
      </c>
      <c r="M324" s="10" t="s">
        <v>686</v>
      </c>
      <c r="N324" s="10" t="s">
        <v>717</v>
      </c>
      <c r="O324" s="10" t="s">
        <v>659</v>
      </c>
      <c r="P324" s="1"/>
      <c r="Q324" s="11" t="b">
        <f>O324=P324</f>
        <v>0</v>
      </c>
      <c r="R324" s="30">
        <v>30041000</v>
      </c>
      <c r="S324" s="1"/>
      <c r="T324" s="11" t="b">
        <f>R324=S324</f>
        <v>0</v>
      </c>
      <c r="U324" s="10" t="s">
        <v>6</v>
      </c>
      <c r="V324" s="1"/>
      <c r="W324" s="11" t="b">
        <f>U324=V324</f>
        <v>0</v>
      </c>
      <c r="X324" s="13" t="s">
        <v>15</v>
      </c>
      <c r="Y324" s="1"/>
      <c r="Z324" s="1"/>
      <c r="AA324" s="10">
        <v>22002460</v>
      </c>
      <c r="AB324" s="10" t="s">
        <v>1409</v>
      </c>
      <c r="AD324" s="11" t="b">
        <f>AB324=AC324</f>
        <v>0</v>
      </c>
      <c r="AE324" s="10" t="s">
        <v>19</v>
      </c>
      <c r="AF324" s="1"/>
      <c r="AG324" s="11" t="b">
        <f>AE324=AF324</f>
        <v>0</v>
      </c>
      <c r="AH324" s="1">
        <v>16</v>
      </c>
      <c r="AI324" s="1">
        <v>10.26</v>
      </c>
      <c r="AJ324" s="16">
        <f>AI324*220/30*30.4375</f>
        <v>2290.1174999999998</v>
      </c>
      <c r="AK324" s="18">
        <v>2290.12</v>
      </c>
      <c r="AL324" s="71" t="s">
        <v>659</v>
      </c>
      <c r="AM324" s="19" t="b">
        <f>AL324=O324</f>
        <v>1</v>
      </c>
      <c r="AN324" s="7">
        <f>VLOOKUP(A324,'base ZITRHR129'!$G$1:$H$628,2,0)</f>
        <v>30041000</v>
      </c>
      <c r="AO324" s="7" t="b">
        <f>AN324=R324</f>
        <v>1</v>
      </c>
      <c r="AP324" s="7">
        <f>VLOOKUP(A324,'base ZITRHR129'!G308:W934,17,0)</f>
        <v>2290.12</v>
      </c>
      <c r="AQ324" s="7" t="b">
        <f>AP324=AK324</f>
        <v>1</v>
      </c>
      <c r="AR324" s="78"/>
    </row>
    <row r="325" spans="1:44" s="7" customFormat="1" x14ac:dyDescent="0.25">
      <c r="A325" s="7">
        <v>10048077</v>
      </c>
      <c r="B325" s="8" t="s">
        <v>348</v>
      </c>
      <c r="C325" s="8" t="s">
        <v>704</v>
      </c>
      <c r="D325" s="8" t="s">
        <v>717</v>
      </c>
      <c r="E325" s="8" t="s">
        <v>737</v>
      </c>
      <c r="F325" s="8" t="s">
        <v>1406</v>
      </c>
      <c r="G325" s="8" t="s">
        <v>765</v>
      </c>
      <c r="H325" s="9">
        <v>14</v>
      </c>
      <c r="I325" s="8" t="s">
        <v>669</v>
      </c>
      <c r="J325" s="8" t="s">
        <v>1096</v>
      </c>
      <c r="K325" s="8" t="s">
        <v>16</v>
      </c>
      <c r="L325" s="8" t="s">
        <v>17</v>
      </c>
      <c r="M325" s="10" t="s">
        <v>704</v>
      </c>
      <c r="N325" s="10" t="s">
        <v>717</v>
      </c>
      <c r="O325" s="10" t="s">
        <v>669</v>
      </c>
      <c r="P325" s="1"/>
      <c r="Q325" s="11" t="b">
        <f>O325=P325</f>
        <v>0</v>
      </c>
      <c r="R325" s="30">
        <v>30041001</v>
      </c>
      <c r="S325" s="1"/>
      <c r="T325" s="11" t="b">
        <f>R325=S325</f>
        <v>0</v>
      </c>
      <c r="U325" s="10" t="s">
        <v>16</v>
      </c>
      <c r="V325" s="1"/>
      <c r="W325" s="11" t="b">
        <f>U325=V325</f>
        <v>0</v>
      </c>
      <c r="X325" s="13" t="s">
        <v>15</v>
      </c>
      <c r="Y325" s="1"/>
      <c r="Z325" s="1"/>
      <c r="AA325" s="63">
        <v>22002830</v>
      </c>
      <c r="AB325" s="10" t="s">
        <v>1409</v>
      </c>
      <c r="AD325" s="11" t="b">
        <f>AB325=AC325</f>
        <v>0</v>
      </c>
      <c r="AE325" s="10" t="s">
        <v>765</v>
      </c>
      <c r="AF325" s="1"/>
      <c r="AG325" s="11" t="b">
        <f>AE325=AF325</f>
        <v>0</v>
      </c>
      <c r="AH325" s="1">
        <v>14</v>
      </c>
      <c r="AI325" s="1">
        <v>8.59</v>
      </c>
      <c r="AJ325" s="16">
        <f>AI325*220/30*30.4375</f>
        <v>1917.3595833333334</v>
      </c>
      <c r="AK325" s="18">
        <v>1917.36</v>
      </c>
      <c r="AL325" s="71" t="s">
        <v>669</v>
      </c>
      <c r="AM325" s="19" t="b">
        <f>AL325=O325</f>
        <v>1</v>
      </c>
      <c r="AN325" s="7">
        <f>VLOOKUP(A325,'base ZITRHR129'!$G$1:$H$628,2,0)</f>
        <v>30041001</v>
      </c>
      <c r="AO325" s="7" t="b">
        <f>AN325=R325</f>
        <v>1</v>
      </c>
      <c r="AP325" s="7">
        <f>VLOOKUP(A325,'base ZITRHR129'!G307:W933,17,0)</f>
        <v>1917.36</v>
      </c>
      <c r="AQ325" s="7" t="b">
        <f>AP325=AK325</f>
        <v>1</v>
      </c>
      <c r="AR325" s="78"/>
    </row>
    <row r="326" spans="1:44" s="7" customFormat="1" x14ac:dyDescent="0.25">
      <c r="A326" s="7">
        <v>10048290</v>
      </c>
      <c r="B326" s="8" t="s">
        <v>349</v>
      </c>
      <c r="C326" s="8" t="s">
        <v>700</v>
      </c>
      <c r="D326" s="8" t="s">
        <v>717</v>
      </c>
      <c r="E326" s="8" t="s">
        <v>732</v>
      </c>
      <c r="F326" s="8" t="s">
        <v>1407</v>
      </c>
      <c r="G326" s="8" t="s">
        <v>761</v>
      </c>
      <c r="H326" s="9">
        <v>15</v>
      </c>
      <c r="I326" s="8" t="s">
        <v>666</v>
      </c>
      <c r="J326" s="8" t="s">
        <v>1097</v>
      </c>
      <c r="K326" s="8" t="s">
        <v>16</v>
      </c>
      <c r="L326" s="8" t="s">
        <v>17</v>
      </c>
      <c r="M326" s="10" t="s">
        <v>700</v>
      </c>
      <c r="N326" s="10" t="s">
        <v>717</v>
      </c>
      <c r="O326" s="10" t="s">
        <v>666</v>
      </c>
      <c r="P326" s="1"/>
      <c r="Q326" s="11" t="b">
        <f>O326=P326</f>
        <v>0</v>
      </c>
      <c r="R326" s="30">
        <v>30041335</v>
      </c>
      <c r="S326" s="1"/>
      <c r="T326" s="11" t="b">
        <f>R326=S326</f>
        <v>0</v>
      </c>
      <c r="U326" s="10" t="s">
        <v>16</v>
      </c>
      <c r="V326" s="1"/>
      <c r="W326" s="11" t="b">
        <f>U326=V326</f>
        <v>0</v>
      </c>
      <c r="X326" s="13" t="s">
        <v>15</v>
      </c>
      <c r="Y326" s="1"/>
      <c r="Z326" s="1"/>
      <c r="AA326" s="61">
        <v>22003423</v>
      </c>
      <c r="AB326" s="10" t="s">
        <v>1410</v>
      </c>
      <c r="AD326" s="11" t="b">
        <f>AB326=AC326</f>
        <v>0</v>
      </c>
      <c r="AE326" s="10" t="s">
        <v>761</v>
      </c>
      <c r="AF326" s="1"/>
      <c r="AG326" s="11" t="b">
        <f>AE326=AF326</f>
        <v>0</v>
      </c>
      <c r="AH326" s="1">
        <v>15</v>
      </c>
      <c r="AI326" s="1">
        <v>11.71</v>
      </c>
      <c r="AJ326" s="16">
        <f>AI326*180/30*30.4375</f>
        <v>2138.5387500000002</v>
      </c>
      <c r="AK326" s="18">
        <v>2138.54</v>
      </c>
      <c r="AL326" s="71" t="s">
        <v>666</v>
      </c>
      <c r="AM326" s="19" t="b">
        <f>AL326=O326</f>
        <v>1</v>
      </c>
      <c r="AN326" s="7">
        <f>VLOOKUP(A326,'base ZITRHR129'!$G$1:$H$628,2,0)</f>
        <v>30041335</v>
      </c>
      <c r="AO326" s="7" t="b">
        <f>AN326=R326</f>
        <v>1</v>
      </c>
      <c r="AP326" s="7">
        <f>VLOOKUP(A326,'base ZITRHR129'!G306:W932,17,0)</f>
        <v>2138.54</v>
      </c>
      <c r="AQ326" s="7" t="b">
        <f>AP326=AK326</f>
        <v>1</v>
      </c>
      <c r="AR326" s="78"/>
    </row>
    <row r="327" spans="1:44" s="7" customFormat="1" x14ac:dyDescent="0.25">
      <c r="A327" s="7">
        <v>10048438</v>
      </c>
      <c r="B327" s="8" t="s">
        <v>350</v>
      </c>
      <c r="C327" s="8" t="s">
        <v>698</v>
      </c>
      <c r="D327" s="8" t="s">
        <v>717</v>
      </c>
      <c r="E327" s="8" t="s">
        <v>727</v>
      </c>
      <c r="F327" s="8" t="s">
        <v>1406</v>
      </c>
      <c r="G327" s="8" t="s">
        <v>756</v>
      </c>
      <c r="H327" s="9">
        <v>17</v>
      </c>
      <c r="I327" s="8" t="s">
        <v>664</v>
      </c>
      <c r="J327" s="8" t="s">
        <v>1098</v>
      </c>
      <c r="K327" s="8" t="s">
        <v>16</v>
      </c>
      <c r="L327" s="8" t="s">
        <v>17</v>
      </c>
      <c r="M327" s="10" t="s">
        <v>698</v>
      </c>
      <c r="N327" s="10" t="s">
        <v>717</v>
      </c>
      <c r="O327" s="10" t="s">
        <v>664</v>
      </c>
      <c r="P327" s="1"/>
      <c r="Q327" s="11" t="b">
        <f>O327=P327</f>
        <v>0</v>
      </c>
      <c r="R327" s="30">
        <v>30041003</v>
      </c>
      <c r="S327" s="1"/>
      <c r="T327" s="11" t="b">
        <f>R327=S327</f>
        <v>0</v>
      </c>
      <c r="U327" s="10" t="s">
        <v>16</v>
      </c>
      <c r="V327" s="1"/>
      <c r="W327" s="11" t="b">
        <f>U327=V327</f>
        <v>0</v>
      </c>
      <c r="X327" s="13" t="s">
        <v>15</v>
      </c>
      <c r="Y327" s="1"/>
      <c r="Z327" s="1"/>
      <c r="AA327" s="10">
        <v>22003017</v>
      </c>
      <c r="AB327" s="10" t="s">
        <v>1409</v>
      </c>
      <c r="AD327" s="11" t="b">
        <f>AB327=AC327</f>
        <v>0</v>
      </c>
      <c r="AE327" s="10" t="s">
        <v>756</v>
      </c>
      <c r="AF327" s="1"/>
      <c r="AG327" s="11" t="b">
        <f>AE327=AF327</f>
        <v>0</v>
      </c>
      <c r="AH327" s="1">
        <v>17</v>
      </c>
      <c r="AI327" s="1">
        <v>11.34</v>
      </c>
      <c r="AJ327" s="16">
        <f>AI327*220/30*30.4375</f>
        <v>2531.1825000000003</v>
      </c>
      <c r="AK327" s="18">
        <v>2531.1799999999998</v>
      </c>
      <c r="AL327" s="71" t="s">
        <v>664</v>
      </c>
      <c r="AM327" s="19" t="b">
        <f>AL327=O327</f>
        <v>1</v>
      </c>
      <c r="AN327" s="7">
        <f>VLOOKUP(A327,'base ZITRHR129'!$G$1:$H$628,2,0)</f>
        <v>30041003</v>
      </c>
      <c r="AO327" s="7" t="b">
        <f>AN327=R327</f>
        <v>1</v>
      </c>
      <c r="AP327" s="7">
        <f>VLOOKUP(A327,'base ZITRHR129'!G305:W931,17,0)</f>
        <v>2531.1799999999998</v>
      </c>
      <c r="AQ327" s="7" t="b">
        <f>AP327=AK327</f>
        <v>1</v>
      </c>
      <c r="AR327" s="78"/>
    </row>
    <row r="328" spans="1:44" s="7" customFormat="1" x14ac:dyDescent="0.25">
      <c r="A328" s="7">
        <v>10048724</v>
      </c>
      <c r="B328" s="8" t="s">
        <v>351</v>
      </c>
      <c r="C328" s="8" t="s">
        <v>687</v>
      </c>
      <c r="D328" s="8" t="s">
        <v>717</v>
      </c>
      <c r="E328" s="8" t="s">
        <v>724</v>
      </c>
      <c r="F328" s="8" t="s">
        <v>1406</v>
      </c>
      <c r="G328" s="8" t="s">
        <v>21</v>
      </c>
      <c r="H328" s="9">
        <v>16</v>
      </c>
      <c r="I328" s="8" t="s">
        <v>660</v>
      </c>
      <c r="J328" s="8" t="s">
        <v>1099</v>
      </c>
      <c r="K328" s="8" t="s">
        <v>16</v>
      </c>
      <c r="L328" s="8" t="s">
        <v>17</v>
      </c>
      <c r="M328" s="10" t="s">
        <v>687</v>
      </c>
      <c r="N328" s="10" t="s">
        <v>717</v>
      </c>
      <c r="O328" s="10" t="s">
        <v>660</v>
      </c>
      <c r="P328" s="1"/>
      <c r="Q328" s="11" t="b">
        <f>O328=P328</f>
        <v>0</v>
      </c>
      <c r="R328" s="30">
        <v>30041004</v>
      </c>
      <c r="S328" s="1"/>
      <c r="T328" s="11" t="b">
        <f>R328=S328</f>
        <v>0</v>
      </c>
      <c r="U328" s="10" t="s">
        <v>16</v>
      </c>
      <c r="V328" s="1"/>
      <c r="W328" s="11" t="b">
        <f>U328=V328</f>
        <v>0</v>
      </c>
      <c r="X328" s="13" t="s">
        <v>15</v>
      </c>
      <c r="Y328" s="1"/>
      <c r="Z328" s="1"/>
      <c r="AA328" s="10">
        <v>22002616</v>
      </c>
      <c r="AB328" s="10" t="s">
        <v>1409</v>
      </c>
      <c r="AD328" s="11" t="b">
        <f>AB328=AC328</f>
        <v>0</v>
      </c>
      <c r="AE328" s="10" t="s">
        <v>21</v>
      </c>
      <c r="AF328" s="1"/>
      <c r="AG328" s="11" t="b">
        <f>AE328=AF328</f>
        <v>0</v>
      </c>
      <c r="AH328" s="1">
        <v>16</v>
      </c>
      <c r="AI328" s="1">
        <v>11.71</v>
      </c>
      <c r="AJ328" s="16">
        <f>AI328*220/30*30.4375</f>
        <v>2613.7695833333337</v>
      </c>
      <c r="AK328" s="18">
        <v>2613.77</v>
      </c>
      <c r="AL328" s="71" t="s">
        <v>660</v>
      </c>
      <c r="AM328" s="19" t="b">
        <f>AL328=O328</f>
        <v>1</v>
      </c>
      <c r="AN328" s="7">
        <f>VLOOKUP(A328,'base ZITRHR129'!$G$1:$H$628,2,0)</f>
        <v>30041004</v>
      </c>
      <c r="AO328" s="7" t="b">
        <f>AN328=R328</f>
        <v>1</v>
      </c>
      <c r="AP328" s="7">
        <f>VLOOKUP(A328,'base ZITRHR129'!G304:W930,17,0)</f>
        <v>2613.77</v>
      </c>
      <c r="AQ328" s="7" t="b">
        <f>AP328=AK328</f>
        <v>1</v>
      </c>
      <c r="AR328" s="78"/>
    </row>
    <row r="329" spans="1:44" s="7" customFormat="1" x14ac:dyDescent="0.25">
      <c r="A329" s="7">
        <v>10048726</v>
      </c>
      <c r="B329" s="8" t="s">
        <v>352</v>
      </c>
      <c r="C329" s="8" t="s">
        <v>687</v>
      </c>
      <c r="D329" s="8" t="s">
        <v>717</v>
      </c>
      <c r="E329" s="8" t="s">
        <v>724</v>
      </c>
      <c r="F329" s="8" t="s">
        <v>1406</v>
      </c>
      <c r="G329" s="8" t="s">
        <v>21</v>
      </c>
      <c r="H329" s="9">
        <v>16</v>
      </c>
      <c r="I329" s="8" t="s">
        <v>660</v>
      </c>
      <c r="J329" s="8" t="s">
        <v>1100</v>
      </c>
      <c r="K329" s="8" t="s">
        <v>16</v>
      </c>
      <c r="L329" s="8" t="s">
        <v>17</v>
      </c>
      <c r="M329" s="10" t="s">
        <v>687</v>
      </c>
      <c r="N329" s="10" t="s">
        <v>717</v>
      </c>
      <c r="O329" s="10" t="s">
        <v>660</v>
      </c>
      <c r="P329" s="1"/>
      <c r="Q329" s="11" t="b">
        <f>O329=P329</f>
        <v>0</v>
      </c>
      <c r="R329" s="30">
        <v>30041005</v>
      </c>
      <c r="S329" s="1"/>
      <c r="T329" s="11" t="b">
        <f>R329=S329</f>
        <v>0</v>
      </c>
      <c r="U329" s="10" t="s">
        <v>16</v>
      </c>
      <c r="V329" s="1"/>
      <c r="W329" s="11" t="b">
        <f>U329=V329</f>
        <v>0</v>
      </c>
      <c r="X329" s="13" t="s">
        <v>15</v>
      </c>
      <c r="Y329" s="1"/>
      <c r="Z329" s="1"/>
      <c r="AA329" s="10">
        <v>22002616</v>
      </c>
      <c r="AB329" s="10" t="s">
        <v>1409</v>
      </c>
      <c r="AD329" s="11" t="b">
        <f>AB329=AC329</f>
        <v>0</v>
      </c>
      <c r="AE329" s="10" t="s">
        <v>21</v>
      </c>
      <c r="AF329" s="1"/>
      <c r="AG329" s="11" t="b">
        <f>AE329=AF329</f>
        <v>0</v>
      </c>
      <c r="AH329" s="1">
        <v>16</v>
      </c>
      <c r="AI329" s="1">
        <v>11.71</v>
      </c>
      <c r="AJ329" s="16">
        <f>AI329*220/30*30.4375</f>
        <v>2613.7695833333337</v>
      </c>
      <c r="AK329" s="18">
        <v>2613.77</v>
      </c>
      <c r="AL329" s="71" t="s">
        <v>660</v>
      </c>
      <c r="AM329" s="19" t="b">
        <f>AL329=O329</f>
        <v>1</v>
      </c>
      <c r="AN329" s="7">
        <f>VLOOKUP(A329,'base ZITRHR129'!$G$1:$H$628,2,0)</f>
        <v>30041005</v>
      </c>
      <c r="AO329" s="7" t="b">
        <f>AN329=R329</f>
        <v>1</v>
      </c>
      <c r="AP329" s="7">
        <f>VLOOKUP(A329,'base ZITRHR129'!G303:W929,17,0)</f>
        <v>2613.77</v>
      </c>
      <c r="AQ329" s="7" t="b">
        <f>AP329=AK329</f>
        <v>1</v>
      </c>
      <c r="AR329" s="78"/>
    </row>
    <row r="330" spans="1:44" s="7" customFormat="1" x14ac:dyDescent="0.25">
      <c r="A330" s="7">
        <v>10048882</v>
      </c>
      <c r="B330" s="8" t="s">
        <v>353</v>
      </c>
      <c r="C330" s="8" t="s">
        <v>690</v>
      </c>
      <c r="D330" s="8" t="s">
        <v>717</v>
      </c>
      <c r="E330" s="8" t="s">
        <v>726</v>
      </c>
      <c r="F330" s="8" t="s">
        <v>1406</v>
      </c>
      <c r="G330" s="8" t="s">
        <v>755</v>
      </c>
      <c r="H330" s="9">
        <v>15</v>
      </c>
      <c r="I330" s="8" t="s">
        <v>663</v>
      </c>
      <c r="J330" s="8" t="s">
        <v>1101</v>
      </c>
      <c r="K330" s="8" t="s">
        <v>16</v>
      </c>
      <c r="L330" s="8" t="s">
        <v>17</v>
      </c>
      <c r="M330" s="10" t="s">
        <v>690</v>
      </c>
      <c r="N330" s="10" t="s">
        <v>717</v>
      </c>
      <c r="O330" s="10" t="s">
        <v>663</v>
      </c>
      <c r="P330" s="1"/>
      <c r="Q330" s="11" t="b">
        <f>O330=P330</f>
        <v>0</v>
      </c>
      <c r="R330" s="30">
        <v>30041006</v>
      </c>
      <c r="S330" s="1"/>
      <c r="T330" s="11" t="b">
        <f>R330=S330</f>
        <v>0</v>
      </c>
      <c r="U330" s="10" t="s">
        <v>16</v>
      </c>
      <c r="V330" s="1"/>
      <c r="W330" s="11" t="b">
        <f>U330=V330</f>
        <v>0</v>
      </c>
      <c r="X330" s="13" t="s">
        <v>15</v>
      </c>
      <c r="Y330" s="1"/>
      <c r="Z330" s="1"/>
      <c r="AA330" s="63">
        <v>22002617</v>
      </c>
      <c r="AB330" s="10" t="s">
        <v>1409</v>
      </c>
      <c r="AD330" s="11" t="b">
        <f>AB330=AC330</f>
        <v>0</v>
      </c>
      <c r="AE330" s="10" t="s">
        <v>755</v>
      </c>
      <c r="AF330" s="1"/>
      <c r="AG330" s="11" t="b">
        <f>AE330=AF330</f>
        <v>0</v>
      </c>
      <c r="AH330" s="1">
        <v>15</v>
      </c>
      <c r="AI330" s="1">
        <v>11.02</v>
      </c>
      <c r="AJ330" s="16">
        <f>AI330*220/30*30.4375</f>
        <v>2459.7558333333332</v>
      </c>
      <c r="AK330" s="18">
        <v>2459.7600000000002</v>
      </c>
      <c r="AL330" s="71" t="s">
        <v>663</v>
      </c>
      <c r="AM330" s="19" t="b">
        <f>AL330=O330</f>
        <v>1</v>
      </c>
      <c r="AN330" s="7">
        <f>VLOOKUP(A330,'base ZITRHR129'!$G$1:$H$628,2,0)</f>
        <v>30041006</v>
      </c>
      <c r="AO330" s="7" t="b">
        <f>AN330=R330</f>
        <v>1</v>
      </c>
      <c r="AP330" s="7">
        <f>VLOOKUP(A330,'base ZITRHR129'!G302:W928,17,0)</f>
        <v>2459.7600000000002</v>
      </c>
      <c r="AQ330" s="7" t="b">
        <f>AP330=AK330</f>
        <v>1</v>
      </c>
      <c r="AR330" s="78"/>
    </row>
    <row r="331" spans="1:44" s="7" customFormat="1" x14ac:dyDescent="0.25">
      <c r="A331" s="7">
        <v>10048886</v>
      </c>
      <c r="B331" s="8" t="s">
        <v>354</v>
      </c>
      <c r="C331" s="8" t="s">
        <v>700</v>
      </c>
      <c r="D331" s="8" t="s">
        <v>717</v>
      </c>
      <c r="E331" s="8" t="s">
        <v>732</v>
      </c>
      <c r="F331" s="8" t="s">
        <v>1407</v>
      </c>
      <c r="G331" s="8" t="s">
        <v>761</v>
      </c>
      <c r="H331" s="9">
        <v>15</v>
      </c>
      <c r="I331" s="8" t="s">
        <v>666</v>
      </c>
      <c r="J331" s="8" t="s">
        <v>1102</v>
      </c>
      <c r="K331" s="8" t="s">
        <v>16</v>
      </c>
      <c r="L331" s="8" t="s">
        <v>17</v>
      </c>
      <c r="M331" s="10" t="s">
        <v>700</v>
      </c>
      <c r="N331" s="10" t="s">
        <v>717</v>
      </c>
      <c r="O331" s="10" t="s">
        <v>666</v>
      </c>
      <c r="P331" s="1"/>
      <c r="Q331" s="11" t="b">
        <f>O331=P331</f>
        <v>0</v>
      </c>
      <c r="R331" s="30">
        <v>30041336</v>
      </c>
      <c r="S331" s="1"/>
      <c r="T331" s="11" t="b">
        <f>R331=S331</f>
        <v>0</v>
      </c>
      <c r="U331" s="10" t="s">
        <v>16</v>
      </c>
      <c r="V331" s="1"/>
      <c r="W331" s="11" t="b">
        <f>U331=V331</f>
        <v>0</v>
      </c>
      <c r="X331" s="13" t="s">
        <v>15</v>
      </c>
      <c r="Y331" s="1"/>
      <c r="Z331" s="1"/>
      <c r="AA331" s="61">
        <v>22003423</v>
      </c>
      <c r="AB331" s="10" t="s">
        <v>1410</v>
      </c>
      <c r="AD331" s="11" t="b">
        <f>AB331=AC331</f>
        <v>0</v>
      </c>
      <c r="AE331" s="10" t="s">
        <v>761</v>
      </c>
      <c r="AF331" s="1"/>
      <c r="AG331" s="11" t="b">
        <f>AE331=AF331</f>
        <v>0</v>
      </c>
      <c r="AH331" s="1">
        <v>15</v>
      </c>
      <c r="AI331" s="1">
        <v>11.71</v>
      </c>
      <c r="AJ331" s="16">
        <f>AI331*180/30*30.4375</f>
        <v>2138.5387500000002</v>
      </c>
      <c r="AK331" s="18">
        <v>2138.54</v>
      </c>
      <c r="AL331" s="71" t="s">
        <v>666</v>
      </c>
      <c r="AM331" s="19" t="b">
        <f>AL331=O331</f>
        <v>1</v>
      </c>
      <c r="AN331" s="7">
        <f>VLOOKUP(A331,'base ZITRHR129'!$G$1:$H$628,2,0)</f>
        <v>30041336</v>
      </c>
      <c r="AO331" s="7" t="b">
        <f>AN331=R331</f>
        <v>1</v>
      </c>
      <c r="AP331" s="7">
        <f>VLOOKUP(A331,'base ZITRHR129'!G301:W927,17,0)</f>
        <v>2138.54</v>
      </c>
      <c r="AQ331" s="7" t="b">
        <f>AP331=AK331</f>
        <v>1</v>
      </c>
      <c r="AR331" s="78"/>
    </row>
    <row r="332" spans="1:44" s="7" customFormat="1" x14ac:dyDescent="0.25">
      <c r="A332" s="7">
        <v>10048919</v>
      </c>
      <c r="B332" s="8" t="s">
        <v>355</v>
      </c>
      <c r="C332" s="8" t="s">
        <v>713</v>
      </c>
      <c r="D332" s="8" t="s">
        <v>717</v>
      </c>
      <c r="E332" s="8" t="s">
        <v>723</v>
      </c>
      <c r="F332" s="8" t="s">
        <v>1406</v>
      </c>
      <c r="G332" s="8" t="s">
        <v>19</v>
      </c>
      <c r="H332" s="9">
        <v>16</v>
      </c>
      <c r="I332" s="8" t="s">
        <v>659</v>
      </c>
      <c r="J332" s="8" t="s">
        <v>1103</v>
      </c>
      <c r="K332" s="8" t="s">
        <v>6</v>
      </c>
      <c r="L332" s="8" t="s">
        <v>17</v>
      </c>
      <c r="M332" s="10" t="s">
        <v>713</v>
      </c>
      <c r="N332" s="10" t="s">
        <v>717</v>
      </c>
      <c r="O332" s="10" t="s">
        <v>659</v>
      </c>
      <c r="P332" s="1"/>
      <c r="Q332" s="11" t="b">
        <f>O332=P332</f>
        <v>0</v>
      </c>
      <c r="R332" s="30">
        <v>30041008</v>
      </c>
      <c r="S332" s="1"/>
      <c r="T332" s="11" t="b">
        <f>R332=S332</f>
        <v>0</v>
      </c>
      <c r="U332" s="10" t="s">
        <v>6</v>
      </c>
      <c r="V332" s="1"/>
      <c r="W332" s="11" t="b">
        <f>U332=V332</f>
        <v>0</v>
      </c>
      <c r="X332" s="13" t="s">
        <v>15</v>
      </c>
      <c r="Y332" s="1"/>
      <c r="Z332" s="1"/>
      <c r="AA332" s="10">
        <v>22002460</v>
      </c>
      <c r="AB332" s="10" t="s">
        <v>1409</v>
      </c>
      <c r="AD332" s="11" t="b">
        <f>AB332=AC332</f>
        <v>0</v>
      </c>
      <c r="AE332" s="10" t="s">
        <v>19</v>
      </c>
      <c r="AF332" s="1"/>
      <c r="AG332" s="11" t="b">
        <f>AE332=AF332</f>
        <v>0</v>
      </c>
      <c r="AH332" s="1">
        <v>16</v>
      </c>
      <c r="AI332" s="1">
        <v>10.26</v>
      </c>
      <c r="AJ332" s="16">
        <f>AI332*220/30*30.4375</f>
        <v>2290.1174999999998</v>
      </c>
      <c r="AK332" s="18">
        <v>2290.12</v>
      </c>
      <c r="AL332" s="71" t="s">
        <v>659</v>
      </c>
      <c r="AM332" s="19" t="b">
        <f>AL332=O332</f>
        <v>1</v>
      </c>
      <c r="AN332" s="7">
        <f>VLOOKUP(A332,'base ZITRHR129'!$G$1:$H$628,2,0)</f>
        <v>30041008</v>
      </c>
      <c r="AO332" s="7" t="b">
        <f>AN332=R332</f>
        <v>1</v>
      </c>
      <c r="AP332" s="7">
        <f>VLOOKUP(A332,'base ZITRHR129'!G300:W926,17,0)</f>
        <v>2290.12</v>
      </c>
      <c r="AQ332" s="7" t="b">
        <f>AP332=AK332</f>
        <v>1</v>
      </c>
      <c r="AR332" s="78"/>
    </row>
    <row r="333" spans="1:44" s="20" customFormat="1" x14ac:dyDescent="0.25">
      <c r="A333" s="7">
        <v>10049138</v>
      </c>
      <c r="B333" s="8" t="s">
        <v>356</v>
      </c>
      <c r="C333" s="8" t="s">
        <v>680</v>
      </c>
      <c r="D333" s="8" t="s">
        <v>717</v>
      </c>
      <c r="E333" s="8" t="s">
        <v>729</v>
      </c>
      <c r="F333" s="8" t="s">
        <v>1406</v>
      </c>
      <c r="G333" s="8" t="s">
        <v>758</v>
      </c>
      <c r="H333" s="9">
        <v>17</v>
      </c>
      <c r="I333" s="8" t="s">
        <v>654</v>
      </c>
      <c r="J333" s="8" t="s">
        <v>1104</v>
      </c>
      <c r="K333" s="8" t="s">
        <v>16</v>
      </c>
      <c r="L333" s="8" t="s">
        <v>17</v>
      </c>
      <c r="M333" s="10" t="s">
        <v>680</v>
      </c>
      <c r="N333" s="10" t="s">
        <v>717</v>
      </c>
      <c r="O333" s="10" t="s">
        <v>654</v>
      </c>
      <c r="P333" s="1"/>
      <c r="Q333" s="11" t="b">
        <f>O333=P333</f>
        <v>0</v>
      </c>
      <c r="R333" s="30">
        <v>30041009</v>
      </c>
      <c r="S333" s="1"/>
      <c r="T333" s="11" t="b">
        <f>R333=S333</f>
        <v>0</v>
      </c>
      <c r="U333" s="10" t="s">
        <v>16</v>
      </c>
      <c r="V333" s="1"/>
      <c r="W333" s="11" t="b">
        <f>U333=V333</f>
        <v>0</v>
      </c>
      <c r="X333" s="13" t="s">
        <v>15</v>
      </c>
      <c r="Y333" s="1"/>
      <c r="Z333" s="1"/>
      <c r="AA333" s="59">
        <v>22002447</v>
      </c>
      <c r="AB333" s="10" t="s">
        <v>1409</v>
      </c>
      <c r="AC333" s="7"/>
      <c r="AD333" s="11" t="b">
        <f>AB333=AC333</f>
        <v>0</v>
      </c>
      <c r="AE333" s="10" t="s">
        <v>758</v>
      </c>
      <c r="AF333" s="1"/>
      <c r="AG333" s="11" t="b">
        <f>AE333=AF333</f>
        <v>0</v>
      </c>
      <c r="AH333" s="1">
        <v>17</v>
      </c>
      <c r="AI333" s="1">
        <v>14.48</v>
      </c>
      <c r="AJ333" s="16">
        <f>AI333*220/30*30.4375</f>
        <v>3232.0566666666668</v>
      </c>
      <c r="AK333" s="18">
        <v>3232.06</v>
      </c>
      <c r="AL333" s="71" t="s">
        <v>654</v>
      </c>
      <c r="AM333" s="19" t="b">
        <f>AL333=O333</f>
        <v>1</v>
      </c>
      <c r="AN333" s="7">
        <f>VLOOKUP(A333,'base ZITRHR129'!$G$1:$H$628,2,0)</f>
        <v>30041009</v>
      </c>
      <c r="AO333" s="7" t="b">
        <f>AN333=R333</f>
        <v>1</v>
      </c>
      <c r="AP333" s="7">
        <f>VLOOKUP(A333,'base ZITRHR129'!G299:W925,17,0)</f>
        <v>3232.06</v>
      </c>
      <c r="AQ333" s="7" t="b">
        <f>AP333=AK333</f>
        <v>1</v>
      </c>
      <c r="AR333" s="78"/>
    </row>
    <row r="334" spans="1:44" s="7" customFormat="1" x14ac:dyDescent="0.25">
      <c r="A334" s="7">
        <v>10049140</v>
      </c>
      <c r="B334" s="8" t="s">
        <v>357</v>
      </c>
      <c r="C334" s="8" t="s">
        <v>690</v>
      </c>
      <c r="D334" s="8" t="s">
        <v>717</v>
      </c>
      <c r="E334" s="8" t="s">
        <v>726</v>
      </c>
      <c r="F334" s="8" t="s">
        <v>1406</v>
      </c>
      <c r="G334" s="8" t="s">
        <v>755</v>
      </c>
      <c r="H334" s="9">
        <v>15</v>
      </c>
      <c r="I334" s="8" t="s">
        <v>663</v>
      </c>
      <c r="J334" s="8" t="s">
        <v>1105</v>
      </c>
      <c r="K334" s="8" t="s">
        <v>16</v>
      </c>
      <c r="L334" s="8" t="s">
        <v>17</v>
      </c>
      <c r="M334" s="10" t="s">
        <v>690</v>
      </c>
      <c r="N334" s="10" t="s">
        <v>717</v>
      </c>
      <c r="O334" s="10" t="s">
        <v>663</v>
      </c>
      <c r="P334" s="1"/>
      <c r="Q334" s="11" t="b">
        <f>O334=P334</f>
        <v>0</v>
      </c>
      <c r="R334" s="30">
        <v>30041010</v>
      </c>
      <c r="S334" s="1"/>
      <c r="T334" s="11" t="b">
        <f>R334=S334</f>
        <v>0</v>
      </c>
      <c r="U334" s="10" t="s">
        <v>16</v>
      </c>
      <c r="V334" s="1"/>
      <c r="W334" s="11" t="b">
        <f>U334=V334</f>
        <v>0</v>
      </c>
      <c r="X334" s="13" t="s">
        <v>15</v>
      </c>
      <c r="Y334" s="1"/>
      <c r="Z334" s="1"/>
      <c r="AA334" s="59">
        <v>22002617</v>
      </c>
      <c r="AB334" s="10" t="s">
        <v>1409</v>
      </c>
      <c r="AD334" s="11" t="b">
        <f>AB334=AC334</f>
        <v>0</v>
      </c>
      <c r="AE334" s="10" t="s">
        <v>755</v>
      </c>
      <c r="AF334" s="1"/>
      <c r="AG334" s="11" t="b">
        <f>AE334=AF334</f>
        <v>0</v>
      </c>
      <c r="AH334" s="1">
        <v>15</v>
      </c>
      <c r="AI334" s="1">
        <v>11.02</v>
      </c>
      <c r="AJ334" s="16">
        <f>AI334*220/30*30.4375</f>
        <v>2459.7558333333332</v>
      </c>
      <c r="AK334" s="18">
        <v>2459.7600000000002</v>
      </c>
      <c r="AL334" s="71" t="s">
        <v>663</v>
      </c>
      <c r="AM334" s="19" t="b">
        <f>AL334=O334</f>
        <v>1</v>
      </c>
      <c r="AN334" s="7">
        <f>VLOOKUP(A334,'base ZITRHR129'!$G$1:$H$628,2,0)</f>
        <v>30041010</v>
      </c>
      <c r="AO334" s="7" t="b">
        <f>AN334=R334</f>
        <v>1</v>
      </c>
      <c r="AP334" s="7">
        <f>VLOOKUP(A334,'base ZITRHR129'!G298:W924,17,0)</f>
        <v>2459.7600000000002</v>
      </c>
      <c r="AQ334" s="7" t="b">
        <f>AP334=AK334</f>
        <v>1</v>
      </c>
      <c r="AR334" s="78"/>
    </row>
    <row r="335" spans="1:44" s="7" customFormat="1" x14ac:dyDescent="0.25">
      <c r="A335" s="7">
        <v>10049434</v>
      </c>
      <c r="B335" s="8" t="s">
        <v>358</v>
      </c>
      <c r="C335" s="8" t="s">
        <v>706</v>
      </c>
      <c r="D335" s="8" t="s">
        <v>717</v>
      </c>
      <c r="E335" s="8" t="s">
        <v>724</v>
      </c>
      <c r="F335" s="8" t="s">
        <v>1406</v>
      </c>
      <c r="G335" s="8" t="s">
        <v>21</v>
      </c>
      <c r="H335" s="9">
        <v>16</v>
      </c>
      <c r="I335" s="8" t="s">
        <v>660</v>
      </c>
      <c r="J335" s="8" t="s">
        <v>1106</v>
      </c>
      <c r="K335" s="8" t="s">
        <v>16</v>
      </c>
      <c r="L335" s="8" t="s">
        <v>17</v>
      </c>
      <c r="M335" s="10" t="s">
        <v>706</v>
      </c>
      <c r="N335" s="10" t="s">
        <v>717</v>
      </c>
      <c r="O335" s="10" t="s">
        <v>660</v>
      </c>
      <c r="P335" s="1"/>
      <c r="Q335" s="11" t="b">
        <f>O335=P335</f>
        <v>0</v>
      </c>
      <c r="R335" s="30">
        <v>30041011</v>
      </c>
      <c r="S335" s="1"/>
      <c r="T335" s="11" t="b">
        <f>R335=S335</f>
        <v>0</v>
      </c>
      <c r="U335" s="10" t="s">
        <v>16</v>
      </c>
      <c r="V335" s="1"/>
      <c r="W335" s="11" t="b">
        <f>U335=V335</f>
        <v>0</v>
      </c>
      <c r="X335" s="13" t="s">
        <v>15</v>
      </c>
      <c r="Y335" s="1"/>
      <c r="Z335" s="1"/>
      <c r="AA335" s="63">
        <v>22002616</v>
      </c>
      <c r="AB335" s="10" t="s">
        <v>1409</v>
      </c>
      <c r="AD335" s="11" t="b">
        <f>AB335=AC335</f>
        <v>0</v>
      </c>
      <c r="AE335" s="10" t="s">
        <v>21</v>
      </c>
      <c r="AF335" s="1"/>
      <c r="AG335" s="11" t="b">
        <f>AE335=AF335</f>
        <v>0</v>
      </c>
      <c r="AH335" s="1">
        <v>16</v>
      </c>
      <c r="AI335" s="1">
        <v>10.55</v>
      </c>
      <c r="AJ335" s="16">
        <f>AI335*220/30*30.4375</f>
        <v>2354.8479166666666</v>
      </c>
      <c r="AK335" s="18">
        <v>2354.85</v>
      </c>
      <c r="AL335" s="71" t="s">
        <v>660</v>
      </c>
      <c r="AM335" s="19" t="b">
        <f>AL335=O335</f>
        <v>1</v>
      </c>
      <c r="AN335" s="7">
        <f>VLOOKUP(A335,'base ZITRHR129'!$G$1:$H$628,2,0)</f>
        <v>30041011</v>
      </c>
      <c r="AO335" s="7" t="b">
        <f>AN335=R335</f>
        <v>1</v>
      </c>
      <c r="AP335" s="7">
        <f>VLOOKUP(A335,'base ZITRHR129'!G297:W923,17,0)</f>
        <v>2354.85</v>
      </c>
      <c r="AQ335" s="7" t="b">
        <f>AP335=AK335</f>
        <v>1</v>
      </c>
      <c r="AR335" s="78"/>
    </row>
    <row r="336" spans="1:44" s="7" customFormat="1" x14ac:dyDescent="0.25">
      <c r="A336" s="7">
        <v>10049455</v>
      </c>
      <c r="B336" s="8" t="s">
        <v>359</v>
      </c>
      <c r="C336" s="8" t="s">
        <v>706</v>
      </c>
      <c r="D336" s="8" t="s">
        <v>717</v>
      </c>
      <c r="E336" s="8" t="s">
        <v>737</v>
      </c>
      <c r="F336" s="8" t="s">
        <v>1406</v>
      </c>
      <c r="G336" s="8" t="s">
        <v>765</v>
      </c>
      <c r="H336" s="9">
        <v>14</v>
      </c>
      <c r="I336" s="8" t="s">
        <v>660</v>
      </c>
      <c r="J336" s="8" t="s">
        <v>1107</v>
      </c>
      <c r="K336" s="8" t="s">
        <v>16</v>
      </c>
      <c r="L336" s="8" t="s">
        <v>17</v>
      </c>
      <c r="M336" s="10" t="s">
        <v>706</v>
      </c>
      <c r="N336" s="10" t="s">
        <v>717</v>
      </c>
      <c r="O336" s="10" t="s">
        <v>660</v>
      </c>
      <c r="P336" s="1"/>
      <c r="Q336" s="11" t="b">
        <f>O336=P336</f>
        <v>0</v>
      </c>
      <c r="R336" s="30">
        <v>30041012</v>
      </c>
      <c r="S336" s="1"/>
      <c r="T336" s="11" t="b">
        <f>R336=S336</f>
        <v>0</v>
      </c>
      <c r="U336" s="10" t="s">
        <v>16</v>
      </c>
      <c r="V336" s="1"/>
      <c r="W336" s="11" t="b">
        <f>U336=V336</f>
        <v>0</v>
      </c>
      <c r="X336" s="13" t="s">
        <v>15</v>
      </c>
      <c r="Y336" s="1"/>
      <c r="Z336" s="1"/>
      <c r="AA336" s="10">
        <v>22002830</v>
      </c>
      <c r="AB336" s="10" t="s">
        <v>1409</v>
      </c>
      <c r="AD336" s="11" t="b">
        <f>AB336=AC336</f>
        <v>0</v>
      </c>
      <c r="AE336" s="10" t="s">
        <v>765</v>
      </c>
      <c r="AF336" s="1"/>
      <c r="AG336" s="11" t="b">
        <f>AE336=AF336</f>
        <v>0</v>
      </c>
      <c r="AH336" s="1">
        <v>14</v>
      </c>
      <c r="AI336" s="1">
        <v>8.59</v>
      </c>
      <c r="AJ336" s="16">
        <f>AI336*220/30*30.4375</f>
        <v>1917.3595833333334</v>
      </c>
      <c r="AK336" s="18">
        <v>1917.36</v>
      </c>
      <c r="AL336" s="71" t="s">
        <v>660</v>
      </c>
      <c r="AM336" s="19" t="b">
        <f>AL336=O336</f>
        <v>1</v>
      </c>
      <c r="AN336" s="7">
        <f>VLOOKUP(A336,'base ZITRHR129'!$G$1:$H$628,2,0)</f>
        <v>30041012</v>
      </c>
      <c r="AO336" s="7" t="b">
        <f>AN336=R336</f>
        <v>1</v>
      </c>
      <c r="AP336" s="7">
        <f>VLOOKUP(A336,'base ZITRHR129'!G296:W922,17,0)</f>
        <v>1917.36</v>
      </c>
      <c r="AQ336" s="7" t="b">
        <f>AP336=AK336</f>
        <v>1</v>
      </c>
      <c r="AR336" s="78"/>
    </row>
    <row r="337" spans="1:44" s="7" customFormat="1" x14ac:dyDescent="0.25">
      <c r="A337" s="7">
        <v>10049458</v>
      </c>
      <c r="B337" s="8" t="s">
        <v>360</v>
      </c>
      <c r="C337" s="8" t="s">
        <v>689</v>
      </c>
      <c r="D337" s="8" t="s">
        <v>717</v>
      </c>
      <c r="E337" s="8" t="s">
        <v>730</v>
      </c>
      <c r="F337" s="8" t="s">
        <v>1406</v>
      </c>
      <c r="G337" s="8" t="s">
        <v>759</v>
      </c>
      <c r="H337" s="9">
        <v>17</v>
      </c>
      <c r="I337" s="8" t="s">
        <v>662</v>
      </c>
      <c r="J337" s="8" t="s">
        <v>1108</v>
      </c>
      <c r="K337" s="8" t="s">
        <v>16</v>
      </c>
      <c r="L337" s="8" t="s">
        <v>17</v>
      </c>
      <c r="M337" s="10" t="s">
        <v>689</v>
      </c>
      <c r="N337" s="10" t="s">
        <v>717</v>
      </c>
      <c r="O337" s="10" t="s">
        <v>662</v>
      </c>
      <c r="P337" s="1"/>
      <c r="Q337" s="11" t="b">
        <f>O337=P337</f>
        <v>0</v>
      </c>
      <c r="R337" s="30">
        <v>30041013</v>
      </c>
      <c r="S337" s="1"/>
      <c r="T337" s="11" t="b">
        <f>R337=S337</f>
        <v>0</v>
      </c>
      <c r="U337" s="10" t="s">
        <v>16</v>
      </c>
      <c r="V337" s="1"/>
      <c r="W337" s="11" t="b">
        <f>U337=V337</f>
        <v>0</v>
      </c>
      <c r="X337" s="13" t="s">
        <v>15</v>
      </c>
      <c r="Y337" s="1"/>
      <c r="Z337" s="1"/>
      <c r="AA337" s="10">
        <v>22002605</v>
      </c>
      <c r="AB337" s="10" t="s">
        <v>1409</v>
      </c>
      <c r="AD337" s="11" t="b">
        <f>AB337=AC337</f>
        <v>0</v>
      </c>
      <c r="AE337" s="10" t="s">
        <v>759</v>
      </c>
      <c r="AF337" s="1"/>
      <c r="AG337" s="11" t="b">
        <f>AE337=AF337</f>
        <v>0</v>
      </c>
      <c r="AH337" s="1">
        <v>17</v>
      </c>
      <c r="AI337" s="1">
        <v>11.34</v>
      </c>
      <c r="AJ337" s="16">
        <f>AI337*220/30*30.4375</f>
        <v>2531.1825000000003</v>
      </c>
      <c r="AK337" s="18">
        <v>2531.1799999999998</v>
      </c>
      <c r="AL337" s="71" t="s">
        <v>662</v>
      </c>
      <c r="AM337" s="19" t="b">
        <f>AL337=O337</f>
        <v>1</v>
      </c>
      <c r="AN337" s="7">
        <f>VLOOKUP(A337,'base ZITRHR129'!$G$1:$H$628,2,0)</f>
        <v>30041013</v>
      </c>
      <c r="AO337" s="7" t="b">
        <f>AN337=R337</f>
        <v>1</v>
      </c>
      <c r="AP337" s="7">
        <f>VLOOKUP(A337,'base ZITRHR129'!G295:W921,17,0)</f>
        <v>2531.1799999999998</v>
      </c>
      <c r="AQ337" s="7" t="b">
        <f>AP337=AK337</f>
        <v>1</v>
      </c>
      <c r="AR337" s="78"/>
    </row>
    <row r="338" spans="1:44" s="7" customFormat="1" x14ac:dyDescent="0.25">
      <c r="A338" s="7">
        <v>10049472</v>
      </c>
      <c r="B338" s="8" t="s">
        <v>361</v>
      </c>
      <c r="C338" s="8" t="s">
        <v>679</v>
      </c>
      <c r="D338" s="8" t="s">
        <v>717</v>
      </c>
      <c r="E338" s="8" t="s">
        <v>720</v>
      </c>
      <c r="F338" s="8" t="s">
        <v>1406</v>
      </c>
      <c r="G338" s="8" t="s">
        <v>751</v>
      </c>
      <c r="H338" s="9">
        <v>18</v>
      </c>
      <c r="I338" s="8" t="s">
        <v>653</v>
      </c>
      <c r="J338" s="8" t="s">
        <v>1109</v>
      </c>
      <c r="K338" s="8" t="s">
        <v>16</v>
      </c>
      <c r="L338" s="8" t="s">
        <v>17</v>
      </c>
      <c r="M338" s="10" t="s">
        <v>679</v>
      </c>
      <c r="N338" s="10" t="s">
        <v>717</v>
      </c>
      <c r="O338" s="10" t="s">
        <v>653</v>
      </c>
      <c r="P338" s="1"/>
      <c r="Q338" s="11" t="b">
        <f>O338=P338</f>
        <v>0</v>
      </c>
      <c r="R338" s="30">
        <v>30041014</v>
      </c>
      <c r="S338" s="1"/>
      <c r="T338" s="11" t="b">
        <f>R338=S338</f>
        <v>0</v>
      </c>
      <c r="U338" s="10" t="s">
        <v>16</v>
      </c>
      <c r="V338" s="1"/>
      <c r="W338" s="11" t="b">
        <f>U338=V338</f>
        <v>0</v>
      </c>
      <c r="X338" s="13" t="s">
        <v>15</v>
      </c>
      <c r="Y338" s="1"/>
      <c r="Z338" s="1"/>
      <c r="AA338" s="10">
        <v>22003015</v>
      </c>
      <c r="AB338" s="10" t="s">
        <v>1409</v>
      </c>
      <c r="AD338" s="11" t="b">
        <f>AB338=AC338</f>
        <v>0</v>
      </c>
      <c r="AE338" s="10" t="s">
        <v>751</v>
      </c>
      <c r="AF338" s="1"/>
      <c r="AG338" s="11" t="b">
        <f>AE338=AF338</f>
        <v>0</v>
      </c>
      <c r="AH338" s="1">
        <v>18</v>
      </c>
      <c r="AI338" s="1">
        <v>17.73</v>
      </c>
      <c r="AJ338" s="16">
        <f>AI338*220/30*30.4375</f>
        <v>3957.4837500000003</v>
      </c>
      <c r="AK338" s="18">
        <v>3957.48</v>
      </c>
      <c r="AL338" s="71" t="s">
        <v>653</v>
      </c>
      <c r="AM338" s="19" t="b">
        <f>AL338=O338</f>
        <v>1</v>
      </c>
      <c r="AN338" s="7">
        <f>VLOOKUP(A338,'base ZITRHR129'!$G$1:$H$628,2,0)</f>
        <v>30041014</v>
      </c>
      <c r="AO338" s="7" t="b">
        <f>AN338=R338</f>
        <v>1</v>
      </c>
      <c r="AP338" s="7">
        <f>VLOOKUP(A338,'base ZITRHR129'!G294:W920,17,0)</f>
        <v>3957.48</v>
      </c>
      <c r="AQ338" s="7" t="b">
        <f>AP338=AK338</f>
        <v>1</v>
      </c>
      <c r="AR338" s="78"/>
    </row>
    <row r="339" spans="1:44" s="7" customFormat="1" x14ac:dyDescent="0.25">
      <c r="A339" s="7">
        <v>10049540</v>
      </c>
      <c r="B339" s="8" t="s">
        <v>362</v>
      </c>
      <c r="C339" s="8" t="s">
        <v>684</v>
      </c>
      <c r="D339" s="8" t="s">
        <v>717</v>
      </c>
      <c r="E339" s="8" t="s">
        <v>720</v>
      </c>
      <c r="F339" s="8" t="s">
        <v>1406</v>
      </c>
      <c r="G339" s="8" t="s">
        <v>751</v>
      </c>
      <c r="H339" s="9">
        <v>18</v>
      </c>
      <c r="I339" s="8" t="s">
        <v>657</v>
      </c>
      <c r="J339" s="8" t="s">
        <v>1110</v>
      </c>
      <c r="K339" s="8" t="s">
        <v>16</v>
      </c>
      <c r="L339" s="8" t="s">
        <v>17</v>
      </c>
      <c r="M339" s="10" t="s">
        <v>684</v>
      </c>
      <c r="N339" s="10" t="s">
        <v>717</v>
      </c>
      <c r="O339" s="10" t="s">
        <v>657</v>
      </c>
      <c r="P339" s="1"/>
      <c r="Q339" s="11" t="b">
        <f>O339=P339</f>
        <v>0</v>
      </c>
      <c r="R339" s="30">
        <v>30041015</v>
      </c>
      <c r="S339" s="1"/>
      <c r="T339" s="11" t="b">
        <f>R339=S339</f>
        <v>0</v>
      </c>
      <c r="U339" s="10" t="s">
        <v>16</v>
      </c>
      <c r="V339" s="1"/>
      <c r="W339" s="11" t="b">
        <f>U339=V339</f>
        <v>0</v>
      </c>
      <c r="X339" s="13" t="s">
        <v>15</v>
      </c>
      <c r="Y339" s="1"/>
      <c r="Z339" s="1"/>
      <c r="AA339" s="10">
        <v>22003015</v>
      </c>
      <c r="AB339" s="10" t="s">
        <v>1409</v>
      </c>
      <c r="AD339" s="11" t="b">
        <f>AB339=AC339</f>
        <v>0</v>
      </c>
      <c r="AE339" s="10" t="s">
        <v>751</v>
      </c>
      <c r="AF339" s="1"/>
      <c r="AG339" s="11" t="b">
        <f>AE339=AF339</f>
        <v>0</v>
      </c>
      <c r="AH339" s="1">
        <v>18</v>
      </c>
      <c r="AI339" s="1">
        <v>11.02</v>
      </c>
      <c r="AJ339" s="16">
        <f>AI339*220/30*30.4375</f>
        <v>2459.7558333333332</v>
      </c>
      <c r="AK339" s="18">
        <v>2459.7600000000002</v>
      </c>
      <c r="AL339" s="71" t="s">
        <v>657</v>
      </c>
      <c r="AM339" s="19" t="b">
        <f>AL339=O339</f>
        <v>1</v>
      </c>
      <c r="AN339" s="7">
        <f>VLOOKUP(A339,'base ZITRHR129'!$G$1:$H$628,2,0)</f>
        <v>30041015</v>
      </c>
      <c r="AO339" s="7" t="b">
        <f>AN339=R339</f>
        <v>1</v>
      </c>
      <c r="AP339" s="7">
        <f>VLOOKUP(A339,'base ZITRHR129'!G293:W919,17,0)</f>
        <v>2459.7600000000002</v>
      </c>
      <c r="AQ339" s="7" t="b">
        <f>AP339=AK339</f>
        <v>1</v>
      </c>
      <c r="AR339" s="78"/>
    </row>
    <row r="340" spans="1:44" s="7" customFormat="1" x14ac:dyDescent="0.25">
      <c r="A340" s="7">
        <v>10049750</v>
      </c>
      <c r="B340" s="8" t="s">
        <v>363</v>
      </c>
      <c r="C340" s="8" t="s">
        <v>689</v>
      </c>
      <c r="D340" s="8" t="s">
        <v>717</v>
      </c>
      <c r="E340" s="8" t="s">
        <v>730</v>
      </c>
      <c r="F340" s="8" t="s">
        <v>1406</v>
      </c>
      <c r="G340" s="8" t="s">
        <v>759</v>
      </c>
      <c r="H340" s="9">
        <v>17</v>
      </c>
      <c r="I340" s="8" t="s">
        <v>662</v>
      </c>
      <c r="J340" s="8" t="s">
        <v>1111</v>
      </c>
      <c r="K340" s="8" t="s">
        <v>16</v>
      </c>
      <c r="L340" s="8" t="s">
        <v>17</v>
      </c>
      <c r="M340" s="10" t="s">
        <v>689</v>
      </c>
      <c r="N340" s="10" t="s">
        <v>717</v>
      </c>
      <c r="O340" s="10" t="s">
        <v>662</v>
      </c>
      <c r="P340" s="1"/>
      <c r="Q340" s="11" t="b">
        <f>O340=P340</f>
        <v>0</v>
      </c>
      <c r="R340" s="30">
        <v>30041016</v>
      </c>
      <c r="S340" s="1"/>
      <c r="T340" s="11" t="b">
        <f>R340=S340</f>
        <v>0</v>
      </c>
      <c r="U340" s="10" t="s">
        <v>16</v>
      </c>
      <c r="V340" s="1"/>
      <c r="W340" s="11" t="b">
        <f>U340=V340</f>
        <v>0</v>
      </c>
      <c r="X340" s="13" t="s">
        <v>15</v>
      </c>
      <c r="Y340" s="1"/>
      <c r="Z340" s="1"/>
      <c r="AA340" s="59">
        <v>22002605</v>
      </c>
      <c r="AB340" s="10" t="s">
        <v>1409</v>
      </c>
      <c r="AD340" s="11" t="b">
        <f>AB340=AC340</f>
        <v>0</v>
      </c>
      <c r="AE340" s="10" t="s">
        <v>759</v>
      </c>
      <c r="AF340" s="1"/>
      <c r="AG340" s="11" t="b">
        <f>AE340=AF340</f>
        <v>0</v>
      </c>
      <c r="AH340" s="1">
        <v>17</v>
      </c>
      <c r="AI340" s="1">
        <v>14.04</v>
      </c>
      <c r="AJ340" s="16">
        <f>AI340*220/30*30.4375</f>
        <v>3133.8449999999998</v>
      </c>
      <c r="AK340" s="18">
        <v>3133.85</v>
      </c>
      <c r="AL340" s="71" t="s">
        <v>662</v>
      </c>
      <c r="AM340" s="19" t="b">
        <f>AL340=O340</f>
        <v>1</v>
      </c>
      <c r="AN340" s="7">
        <f>VLOOKUP(A340,'base ZITRHR129'!$G$1:$H$628,2,0)</f>
        <v>30041016</v>
      </c>
      <c r="AO340" s="7" t="b">
        <f>AN340=R340</f>
        <v>1</v>
      </c>
      <c r="AP340" s="7">
        <f>VLOOKUP(A340,'base ZITRHR129'!G292:W918,17,0)</f>
        <v>3133.85</v>
      </c>
      <c r="AQ340" s="7" t="b">
        <f>AP340=AK340</f>
        <v>1</v>
      </c>
      <c r="AR340" s="78"/>
    </row>
    <row r="341" spans="1:44" s="7" customFormat="1" x14ac:dyDescent="0.25">
      <c r="A341" s="7">
        <v>10049810</v>
      </c>
      <c r="B341" s="8" t="s">
        <v>364</v>
      </c>
      <c r="C341" s="8" t="s">
        <v>694</v>
      </c>
      <c r="D341" s="8" t="s">
        <v>717</v>
      </c>
      <c r="E341" s="8" t="s">
        <v>730</v>
      </c>
      <c r="F341" s="8" t="s">
        <v>1406</v>
      </c>
      <c r="G341" s="8" t="s">
        <v>759</v>
      </c>
      <c r="H341" s="9">
        <v>17</v>
      </c>
      <c r="I341" s="8" t="s">
        <v>667</v>
      </c>
      <c r="J341" s="8" t="s">
        <v>1112</v>
      </c>
      <c r="K341" s="8" t="s">
        <v>16</v>
      </c>
      <c r="L341" s="8" t="s">
        <v>17</v>
      </c>
      <c r="M341" s="10" t="s">
        <v>694</v>
      </c>
      <c r="N341" s="10" t="s">
        <v>717</v>
      </c>
      <c r="O341" s="10" t="s">
        <v>667</v>
      </c>
      <c r="P341" s="1"/>
      <c r="Q341" s="11" t="b">
        <f>O341=P341</f>
        <v>0</v>
      </c>
      <c r="R341" s="30">
        <v>30041017</v>
      </c>
      <c r="S341" s="1"/>
      <c r="T341" s="11" t="b">
        <f>R341=S341</f>
        <v>0</v>
      </c>
      <c r="U341" s="10" t="s">
        <v>16</v>
      </c>
      <c r="V341" s="1"/>
      <c r="W341" s="11" t="b">
        <f>U341=V341</f>
        <v>0</v>
      </c>
      <c r="X341" s="13" t="s">
        <v>15</v>
      </c>
      <c r="Y341" s="1"/>
      <c r="Z341" s="1"/>
      <c r="AA341" s="10">
        <v>22002605</v>
      </c>
      <c r="AB341" s="10" t="s">
        <v>1409</v>
      </c>
      <c r="AD341" s="11" t="b">
        <f>AB341=AC341</f>
        <v>0</v>
      </c>
      <c r="AE341" s="10" t="s">
        <v>759</v>
      </c>
      <c r="AF341" s="1"/>
      <c r="AG341" s="11" t="b">
        <f>AE341=AF341</f>
        <v>0</v>
      </c>
      <c r="AH341" s="1">
        <v>17</v>
      </c>
      <c r="AI341" s="1">
        <v>14.04</v>
      </c>
      <c r="AJ341" s="16">
        <f>AI341*220/30*30.4375</f>
        <v>3133.8449999999998</v>
      </c>
      <c r="AK341" s="18">
        <v>3133.85</v>
      </c>
      <c r="AL341" s="71" t="s">
        <v>667</v>
      </c>
      <c r="AM341" s="19" t="b">
        <f>AL341=O341</f>
        <v>1</v>
      </c>
      <c r="AN341" s="7">
        <f>VLOOKUP(A341,'base ZITRHR129'!$G$1:$H$628,2,0)</f>
        <v>30041017</v>
      </c>
      <c r="AO341" s="7" t="b">
        <f>AN341=R341</f>
        <v>1</v>
      </c>
      <c r="AP341" s="7">
        <f>VLOOKUP(A341,'base ZITRHR129'!G291:W917,17,0)</f>
        <v>3133.85</v>
      </c>
      <c r="AQ341" s="7" t="b">
        <f>AP341=AK341</f>
        <v>1</v>
      </c>
      <c r="AR341" s="78"/>
    </row>
    <row r="342" spans="1:44" s="7" customFormat="1" x14ac:dyDescent="0.25">
      <c r="A342" s="7">
        <v>10049833</v>
      </c>
      <c r="B342" s="8" t="s">
        <v>365</v>
      </c>
      <c r="C342" s="8" t="s">
        <v>704</v>
      </c>
      <c r="D342" s="8" t="s">
        <v>717</v>
      </c>
      <c r="E342" s="8" t="s">
        <v>728</v>
      </c>
      <c r="F342" s="8" t="s">
        <v>1406</v>
      </c>
      <c r="G342" s="8" t="s">
        <v>757</v>
      </c>
      <c r="H342" s="9">
        <v>13</v>
      </c>
      <c r="I342" s="8" t="s">
        <v>669</v>
      </c>
      <c r="J342" s="8" t="s">
        <v>1113</v>
      </c>
      <c r="K342" s="8" t="s">
        <v>16</v>
      </c>
      <c r="L342" s="8" t="s">
        <v>17</v>
      </c>
      <c r="M342" s="10" t="s">
        <v>704</v>
      </c>
      <c r="N342" s="10" t="s">
        <v>717</v>
      </c>
      <c r="O342" s="10" t="s">
        <v>669</v>
      </c>
      <c r="P342" s="1"/>
      <c r="Q342" s="11" t="b">
        <f>O342=P342</f>
        <v>0</v>
      </c>
      <c r="R342" s="30">
        <v>30041018</v>
      </c>
      <c r="S342" s="1"/>
      <c r="T342" s="11" t="b">
        <f>R342=S342</f>
        <v>0</v>
      </c>
      <c r="U342" s="10" t="s">
        <v>16</v>
      </c>
      <c r="V342" s="1"/>
      <c r="W342" s="11" t="b">
        <f>U342=V342</f>
        <v>0</v>
      </c>
      <c r="X342" s="13" t="s">
        <v>15</v>
      </c>
      <c r="Y342" s="1"/>
      <c r="Z342" s="1"/>
      <c r="AA342" s="60">
        <v>22000878</v>
      </c>
      <c r="AB342" s="10" t="s">
        <v>1409</v>
      </c>
      <c r="AD342" s="11" t="b">
        <f>AB342=AC342</f>
        <v>0</v>
      </c>
      <c r="AE342" s="10" t="s">
        <v>757</v>
      </c>
      <c r="AF342" s="1"/>
      <c r="AG342" s="11" t="b">
        <f>AE342=AF342</f>
        <v>0</v>
      </c>
      <c r="AH342" s="1">
        <v>13</v>
      </c>
      <c r="AI342" s="1">
        <v>7.37</v>
      </c>
      <c r="AJ342" s="16">
        <f>AI342*220/30*30.4375</f>
        <v>1645.0454166666666</v>
      </c>
      <c r="AK342" s="18">
        <v>1645.05</v>
      </c>
      <c r="AL342" s="71" t="s">
        <v>669</v>
      </c>
      <c r="AM342" s="19" t="b">
        <f>AL342=O342</f>
        <v>1</v>
      </c>
      <c r="AN342" s="7">
        <f>VLOOKUP(A342,'base ZITRHR129'!$G$1:$H$628,2,0)</f>
        <v>30041018</v>
      </c>
      <c r="AO342" s="7" t="b">
        <f>AN342=R342</f>
        <v>1</v>
      </c>
      <c r="AP342" s="7">
        <f>VLOOKUP(A342,'base ZITRHR129'!G290:W916,17,0)</f>
        <v>1645.05</v>
      </c>
      <c r="AQ342" s="7" t="b">
        <f>AP342=AK342</f>
        <v>1</v>
      </c>
      <c r="AR342" s="78"/>
    </row>
    <row r="343" spans="1:44" s="7" customFormat="1" x14ac:dyDescent="0.25">
      <c r="A343" s="7">
        <v>10049959</v>
      </c>
      <c r="B343" s="8" t="s">
        <v>366</v>
      </c>
      <c r="C343" s="8" t="s">
        <v>708</v>
      </c>
      <c r="D343" s="8" t="s">
        <v>717</v>
      </c>
      <c r="E343" s="8" t="s">
        <v>742</v>
      </c>
      <c r="F343" s="8" t="s">
        <v>1406</v>
      </c>
      <c r="G343" s="8" t="s">
        <v>769</v>
      </c>
      <c r="H343" s="9">
        <v>15</v>
      </c>
      <c r="I343" s="8" t="s">
        <v>672</v>
      </c>
      <c r="J343" s="8" t="s">
        <v>1114</v>
      </c>
      <c r="K343" s="8" t="s">
        <v>16</v>
      </c>
      <c r="L343" s="8" t="s">
        <v>17</v>
      </c>
      <c r="M343" s="10" t="s">
        <v>708</v>
      </c>
      <c r="N343" s="10" t="s">
        <v>717</v>
      </c>
      <c r="O343" s="10" t="s">
        <v>672</v>
      </c>
      <c r="P343" s="1"/>
      <c r="Q343" s="11" t="b">
        <f>O343=P343</f>
        <v>0</v>
      </c>
      <c r="R343" s="30">
        <v>30041019</v>
      </c>
      <c r="S343" s="1"/>
      <c r="T343" s="11" t="b">
        <f>R343=S343</f>
        <v>0</v>
      </c>
      <c r="U343" s="10" t="s">
        <v>16</v>
      </c>
      <c r="V343" s="1"/>
      <c r="W343" s="11" t="b">
        <f>U343=V343</f>
        <v>0</v>
      </c>
      <c r="X343" s="13" t="s">
        <v>15</v>
      </c>
      <c r="Y343" s="1"/>
      <c r="Z343" s="1"/>
      <c r="AA343" s="60">
        <v>22001389</v>
      </c>
      <c r="AB343" s="10" t="s">
        <v>1409</v>
      </c>
      <c r="AD343" s="11" t="b">
        <f>AB343=AC343</f>
        <v>0</v>
      </c>
      <c r="AE343" s="10" t="s">
        <v>769</v>
      </c>
      <c r="AF343" s="1"/>
      <c r="AG343" s="11" t="b">
        <f>AE343=AF343</f>
        <v>0</v>
      </c>
      <c r="AH343" s="1">
        <v>15</v>
      </c>
      <c r="AI343" s="1">
        <v>8.59</v>
      </c>
      <c r="AJ343" s="16">
        <f>AI343*220/30*30.4375</f>
        <v>1917.3595833333334</v>
      </c>
      <c r="AK343" s="18">
        <v>1917.36</v>
      </c>
      <c r="AL343" s="71" t="s">
        <v>672</v>
      </c>
      <c r="AM343" s="19" t="b">
        <f>AL343=O343</f>
        <v>1</v>
      </c>
      <c r="AN343" s="7">
        <f>VLOOKUP(A343,'base ZITRHR129'!$G$1:$H$628,2,0)</f>
        <v>30041019</v>
      </c>
      <c r="AO343" s="7" t="b">
        <f>AN343=R343</f>
        <v>1</v>
      </c>
      <c r="AP343" s="7">
        <f>VLOOKUP(A343,'base ZITRHR129'!G289:W915,17,0)</f>
        <v>1917.36</v>
      </c>
      <c r="AQ343" s="7" t="b">
        <f>AP343=AK343</f>
        <v>1</v>
      </c>
      <c r="AR343" s="78"/>
    </row>
    <row r="344" spans="1:44" s="7" customFormat="1" x14ac:dyDescent="0.25">
      <c r="A344" s="7">
        <v>10050053</v>
      </c>
      <c r="B344" s="8" t="s">
        <v>367</v>
      </c>
      <c r="C344" s="8" t="s">
        <v>680</v>
      </c>
      <c r="D344" s="8" t="s">
        <v>717</v>
      </c>
      <c r="E344" s="8" t="s">
        <v>729</v>
      </c>
      <c r="F344" s="8" t="s">
        <v>1406</v>
      </c>
      <c r="G344" s="8" t="s">
        <v>758</v>
      </c>
      <c r="H344" s="9">
        <v>17</v>
      </c>
      <c r="I344" s="8" t="s">
        <v>654</v>
      </c>
      <c r="J344" s="8" t="s">
        <v>1115</v>
      </c>
      <c r="K344" s="8" t="s">
        <v>16</v>
      </c>
      <c r="L344" s="8" t="s">
        <v>17</v>
      </c>
      <c r="M344" s="10" t="s">
        <v>680</v>
      </c>
      <c r="N344" s="10" t="s">
        <v>717</v>
      </c>
      <c r="O344" s="10" t="s">
        <v>654</v>
      </c>
      <c r="P344" s="1"/>
      <c r="Q344" s="11" t="b">
        <f>O344=P344</f>
        <v>0</v>
      </c>
      <c r="R344" s="30">
        <v>30041020</v>
      </c>
      <c r="S344" s="1"/>
      <c r="T344" s="11" t="b">
        <f>R344=S344</f>
        <v>0</v>
      </c>
      <c r="U344" s="10" t="s">
        <v>16</v>
      </c>
      <c r="V344" s="1"/>
      <c r="W344" s="11" t="b">
        <f>U344=V344</f>
        <v>0</v>
      </c>
      <c r="X344" s="13" t="s">
        <v>15</v>
      </c>
      <c r="Y344" s="1"/>
      <c r="Z344" s="1"/>
      <c r="AA344" s="10">
        <v>22002447</v>
      </c>
      <c r="AB344" s="10" t="s">
        <v>1409</v>
      </c>
      <c r="AD344" s="11" t="b">
        <f>AB344=AC344</f>
        <v>0</v>
      </c>
      <c r="AE344" s="10" t="s">
        <v>758</v>
      </c>
      <c r="AF344" s="1"/>
      <c r="AG344" s="11" t="b">
        <f>AE344=AF344</f>
        <v>0</v>
      </c>
      <c r="AH344" s="1">
        <v>17</v>
      </c>
      <c r="AI344" s="1">
        <v>12.44</v>
      </c>
      <c r="AJ344" s="16">
        <f>AI344*220/30*30.4375</f>
        <v>2776.7116666666666</v>
      </c>
      <c r="AK344" s="18">
        <v>2776.71</v>
      </c>
      <c r="AL344" s="71" t="s">
        <v>654</v>
      </c>
      <c r="AM344" s="19" t="b">
        <f>AL344=O344</f>
        <v>1</v>
      </c>
      <c r="AN344" s="7">
        <f>VLOOKUP(A344,'base ZITRHR129'!$G$1:$H$628,2,0)</f>
        <v>30041020</v>
      </c>
      <c r="AO344" s="7" t="b">
        <f>AN344=R344</f>
        <v>1</v>
      </c>
      <c r="AP344" s="7">
        <f>VLOOKUP(A344,'base ZITRHR129'!G288:W914,17,0)</f>
        <v>2776.71</v>
      </c>
      <c r="AQ344" s="7" t="b">
        <f>AP344=AK344</f>
        <v>1</v>
      </c>
      <c r="AR344" s="78"/>
    </row>
    <row r="345" spans="1:44" s="20" customFormat="1" x14ac:dyDescent="0.25">
      <c r="A345" s="7">
        <v>10050063</v>
      </c>
      <c r="B345" s="8" t="s">
        <v>368</v>
      </c>
      <c r="C345" s="8" t="s">
        <v>690</v>
      </c>
      <c r="D345" s="8" t="s">
        <v>717</v>
      </c>
      <c r="E345" s="8" t="s">
        <v>726</v>
      </c>
      <c r="F345" s="8" t="s">
        <v>1406</v>
      </c>
      <c r="G345" s="8" t="s">
        <v>755</v>
      </c>
      <c r="H345" s="9">
        <v>15</v>
      </c>
      <c r="I345" s="8" t="s">
        <v>663</v>
      </c>
      <c r="J345" s="8" t="s">
        <v>1116</v>
      </c>
      <c r="K345" s="8" t="s">
        <v>16</v>
      </c>
      <c r="L345" s="8" t="s">
        <v>17</v>
      </c>
      <c r="M345" s="10" t="s">
        <v>690</v>
      </c>
      <c r="N345" s="10" t="s">
        <v>717</v>
      </c>
      <c r="O345" s="10" t="s">
        <v>663</v>
      </c>
      <c r="P345" s="1"/>
      <c r="Q345" s="11" t="b">
        <f>O345=P345</f>
        <v>0</v>
      </c>
      <c r="R345" s="30">
        <v>30041021</v>
      </c>
      <c r="S345" s="1"/>
      <c r="T345" s="11" t="b">
        <f>R345=S345</f>
        <v>0</v>
      </c>
      <c r="U345" s="10" t="s">
        <v>16</v>
      </c>
      <c r="V345" s="1"/>
      <c r="W345" s="11" t="b">
        <f>U345=V345</f>
        <v>0</v>
      </c>
      <c r="X345" s="13" t="s">
        <v>15</v>
      </c>
      <c r="Y345" s="1"/>
      <c r="Z345" s="1"/>
      <c r="AA345" s="59">
        <v>22002617</v>
      </c>
      <c r="AB345" s="10" t="s">
        <v>1409</v>
      </c>
      <c r="AC345" s="7"/>
      <c r="AD345" s="11" t="b">
        <f>AB345=AC345</f>
        <v>0</v>
      </c>
      <c r="AE345" s="10" t="s">
        <v>755</v>
      </c>
      <c r="AF345" s="1"/>
      <c r="AG345" s="11" t="b">
        <f>AE345=AF345</f>
        <v>0</v>
      </c>
      <c r="AH345" s="1">
        <v>15</v>
      </c>
      <c r="AI345" s="1">
        <v>11.43</v>
      </c>
      <c r="AJ345" s="16">
        <f>AI345*220/30*30.4375</f>
        <v>2551.2712499999998</v>
      </c>
      <c r="AK345" s="18">
        <v>2551.27</v>
      </c>
      <c r="AL345" s="71" t="s">
        <v>663</v>
      </c>
      <c r="AM345" s="19" t="b">
        <f>AL345=O345</f>
        <v>1</v>
      </c>
      <c r="AN345" s="7">
        <f>VLOOKUP(A345,'base ZITRHR129'!$G$1:$H$628,2,0)</f>
        <v>30041021</v>
      </c>
      <c r="AO345" s="7" t="b">
        <f>AN345=R345</f>
        <v>1</v>
      </c>
      <c r="AP345" s="7">
        <f>VLOOKUP(A345,'base ZITRHR129'!G287:W913,17,0)</f>
        <v>2551.27</v>
      </c>
      <c r="AQ345" s="7" t="b">
        <f>AP345=AK345</f>
        <v>1</v>
      </c>
      <c r="AR345" s="78"/>
    </row>
    <row r="346" spans="1:44" s="7" customFormat="1" x14ac:dyDescent="0.25">
      <c r="A346" s="7">
        <v>10050067</v>
      </c>
      <c r="B346" s="8" t="s">
        <v>369</v>
      </c>
      <c r="C346" s="8" t="s">
        <v>700</v>
      </c>
      <c r="D346" s="8" t="s">
        <v>717</v>
      </c>
      <c r="E346" s="8" t="s">
        <v>732</v>
      </c>
      <c r="F346" s="8" t="s">
        <v>1407</v>
      </c>
      <c r="G346" s="8" t="s">
        <v>761</v>
      </c>
      <c r="H346" s="9">
        <v>15</v>
      </c>
      <c r="I346" s="8" t="s">
        <v>666</v>
      </c>
      <c r="J346" s="8" t="s">
        <v>1117</v>
      </c>
      <c r="K346" s="8" t="s">
        <v>16</v>
      </c>
      <c r="L346" s="8" t="s">
        <v>17</v>
      </c>
      <c r="M346" s="10" t="s">
        <v>700</v>
      </c>
      <c r="N346" s="10" t="s">
        <v>717</v>
      </c>
      <c r="O346" s="10" t="s">
        <v>666</v>
      </c>
      <c r="P346" s="1"/>
      <c r="Q346" s="11" t="b">
        <f>O346=P346</f>
        <v>0</v>
      </c>
      <c r="R346" s="30">
        <v>30041337</v>
      </c>
      <c r="S346" s="1"/>
      <c r="T346" s="11" t="b">
        <f>R346=S346</f>
        <v>0</v>
      </c>
      <c r="U346" s="10" t="s">
        <v>16</v>
      </c>
      <c r="V346" s="1"/>
      <c r="W346" s="11" t="b">
        <f>U346=V346</f>
        <v>0</v>
      </c>
      <c r="X346" s="13" t="s">
        <v>15</v>
      </c>
      <c r="Y346" s="1"/>
      <c r="Z346" s="1"/>
      <c r="AA346" s="61">
        <v>22003423</v>
      </c>
      <c r="AB346" s="10" t="s">
        <v>1410</v>
      </c>
      <c r="AD346" s="11" t="b">
        <f>AB346=AC346</f>
        <v>0</v>
      </c>
      <c r="AE346" s="10" t="s">
        <v>761</v>
      </c>
      <c r="AF346" s="1"/>
      <c r="AG346" s="11" t="b">
        <f>AE346=AF346</f>
        <v>0</v>
      </c>
      <c r="AH346" s="1">
        <v>15</v>
      </c>
      <c r="AI346" s="1">
        <v>11.71</v>
      </c>
      <c r="AJ346" s="16">
        <f>AI346*180/30*30.4375</f>
        <v>2138.5387500000002</v>
      </c>
      <c r="AK346" s="18">
        <v>2138.54</v>
      </c>
      <c r="AL346" s="71" t="s">
        <v>666</v>
      </c>
      <c r="AM346" s="19" t="b">
        <f>AL346=O346</f>
        <v>1</v>
      </c>
      <c r="AN346" s="7">
        <f>VLOOKUP(A346,'base ZITRHR129'!$G$1:$H$628,2,0)</f>
        <v>30041337</v>
      </c>
      <c r="AO346" s="7" t="b">
        <f>AN346=R346</f>
        <v>1</v>
      </c>
      <c r="AP346" s="7">
        <f>VLOOKUP(A346,'base ZITRHR129'!G286:W912,17,0)</f>
        <v>2138.54</v>
      </c>
      <c r="AQ346" s="7" t="b">
        <f>AP346=AK346</f>
        <v>1</v>
      </c>
      <c r="AR346" s="78"/>
    </row>
    <row r="347" spans="1:44" s="7" customFormat="1" x14ac:dyDescent="0.25">
      <c r="A347" s="7">
        <v>10050070</v>
      </c>
      <c r="B347" s="8" t="s">
        <v>370</v>
      </c>
      <c r="C347" s="8" t="s">
        <v>690</v>
      </c>
      <c r="D347" s="8" t="s">
        <v>717</v>
      </c>
      <c r="E347" s="8" t="s">
        <v>726</v>
      </c>
      <c r="F347" s="8" t="s">
        <v>1406</v>
      </c>
      <c r="G347" s="8" t="s">
        <v>755</v>
      </c>
      <c r="H347" s="9">
        <v>15</v>
      </c>
      <c r="I347" s="8" t="s">
        <v>663</v>
      </c>
      <c r="J347" s="8" t="s">
        <v>1118</v>
      </c>
      <c r="K347" s="8" t="s">
        <v>16</v>
      </c>
      <c r="L347" s="8" t="s">
        <v>17</v>
      </c>
      <c r="M347" s="10" t="s">
        <v>690</v>
      </c>
      <c r="N347" s="10" t="s">
        <v>717</v>
      </c>
      <c r="O347" s="10" t="s">
        <v>663</v>
      </c>
      <c r="P347" s="1"/>
      <c r="Q347" s="11" t="b">
        <f>O347=P347</f>
        <v>0</v>
      </c>
      <c r="R347" s="30">
        <v>30041023</v>
      </c>
      <c r="S347" s="1"/>
      <c r="T347" s="11" t="b">
        <f>R347=S347</f>
        <v>0</v>
      </c>
      <c r="U347" s="10" t="s">
        <v>16</v>
      </c>
      <c r="V347" s="1"/>
      <c r="W347" s="11" t="b">
        <f>U347=V347</f>
        <v>0</v>
      </c>
      <c r="X347" s="13" t="s">
        <v>15</v>
      </c>
      <c r="Y347" s="1"/>
      <c r="Z347" s="1"/>
      <c r="AA347" s="63">
        <v>22002617</v>
      </c>
      <c r="AB347" s="10" t="s">
        <v>1409</v>
      </c>
      <c r="AD347" s="11" t="b">
        <f>AB347=AC347</f>
        <v>0</v>
      </c>
      <c r="AE347" s="10" t="s">
        <v>755</v>
      </c>
      <c r="AF347" s="1"/>
      <c r="AG347" s="11" t="b">
        <f>AE347=AF347</f>
        <v>0</v>
      </c>
      <c r="AH347" s="1">
        <v>15</v>
      </c>
      <c r="AI347" s="1">
        <v>10.02</v>
      </c>
      <c r="AJ347" s="16">
        <f>AI347*220/30*30.4375</f>
        <v>2236.5475000000001</v>
      </c>
      <c r="AK347" s="18">
        <v>2236.5500000000002</v>
      </c>
      <c r="AL347" s="71" t="s">
        <v>663</v>
      </c>
      <c r="AM347" s="19" t="b">
        <f>AL347=O347</f>
        <v>1</v>
      </c>
      <c r="AN347" s="7">
        <f>VLOOKUP(A347,'base ZITRHR129'!$G$1:$H$628,2,0)</f>
        <v>30041023</v>
      </c>
      <c r="AO347" s="7" t="b">
        <f>AN347=R347</f>
        <v>1</v>
      </c>
      <c r="AP347" s="7">
        <f>VLOOKUP(A347,'base ZITRHR129'!G285:W911,17,0)</f>
        <v>2236.5500000000002</v>
      </c>
      <c r="AQ347" s="7" t="b">
        <f>AP347=AK347</f>
        <v>1</v>
      </c>
      <c r="AR347" s="78"/>
    </row>
    <row r="348" spans="1:44" s="7" customFormat="1" x14ac:dyDescent="0.25">
      <c r="A348" s="7">
        <v>10050071</v>
      </c>
      <c r="B348" s="8" t="s">
        <v>371</v>
      </c>
      <c r="C348" s="8" t="s">
        <v>687</v>
      </c>
      <c r="D348" s="8" t="s">
        <v>717</v>
      </c>
      <c r="E348" s="8" t="s">
        <v>724</v>
      </c>
      <c r="F348" s="8" t="s">
        <v>1406</v>
      </c>
      <c r="G348" s="8" t="s">
        <v>21</v>
      </c>
      <c r="H348" s="9">
        <v>16</v>
      </c>
      <c r="I348" s="8" t="s">
        <v>660</v>
      </c>
      <c r="J348" s="8" t="s">
        <v>1119</v>
      </c>
      <c r="K348" s="8" t="s">
        <v>16</v>
      </c>
      <c r="L348" s="8" t="s">
        <v>17</v>
      </c>
      <c r="M348" s="10" t="s">
        <v>687</v>
      </c>
      <c r="N348" s="10" t="s">
        <v>717</v>
      </c>
      <c r="O348" s="10" t="s">
        <v>660</v>
      </c>
      <c r="P348" s="1"/>
      <c r="Q348" s="11" t="b">
        <f>O348=P348</f>
        <v>0</v>
      </c>
      <c r="R348" s="30">
        <v>30041024</v>
      </c>
      <c r="S348" s="1"/>
      <c r="T348" s="11" t="b">
        <f>R348=S348</f>
        <v>0</v>
      </c>
      <c r="U348" s="10" t="s">
        <v>16</v>
      </c>
      <c r="V348" s="1"/>
      <c r="W348" s="11" t="b">
        <f>U348=V348</f>
        <v>0</v>
      </c>
      <c r="X348" s="13" t="s">
        <v>15</v>
      </c>
      <c r="Y348" s="1"/>
      <c r="Z348" s="1"/>
      <c r="AA348" s="10">
        <v>22002616</v>
      </c>
      <c r="AB348" s="10" t="s">
        <v>1409</v>
      </c>
      <c r="AD348" s="11" t="b">
        <f>AB348=AC348</f>
        <v>0</v>
      </c>
      <c r="AE348" s="10" t="s">
        <v>21</v>
      </c>
      <c r="AF348" s="1"/>
      <c r="AG348" s="11" t="b">
        <f>AE348=AF348</f>
        <v>0</v>
      </c>
      <c r="AH348" s="1">
        <v>16</v>
      </c>
      <c r="AI348" s="1">
        <v>11.71</v>
      </c>
      <c r="AJ348" s="16">
        <f>AI348*220/30*30.4375</f>
        <v>2613.7695833333337</v>
      </c>
      <c r="AK348" s="18">
        <v>2613.77</v>
      </c>
      <c r="AL348" s="71" t="s">
        <v>660</v>
      </c>
      <c r="AM348" s="19" t="b">
        <f>AL348=O348</f>
        <v>1</v>
      </c>
      <c r="AN348" s="7">
        <f>VLOOKUP(A348,'base ZITRHR129'!$G$1:$H$628,2,0)</f>
        <v>30041024</v>
      </c>
      <c r="AO348" s="7" t="b">
        <f>AN348=R348</f>
        <v>1</v>
      </c>
      <c r="AP348" s="7">
        <f>VLOOKUP(A348,'base ZITRHR129'!G284:W910,17,0)</f>
        <v>2613.77</v>
      </c>
      <c r="AQ348" s="7" t="b">
        <f>AP348=AK348</f>
        <v>1</v>
      </c>
      <c r="AR348" s="78"/>
    </row>
    <row r="349" spans="1:44" s="7" customFormat="1" x14ac:dyDescent="0.25">
      <c r="A349" s="7">
        <v>10050322</v>
      </c>
      <c r="B349" s="8" t="s">
        <v>372</v>
      </c>
      <c r="C349" s="8" t="s">
        <v>690</v>
      </c>
      <c r="D349" s="8" t="s">
        <v>717</v>
      </c>
      <c r="E349" s="8" t="s">
        <v>726</v>
      </c>
      <c r="F349" s="8" t="s">
        <v>1406</v>
      </c>
      <c r="G349" s="8" t="s">
        <v>755</v>
      </c>
      <c r="H349" s="9">
        <v>15</v>
      </c>
      <c r="I349" s="8" t="s">
        <v>663</v>
      </c>
      <c r="J349" s="8" t="s">
        <v>1120</v>
      </c>
      <c r="K349" s="8" t="s">
        <v>16</v>
      </c>
      <c r="L349" s="8" t="s">
        <v>17</v>
      </c>
      <c r="M349" s="10" t="s">
        <v>690</v>
      </c>
      <c r="N349" s="10" t="s">
        <v>717</v>
      </c>
      <c r="O349" s="10" t="s">
        <v>663</v>
      </c>
      <c r="P349" s="1"/>
      <c r="Q349" s="11" t="b">
        <f>O349=P349</f>
        <v>0</v>
      </c>
      <c r="R349" s="30">
        <v>30041025</v>
      </c>
      <c r="S349" s="1"/>
      <c r="T349" s="11" t="b">
        <f>R349=S349</f>
        <v>0</v>
      </c>
      <c r="U349" s="10" t="s">
        <v>16</v>
      </c>
      <c r="V349" s="1"/>
      <c r="W349" s="11" t="b">
        <f>U349=V349</f>
        <v>0</v>
      </c>
      <c r="X349" s="13" t="s">
        <v>15</v>
      </c>
      <c r="Y349" s="1"/>
      <c r="Z349" s="1"/>
      <c r="AA349" s="10">
        <v>22002617</v>
      </c>
      <c r="AB349" s="10" t="s">
        <v>1409</v>
      </c>
      <c r="AD349" s="11" t="b">
        <f>AB349=AC349</f>
        <v>0</v>
      </c>
      <c r="AE349" s="10" t="s">
        <v>755</v>
      </c>
      <c r="AF349" s="1"/>
      <c r="AG349" s="11" t="b">
        <f>AE349=AF349</f>
        <v>0</v>
      </c>
      <c r="AH349" s="1">
        <v>15</v>
      </c>
      <c r="AI349" s="1">
        <v>9.4499999999999993</v>
      </c>
      <c r="AJ349" s="16">
        <f>AI349*220/30*30.4375</f>
        <v>2109.3187499999999</v>
      </c>
      <c r="AK349" s="18">
        <v>2109.3200000000002</v>
      </c>
      <c r="AL349" s="71" t="s">
        <v>663</v>
      </c>
      <c r="AM349" s="19" t="b">
        <f>AL349=O349</f>
        <v>1</v>
      </c>
      <c r="AN349" s="7">
        <f>VLOOKUP(A349,'base ZITRHR129'!$G$1:$H$628,2,0)</f>
        <v>30041025</v>
      </c>
      <c r="AO349" s="7" t="b">
        <f>AN349=R349</f>
        <v>1</v>
      </c>
      <c r="AP349" s="7">
        <f>VLOOKUP(A349,'base ZITRHR129'!G283:W909,17,0)</f>
        <v>2109.3200000000002</v>
      </c>
      <c r="AQ349" s="7" t="b">
        <f>AP349=AK349</f>
        <v>1</v>
      </c>
      <c r="AR349" s="78"/>
    </row>
    <row r="350" spans="1:44" s="7" customFormat="1" x14ac:dyDescent="0.25">
      <c r="A350" s="7">
        <v>10050575</v>
      </c>
      <c r="B350" s="8" t="s">
        <v>373</v>
      </c>
      <c r="C350" s="8" t="s">
        <v>683</v>
      </c>
      <c r="D350" s="8" t="s">
        <v>717</v>
      </c>
      <c r="E350" s="8" t="s">
        <v>722</v>
      </c>
      <c r="F350" s="8" t="s">
        <v>1406</v>
      </c>
      <c r="G350" s="8" t="s">
        <v>753</v>
      </c>
      <c r="H350" s="9">
        <v>19</v>
      </c>
      <c r="I350" s="8" t="s">
        <v>656</v>
      </c>
      <c r="J350" s="8" t="s">
        <v>1121</v>
      </c>
      <c r="K350" s="8" t="s">
        <v>6</v>
      </c>
      <c r="L350" s="8" t="s">
        <v>17</v>
      </c>
      <c r="M350" s="10" t="s">
        <v>683</v>
      </c>
      <c r="N350" s="10" t="s">
        <v>717</v>
      </c>
      <c r="O350" s="10" t="s">
        <v>656</v>
      </c>
      <c r="P350" s="1"/>
      <c r="Q350" s="11" t="b">
        <f>O350=P350</f>
        <v>0</v>
      </c>
      <c r="R350" s="30">
        <v>30041026</v>
      </c>
      <c r="S350" s="1"/>
      <c r="T350" s="11" t="b">
        <f>R350=S350</f>
        <v>0</v>
      </c>
      <c r="U350" s="10" t="s">
        <v>6</v>
      </c>
      <c r="V350" s="1"/>
      <c r="W350" s="11" t="b">
        <f>U350=V350</f>
        <v>0</v>
      </c>
      <c r="X350" s="13" t="s">
        <v>15</v>
      </c>
      <c r="Y350" s="1"/>
      <c r="Z350" s="1"/>
      <c r="AA350" s="63">
        <v>22002695</v>
      </c>
      <c r="AB350" s="10" t="s">
        <v>1409</v>
      </c>
      <c r="AD350" s="11" t="b">
        <f>AB350=AC350</f>
        <v>0</v>
      </c>
      <c r="AE350" s="10" t="s">
        <v>753</v>
      </c>
      <c r="AF350" s="1"/>
      <c r="AG350" s="11" t="b">
        <f>AE350=AF350</f>
        <v>0</v>
      </c>
      <c r="AH350" s="1">
        <v>19</v>
      </c>
      <c r="AI350" s="1">
        <v>14.91</v>
      </c>
      <c r="AJ350" s="16">
        <f>AI350*220/30*30.4375</f>
        <v>3328.0362499999997</v>
      </c>
      <c r="AK350" s="18">
        <v>3328.04</v>
      </c>
      <c r="AL350" s="71" t="s">
        <v>656</v>
      </c>
      <c r="AM350" s="19" t="b">
        <f>AL350=O350</f>
        <v>1</v>
      </c>
      <c r="AN350" s="7">
        <f>VLOOKUP(A350,'base ZITRHR129'!$G$1:$H$628,2,0)</f>
        <v>30041026</v>
      </c>
      <c r="AO350" s="7" t="b">
        <f>AN350=R350</f>
        <v>1</v>
      </c>
      <c r="AP350" s="7">
        <f>VLOOKUP(A350,'base ZITRHR129'!G282:W908,17,0)</f>
        <v>3328.04</v>
      </c>
      <c r="AQ350" s="7" t="b">
        <f>AP350=AK350</f>
        <v>1</v>
      </c>
      <c r="AR350" s="78"/>
    </row>
    <row r="351" spans="1:44" s="7" customFormat="1" x14ac:dyDescent="0.25">
      <c r="A351" s="7">
        <v>10050594</v>
      </c>
      <c r="B351" s="8" t="s">
        <v>374</v>
      </c>
      <c r="C351" s="8" t="s">
        <v>691</v>
      </c>
      <c r="D351" s="8" t="s">
        <v>717</v>
      </c>
      <c r="E351" s="8" t="s">
        <v>727</v>
      </c>
      <c r="F351" s="8" t="s">
        <v>1406</v>
      </c>
      <c r="G351" s="8" t="s">
        <v>756</v>
      </c>
      <c r="H351" s="9">
        <v>17</v>
      </c>
      <c r="I351" s="8" t="s">
        <v>664</v>
      </c>
      <c r="J351" s="8" t="s">
        <v>1122</v>
      </c>
      <c r="K351" s="8" t="s">
        <v>16</v>
      </c>
      <c r="L351" s="8" t="s">
        <v>17</v>
      </c>
      <c r="M351" s="10" t="s">
        <v>691</v>
      </c>
      <c r="N351" s="10" t="s">
        <v>717</v>
      </c>
      <c r="O351" s="10" t="s">
        <v>664</v>
      </c>
      <c r="P351" s="1"/>
      <c r="Q351" s="11" t="b">
        <f>O351=P351</f>
        <v>0</v>
      </c>
      <c r="R351" s="30">
        <v>30041027</v>
      </c>
      <c r="S351" s="1"/>
      <c r="T351" s="11" t="b">
        <f>R351=S351</f>
        <v>0</v>
      </c>
      <c r="U351" s="10" t="s">
        <v>16</v>
      </c>
      <c r="V351" s="1"/>
      <c r="W351" s="11" t="b">
        <f>U351=V351</f>
        <v>0</v>
      </c>
      <c r="X351" s="13" t="s">
        <v>15</v>
      </c>
      <c r="Y351" s="1"/>
      <c r="Z351" s="1"/>
      <c r="AA351" s="10">
        <v>22003017</v>
      </c>
      <c r="AB351" s="10" t="s">
        <v>1409</v>
      </c>
      <c r="AD351" s="11" t="b">
        <f>AB351=AC351</f>
        <v>0</v>
      </c>
      <c r="AE351" s="10" t="s">
        <v>756</v>
      </c>
      <c r="AF351" s="1"/>
      <c r="AG351" s="11" t="b">
        <f>AE351=AF351</f>
        <v>0</v>
      </c>
      <c r="AH351" s="1">
        <v>17</v>
      </c>
      <c r="AI351" s="1">
        <v>10.3</v>
      </c>
      <c r="AJ351" s="16">
        <f>AI351*220/30*30.4375</f>
        <v>2299.0458333333331</v>
      </c>
      <c r="AK351" s="18">
        <v>2299.0500000000002</v>
      </c>
      <c r="AL351" s="71" t="s">
        <v>664</v>
      </c>
      <c r="AM351" s="19" t="b">
        <f>AL351=O351</f>
        <v>1</v>
      </c>
      <c r="AN351" s="7">
        <f>VLOOKUP(A351,'base ZITRHR129'!$G$1:$H$628,2,0)</f>
        <v>30041027</v>
      </c>
      <c r="AO351" s="7" t="b">
        <f>AN351=R351</f>
        <v>1</v>
      </c>
      <c r="AP351" s="7">
        <f>VLOOKUP(A351,'base ZITRHR129'!G281:W907,17,0)</f>
        <v>2299.0500000000002</v>
      </c>
      <c r="AQ351" s="7" t="b">
        <f>AP351=AK351</f>
        <v>1</v>
      </c>
      <c r="AR351" s="78"/>
    </row>
    <row r="352" spans="1:44" s="7" customFormat="1" x14ac:dyDescent="0.25">
      <c r="A352" s="7">
        <v>10050603</v>
      </c>
      <c r="B352" s="8" t="s">
        <v>375</v>
      </c>
      <c r="C352" s="8" t="s">
        <v>689</v>
      </c>
      <c r="D352" s="8" t="s">
        <v>717</v>
      </c>
      <c r="E352" s="8" t="s">
        <v>730</v>
      </c>
      <c r="F352" s="8" t="s">
        <v>1406</v>
      </c>
      <c r="G352" s="8" t="s">
        <v>759</v>
      </c>
      <c r="H352" s="9">
        <v>17</v>
      </c>
      <c r="I352" s="8" t="s">
        <v>662</v>
      </c>
      <c r="J352" s="8" t="s">
        <v>1123</v>
      </c>
      <c r="K352" s="8" t="s">
        <v>16</v>
      </c>
      <c r="L352" s="8" t="s">
        <v>17</v>
      </c>
      <c r="M352" s="10" t="s">
        <v>689</v>
      </c>
      <c r="N352" s="10" t="s">
        <v>717</v>
      </c>
      <c r="O352" s="10" t="s">
        <v>662</v>
      </c>
      <c r="P352" s="1"/>
      <c r="Q352" s="11" t="b">
        <f>O352=P352</f>
        <v>0</v>
      </c>
      <c r="R352" s="30">
        <v>30041028</v>
      </c>
      <c r="S352" s="1"/>
      <c r="T352" s="11" t="b">
        <f>R352=S352</f>
        <v>0</v>
      </c>
      <c r="U352" s="10" t="s">
        <v>16</v>
      </c>
      <c r="V352" s="1"/>
      <c r="W352" s="11" t="b">
        <f>U352=V352</f>
        <v>0</v>
      </c>
      <c r="X352" s="13" t="s">
        <v>15</v>
      </c>
      <c r="Y352" s="1"/>
      <c r="Z352" s="1"/>
      <c r="AA352" s="10">
        <v>22002605</v>
      </c>
      <c r="AB352" s="10" t="s">
        <v>1409</v>
      </c>
      <c r="AD352" s="11" t="b">
        <f>AB352=AC352</f>
        <v>0</v>
      </c>
      <c r="AE352" s="10" t="s">
        <v>759</v>
      </c>
      <c r="AF352" s="1"/>
      <c r="AG352" s="11" t="b">
        <f>AE352=AF352</f>
        <v>0</v>
      </c>
      <c r="AH352" s="1">
        <v>17</v>
      </c>
      <c r="AI352" s="1">
        <v>14.04</v>
      </c>
      <c r="AJ352" s="16">
        <f>AI352*220/30*30.4375</f>
        <v>3133.8449999999998</v>
      </c>
      <c r="AK352" s="18">
        <v>3133.85</v>
      </c>
      <c r="AL352" s="71" t="s">
        <v>662</v>
      </c>
      <c r="AM352" s="19" t="b">
        <f>AL352=O352</f>
        <v>1</v>
      </c>
      <c r="AN352" s="7">
        <f>VLOOKUP(A352,'base ZITRHR129'!$G$1:$H$628,2,0)</f>
        <v>30041028</v>
      </c>
      <c r="AO352" s="7" t="b">
        <f>AN352=R352</f>
        <v>1</v>
      </c>
      <c r="AP352" s="7">
        <f>VLOOKUP(A352,'base ZITRHR129'!G280:W906,17,0)</f>
        <v>3133.85</v>
      </c>
      <c r="AQ352" s="7" t="b">
        <f>AP352=AK352</f>
        <v>1</v>
      </c>
      <c r="AR352" s="78"/>
    </row>
    <row r="353" spans="1:44" s="7" customFormat="1" x14ac:dyDescent="0.25">
      <c r="A353" s="7">
        <v>10050742</v>
      </c>
      <c r="B353" s="8" t="s">
        <v>376</v>
      </c>
      <c r="C353" s="8" t="s">
        <v>710</v>
      </c>
      <c r="D353" s="8" t="s">
        <v>717</v>
      </c>
      <c r="E353" s="8" t="s">
        <v>737</v>
      </c>
      <c r="F353" s="8" t="s">
        <v>1406</v>
      </c>
      <c r="G353" s="8" t="s">
        <v>765</v>
      </c>
      <c r="H353" s="9">
        <v>14</v>
      </c>
      <c r="I353" s="8" t="s">
        <v>674</v>
      </c>
      <c r="J353" s="8" t="s">
        <v>1124</v>
      </c>
      <c r="K353" s="8" t="s">
        <v>16</v>
      </c>
      <c r="L353" s="8" t="s">
        <v>17</v>
      </c>
      <c r="M353" s="10" t="s">
        <v>710</v>
      </c>
      <c r="N353" s="10" t="s">
        <v>717</v>
      </c>
      <c r="O353" s="10" t="s">
        <v>674</v>
      </c>
      <c r="P353" s="1"/>
      <c r="Q353" s="11" t="b">
        <f>O353=P353</f>
        <v>0</v>
      </c>
      <c r="R353" s="30">
        <v>30041029</v>
      </c>
      <c r="S353" s="1"/>
      <c r="T353" s="11" t="b">
        <f>R353=S353</f>
        <v>0</v>
      </c>
      <c r="U353" s="10" t="s">
        <v>16</v>
      </c>
      <c r="V353" s="1"/>
      <c r="W353" s="11" t="b">
        <f>U353=V353</f>
        <v>0</v>
      </c>
      <c r="X353" s="13" t="s">
        <v>15</v>
      </c>
      <c r="Y353" s="1"/>
      <c r="Z353" s="1"/>
      <c r="AA353" s="10">
        <v>22002830</v>
      </c>
      <c r="AB353" s="10" t="s">
        <v>1409</v>
      </c>
      <c r="AD353" s="11" t="b">
        <f>AB353=AC353</f>
        <v>0</v>
      </c>
      <c r="AE353" s="10" t="s">
        <v>765</v>
      </c>
      <c r="AF353" s="1"/>
      <c r="AG353" s="11" t="b">
        <f>AE353=AF353</f>
        <v>0</v>
      </c>
      <c r="AH353" s="1">
        <v>14</v>
      </c>
      <c r="AI353" s="1">
        <v>8.59</v>
      </c>
      <c r="AJ353" s="16">
        <f>AI353*220/30*30.4375</f>
        <v>1917.3595833333334</v>
      </c>
      <c r="AK353" s="18">
        <v>1917.36</v>
      </c>
      <c r="AL353" s="71" t="s">
        <v>674</v>
      </c>
      <c r="AM353" s="19" t="b">
        <f>AL353=O353</f>
        <v>1</v>
      </c>
      <c r="AN353" s="7">
        <f>VLOOKUP(A353,'base ZITRHR129'!$G$1:$H$628,2,0)</f>
        <v>30041029</v>
      </c>
      <c r="AO353" s="7" t="b">
        <f>AN353=R353</f>
        <v>1</v>
      </c>
      <c r="AP353" s="7">
        <f>VLOOKUP(A353,'base ZITRHR129'!G279:W905,17,0)</f>
        <v>1917.36</v>
      </c>
      <c r="AQ353" s="7" t="b">
        <f>AP353=AK353</f>
        <v>1</v>
      </c>
      <c r="AR353" s="78"/>
    </row>
    <row r="354" spans="1:44" s="7" customFormat="1" x14ac:dyDescent="0.25">
      <c r="A354" s="7">
        <v>10050814</v>
      </c>
      <c r="B354" s="8" t="s">
        <v>377</v>
      </c>
      <c r="C354" s="8" t="s">
        <v>701</v>
      </c>
      <c r="D354" s="8" t="s">
        <v>717</v>
      </c>
      <c r="E354" s="8" t="s">
        <v>728</v>
      </c>
      <c r="F354" s="8" t="s">
        <v>1406</v>
      </c>
      <c r="G354" s="8" t="s">
        <v>757</v>
      </c>
      <c r="H354" s="9">
        <v>13</v>
      </c>
      <c r="I354" s="8" t="s">
        <v>668</v>
      </c>
      <c r="J354" s="8" t="s">
        <v>1125</v>
      </c>
      <c r="K354" s="8" t="s">
        <v>16</v>
      </c>
      <c r="L354" s="8" t="s">
        <v>17</v>
      </c>
      <c r="M354" s="10" t="s">
        <v>701</v>
      </c>
      <c r="N354" s="10" t="s">
        <v>717</v>
      </c>
      <c r="O354" s="10" t="s">
        <v>668</v>
      </c>
      <c r="P354" s="1"/>
      <c r="Q354" s="11" t="b">
        <f>O354=P354</f>
        <v>0</v>
      </c>
      <c r="R354" s="30">
        <v>30041030</v>
      </c>
      <c r="S354" s="1"/>
      <c r="T354" s="11" t="b">
        <f>R354=S354</f>
        <v>0</v>
      </c>
      <c r="U354" s="10" t="s">
        <v>16</v>
      </c>
      <c r="V354" s="1"/>
      <c r="W354" s="11" t="b">
        <f>U354=V354</f>
        <v>0</v>
      </c>
      <c r="X354" s="13" t="s">
        <v>15</v>
      </c>
      <c r="Y354" s="1"/>
      <c r="Z354" s="1"/>
      <c r="AA354" s="14">
        <v>22000878</v>
      </c>
      <c r="AB354" s="10" t="s">
        <v>1409</v>
      </c>
      <c r="AD354" s="11" t="b">
        <f>AB354=AC354</f>
        <v>0</v>
      </c>
      <c r="AE354" s="10" t="s">
        <v>757</v>
      </c>
      <c r="AF354" s="1"/>
      <c r="AG354" s="11" t="b">
        <f>AE354=AF354</f>
        <v>0</v>
      </c>
      <c r="AH354" s="1">
        <v>13</v>
      </c>
      <c r="AI354" s="1">
        <v>7.37</v>
      </c>
      <c r="AJ354" s="16">
        <f>AI354*220/30*30.4375</f>
        <v>1645.0454166666666</v>
      </c>
      <c r="AK354" s="18">
        <v>1645.05</v>
      </c>
      <c r="AL354" s="71" t="s">
        <v>668</v>
      </c>
      <c r="AM354" s="19" t="b">
        <f>AL354=O354</f>
        <v>1</v>
      </c>
      <c r="AN354" s="7">
        <f>VLOOKUP(A354,'base ZITRHR129'!$G$1:$H$628,2,0)</f>
        <v>30041030</v>
      </c>
      <c r="AO354" s="7" t="b">
        <f>AN354=R354</f>
        <v>1</v>
      </c>
      <c r="AP354" s="7">
        <f>VLOOKUP(A354,'base ZITRHR129'!G278:W904,17,0)</f>
        <v>1645.05</v>
      </c>
      <c r="AQ354" s="7" t="b">
        <f>AP354=AK354</f>
        <v>1</v>
      </c>
      <c r="AR354" s="78"/>
    </row>
    <row r="355" spans="1:44" s="7" customFormat="1" x14ac:dyDescent="0.25">
      <c r="A355" s="7">
        <v>10050824</v>
      </c>
      <c r="B355" s="8" t="s">
        <v>378</v>
      </c>
      <c r="C355" s="8" t="s">
        <v>687</v>
      </c>
      <c r="D355" s="8" t="s">
        <v>717</v>
      </c>
      <c r="E355" s="8" t="s">
        <v>737</v>
      </c>
      <c r="F355" s="8" t="s">
        <v>1406</v>
      </c>
      <c r="G355" s="8" t="s">
        <v>765</v>
      </c>
      <c r="H355" s="9">
        <v>14</v>
      </c>
      <c r="I355" s="8" t="s">
        <v>660</v>
      </c>
      <c r="J355" s="8" t="s">
        <v>1126</v>
      </c>
      <c r="K355" s="8" t="s">
        <v>16</v>
      </c>
      <c r="L355" s="8" t="s">
        <v>17</v>
      </c>
      <c r="M355" s="10" t="s">
        <v>687</v>
      </c>
      <c r="N355" s="10" t="s">
        <v>717</v>
      </c>
      <c r="O355" s="10" t="s">
        <v>660</v>
      </c>
      <c r="P355" s="1"/>
      <c r="Q355" s="11" t="b">
        <f>O355=P355</f>
        <v>0</v>
      </c>
      <c r="R355" s="30">
        <v>30041031</v>
      </c>
      <c r="S355" s="1"/>
      <c r="T355" s="11" t="b">
        <f>R355=S355</f>
        <v>0</v>
      </c>
      <c r="U355" s="10" t="s">
        <v>16</v>
      </c>
      <c r="V355" s="1"/>
      <c r="W355" s="11" t="b">
        <f>U355=V355</f>
        <v>0</v>
      </c>
      <c r="X355" s="13" t="s">
        <v>15</v>
      </c>
      <c r="Y355" s="1"/>
      <c r="Z355" s="1"/>
      <c r="AA355" s="10">
        <v>22002830</v>
      </c>
      <c r="AB355" s="10" t="s">
        <v>1409</v>
      </c>
      <c r="AD355" s="11" t="b">
        <f>AB355=AC355</f>
        <v>0</v>
      </c>
      <c r="AE355" s="10" t="s">
        <v>765</v>
      </c>
      <c r="AF355" s="1"/>
      <c r="AG355" s="11" t="b">
        <f>AE355=AF355</f>
        <v>0</v>
      </c>
      <c r="AH355" s="1">
        <v>14</v>
      </c>
      <c r="AI355" s="1">
        <v>8.59</v>
      </c>
      <c r="AJ355" s="16">
        <f>AI355*220/30*30.4375</f>
        <v>1917.3595833333334</v>
      </c>
      <c r="AK355" s="18">
        <v>1917.36</v>
      </c>
      <c r="AL355" s="71" t="s">
        <v>660</v>
      </c>
      <c r="AM355" s="19" t="b">
        <f>AL355=O355</f>
        <v>1</v>
      </c>
      <c r="AN355" s="7">
        <f>VLOOKUP(A355,'base ZITRHR129'!$G$1:$H$628,2,0)</f>
        <v>30041031</v>
      </c>
      <c r="AO355" s="7" t="b">
        <f>AN355=R355</f>
        <v>1</v>
      </c>
      <c r="AP355" s="7">
        <f>VLOOKUP(A355,'base ZITRHR129'!G277:W903,17,0)</f>
        <v>1917.36</v>
      </c>
      <c r="AQ355" s="7" t="b">
        <f>AP355=AK355</f>
        <v>1</v>
      </c>
      <c r="AR355" s="78"/>
    </row>
    <row r="356" spans="1:44" s="7" customFormat="1" x14ac:dyDescent="0.25">
      <c r="A356" s="7">
        <v>10050908</v>
      </c>
      <c r="B356" s="8" t="s">
        <v>379</v>
      </c>
      <c r="C356" s="8" t="s">
        <v>694</v>
      </c>
      <c r="D356" s="8" t="s">
        <v>717</v>
      </c>
      <c r="E356" s="8" t="s">
        <v>730</v>
      </c>
      <c r="F356" s="8" t="s">
        <v>1406</v>
      </c>
      <c r="G356" s="8" t="s">
        <v>759</v>
      </c>
      <c r="H356" s="9">
        <v>17</v>
      </c>
      <c r="I356" s="8" t="s">
        <v>667</v>
      </c>
      <c r="J356" s="8" t="s">
        <v>1127</v>
      </c>
      <c r="K356" s="8" t="s">
        <v>16</v>
      </c>
      <c r="L356" s="8" t="s">
        <v>17</v>
      </c>
      <c r="M356" s="10" t="s">
        <v>694</v>
      </c>
      <c r="N356" s="10" t="s">
        <v>717</v>
      </c>
      <c r="O356" s="10" t="s">
        <v>667</v>
      </c>
      <c r="P356" s="1"/>
      <c r="Q356" s="11" t="b">
        <f>O356=P356</f>
        <v>0</v>
      </c>
      <c r="R356" s="30">
        <v>30041032</v>
      </c>
      <c r="S356" s="1"/>
      <c r="T356" s="11" t="b">
        <f>R356=S356</f>
        <v>0</v>
      </c>
      <c r="U356" s="10" t="s">
        <v>16</v>
      </c>
      <c r="V356" s="1"/>
      <c r="W356" s="11" t="b">
        <f>U356=V356</f>
        <v>0</v>
      </c>
      <c r="X356" s="13" t="s">
        <v>15</v>
      </c>
      <c r="Y356" s="1"/>
      <c r="Z356" s="1"/>
      <c r="AA356" s="10">
        <v>22002605</v>
      </c>
      <c r="AB356" s="10" t="s">
        <v>1409</v>
      </c>
      <c r="AD356" s="11" t="b">
        <f>AB356=AC356</f>
        <v>0</v>
      </c>
      <c r="AE356" s="10" t="s">
        <v>759</v>
      </c>
      <c r="AF356" s="1"/>
      <c r="AG356" s="11" t="b">
        <f>AE356=AF356</f>
        <v>0</v>
      </c>
      <c r="AH356" s="1">
        <v>17</v>
      </c>
      <c r="AI356" s="1">
        <v>14.04</v>
      </c>
      <c r="AJ356" s="16">
        <f>AI356*220/30*30.4375</f>
        <v>3133.8449999999998</v>
      </c>
      <c r="AK356" s="18">
        <v>3133.85</v>
      </c>
      <c r="AL356" s="71" t="s">
        <v>667</v>
      </c>
      <c r="AM356" s="19" t="b">
        <f>AL356=O356</f>
        <v>1</v>
      </c>
      <c r="AN356" s="7">
        <f>VLOOKUP(A356,'base ZITRHR129'!$G$1:$H$628,2,0)</f>
        <v>30041032</v>
      </c>
      <c r="AO356" s="7" t="b">
        <f>AN356=R356</f>
        <v>1</v>
      </c>
      <c r="AP356" s="7">
        <f>VLOOKUP(A356,'base ZITRHR129'!G276:W902,17,0)</f>
        <v>3133.85</v>
      </c>
      <c r="AQ356" s="7" t="b">
        <f>AP356=AK356</f>
        <v>1</v>
      </c>
      <c r="AR356" s="78"/>
    </row>
    <row r="357" spans="1:44" s="7" customFormat="1" x14ac:dyDescent="0.25">
      <c r="A357" s="7">
        <v>10050909</v>
      </c>
      <c r="B357" s="8" t="s">
        <v>380</v>
      </c>
      <c r="C357" s="8" t="s">
        <v>679</v>
      </c>
      <c r="D357" s="8" t="s">
        <v>717</v>
      </c>
      <c r="E357" s="8" t="s">
        <v>720</v>
      </c>
      <c r="F357" s="8" t="s">
        <v>1406</v>
      </c>
      <c r="G357" s="8" t="s">
        <v>751</v>
      </c>
      <c r="H357" s="9">
        <v>18</v>
      </c>
      <c r="I357" s="8" t="s">
        <v>653</v>
      </c>
      <c r="J357" s="8" t="s">
        <v>1128</v>
      </c>
      <c r="K357" s="8" t="s">
        <v>16</v>
      </c>
      <c r="L357" s="8" t="s">
        <v>17</v>
      </c>
      <c r="M357" s="10" t="s">
        <v>679</v>
      </c>
      <c r="N357" s="10" t="s">
        <v>717</v>
      </c>
      <c r="O357" s="10" t="s">
        <v>653</v>
      </c>
      <c r="P357" s="1"/>
      <c r="Q357" s="11" t="b">
        <f>O357=P357</f>
        <v>0</v>
      </c>
      <c r="R357" s="30">
        <v>30041033</v>
      </c>
      <c r="S357" s="1"/>
      <c r="T357" s="11" t="b">
        <f>R357=S357</f>
        <v>0</v>
      </c>
      <c r="U357" s="10" t="s">
        <v>16</v>
      </c>
      <c r="V357" s="1"/>
      <c r="W357" s="11" t="b">
        <f>U357=V357</f>
        <v>0</v>
      </c>
      <c r="X357" s="13" t="s">
        <v>15</v>
      </c>
      <c r="Y357" s="1"/>
      <c r="Z357" s="1"/>
      <c r="AA357" s="10">
        <v>22003015</v>
      </c>
      <c r="AB357" s="10" t="s">
        <v>1409</v>
      </c>
      <c r="AD357" s="11" t="b">
        <f>AB357=AC357</f>
        <v>0</v>
      </c>
      <c r="AE357" s="10" t="s">
        <v>751</v>
      </c>
      <c r="AF357" s="1"/>
      <c r="AG357" s="11" t="b">
        <f>AE357=AF357</f>
        <v>0</v>
      </c>
      <c r="AH357" s="1">
        <v>18</v>
      </c>
      <c r="AI357" s="1">
        <v>15.62</v>
      </c>
      <c r="AJ357" s="16">
        <f>AI357*220/30*30.4375</f>
        <v>3486.5141666666664</v>
      </c>
      <c r="AK357" s="18">
        <v>3486.51</v>
      </c>
      <c r="AL357" s="71" t="s">
        <v>653</v>
      </c>
      <c r="AM357" s="19" t="b">
        <f>AL357=O357</f>
        <v>1</v>
      </c>
      <c r="AN357" s="7">
        <f>VLOOKUP(A357,'base ZITRHR129'!$G$1:$H$628,2,0)</f>
        <v>30041033</v>
      </c>
      <c r="AO357" s="7" t="b">
        <f>AN357=R357</f>
        <v>1</v>
      </c>
      <c r="AP357" s="7">
        <f>VLOOKUP(A357,'base ZITRHR129'!G275:W901,17,0)</f>
        <v>3486.51</v>
      </c>
      <c r="AQ357" s="7" t="b">
        <f>AP357=AK357</f>
        <v>1</v>
      </c>
      <c r="AR357" s="78"/>
    </row>
    <row r="358" spans="1:44" s="7" customFormat="1" x14ac:dyDescent="0.25">
      <c r="A358" s="7">
        <v>10050910</v>
      </c>
      <c r="B358" s="8" t="s">
        <v>381</v>
      </c>
      <c r="C358" s="8" t="s">
        <v>679</v>
      </c>
      <c r="D358" s="8" t="s">
        <v>717</v>
      </c>
      <c r="E358" s="8" t="s">
        <v>720</v>
      </c>
      <c r="F358" s="8" t="s">
        <v>1406</v>
      </c>
      <c r="G358" s="8" t="s">
        <v>751</v>
      </c>
      <c r="H358" s="9">
        <v>18</v>
      </c>
      <c r="I358" s="8" t="s">
        <v>653</v>
      </c>
      <c r="J358" s="8" t="s">
        <v>1129</v>
      </c>
      <c r="K358" s="8" t="s">
        <v>16</v>
      </c>
      <c r="L358" s="8" t="s">
        <v>17</v>
      </c>
      <c r="M358" s="10" t="s">
        <v>679</v>
      </c>
      <c r="N358" s="10" t="s">
        <v>717</v>
      </c>
      <c r="O358" s="10" t="s">
        <v>653</v>
      </c>
      <c r="P358" s="1"/>
      <c r="Q358" s="11" t="b">
        <f>O358=P358</f>
        <v>0</v>
      </c>
      <c r="R358" s="30">
        <v>30041034</v>
      </c>
      <c r="S358" s="1"/>
      <c r="T358" s="11" t="b">
        <f>R358=S358</f>
        <v>0</v>
      </c>
      <c r="U358" s="10" t="s">
        <v>16</v>
      </c>
      <c r="V358" s="1"/>
      <c r="W358" s="11" t="b">
        <f>U358=V358</f>
        <v>0</v>
      </c>
      <c r="X358" s="13" t="s">
        <v>15</v>
      </c>
      <c r="Y358" s="1"/>
      <c r="Z358" s="1"/>
      <c r="AA358" s="63">
        <v>22003015</v>
      </c>
      <c r="AB358" s="10" t="s">
        <v>1409</v>
      </c>
      <c r="AD358" s="11" t="b">
        <f>AB358=AC358</f>
        <v>0</v>
      </c>
      <c r="AE358" s="10" t="s">
        <v>751</v>
      </c>
      <c r="AF358" s="1"/>
      <c r="AG358" s="11" t="b">
        <f>AE358=AF358</f>
        <v>0</v>
      </c>
      <c r="AH358" s="1">
        <v>18</v>
      </c>
      <c r="AI358" s="1">
        <v>17.73</v>
      </c>
      <c r="AJ358" s="16">
        <f>AI358*220/30*30.4375</f>
        <v>3957.4837500000003</v>
      </c>
      <c r="AK358" s="18">
        <v>3957.48</v>
      </c>
      <c r="AL358" s="71" t="s">
        <v>653</v>
      </c>
      <c r="AM358" s="19" t="b">
        <f>AL358=O358</f>
        <v>1</v>
      </c>
      <c r="AN358" s="7">
        <f>VLOOKUP(A358,'base ZITRHR129'!$G$1:$H$628,2,0)</f>
        <v>30041034</v>
      </c>
      <c r="AO358" s="7" t="b">
        <f>AN358=R358</f>
        <v>1</v>
      </c>
      <c r="AP358" s="7">
        <f>VLOOKUP(A358,'base ZITRHR129'!G274:W900,17,0)</f>
        <v>3957.48</v>
      </c>
      <c r="AQ358" s="7" t="b">
        <f>AP358=AK358</f>
        <v>1</v>
      </c>
      <c r="AR358" s="78"/>
    </row>
    <row r="359" spans="1:44" s="7" customFormat="1" x14ac:dyDescent="0.25">
      <c r="A359" s="7">
        <v>10051154</v>
      </c>
      <c r="B359" s="8" t="s">
        <v>382</v>
      </c>
      <c r="C359" s="8" t="s">
        <v>680</v>
      </c>
      <c r="D359" s="8" t="s">
        <v>717</v>
      </c>
      <c r="E359" s="8" t="s">
        <v>729</v>
      </c>
      <c r="F359" s="8" t="s">
        <v>1406</v>
      </c>
      <c r="G359" s="8" t="s">
        <v>758</v>
      </c>
      <c r="H359" s="9">
        <v>17</v>
      </c>
      <c r="I359" s="8" t="s">
        <v>654</v>
      </c>
      <c r="J359" s="8" t="s">
        <v>1130</v>
      </c>
      <c r="K359" s="8" t="s">
        <v>16</v>
      </c>
      <c r="L359" s="8" t="s">
        <v>17</v>
      </c>
      <c r="M359" s="10" t="s">
        <v>680</v>
      </c>
      <c r="N359" s="10" t="s">
        <v>717</v>
      </c>
      <c r="O359" s="10" t="s">
        <v>654</v>
      </c>
      <c r="P359" s="1"/>
      <c r="Q359" s="11" t="b">
        <f>O359=P359</f>
        <v>0</v>
      </c>
      <c r="R359" s="30">
        <v>30041035</v>
      </c>
      <c r="S359" s="1"/>
      <c r="T359" s="11" t="b">
        <f>R359=S359</f>
        <v>0</v>
      </c>
      <c r="U359" s="10" t="s">
        <v>16</v>
      </c>
      <c r="V359" s="1"/>
      <c r="W359" s="11" t="b">
        <f>U359=V359</f>
        <v>0</v>
      </c>
      <c r="X359" s="13" t="s">
        <v>15</v>
      </c>
      <c r="Y359" s="1"/>
      <c r="Z359" s="1"/>
      <c r="AA359" s="10">
        <v>22002447</v>
      </c>
      <c r="AB359" s="10" t="s">
        <v>1409</v>
      </c>
      <c r="AD359" s="11" t="b">
        <f>AB359=AC359</f>
        <v>0</v>
      </c>
      <c r="AE359" s="10" t="s">
        <v>758</v>
      </c>
      <c r="AF359" s="1"/>
      <c r="AG359" s="11" t="b">
        <f>AE359=AF359</f>
        <v>0</v>
      </c>
      <c r="AH359" s="1">
        <v>17</v>
      </c>
      <c r="AI359" s="1">
        <v>12.44</v>
      </c>
      <c r="AJ359" s="16">
        <f>AI359*220/30*30.4375</f>
        <v>2776.7116666666666</v>
      </c>
      <c r="AK359" s="18">
        <v>2776.71</v>
      </c>
      <c r="AL359" s="71" t="s">
        <v>654</v>
      </c>
      <c r="AM359" s="19" t="b">
        <f>AL359=O359</f>
        <v>1</v>
      </c>
      <c r="AN359" s="7">
        <f>VLOOKUP(A359,'base ZITRHR129'!$G$1:$H$628,2,0)</f>
        <v>30041035</v>
      </c>
      <c r="AO359" s="7" t="b">
        <f>AN359=R359</f>
        <v>1</v>
      </c>
      <c r="AP359" s="7">
        <f>VLOOKUP(A359,'base ZITRHR129'!G273:W899,17,0)</f>
        <v>2776.71</v>
      </c>
      <c r="AQ359" s="7" t="b">
        <f>AP359=AK359</f>
        <v>1</v>
      </c>
      <c r="AR359" s="78"/>
    </row>
    <row r="360" spans="1:44" s="7" customFormat="1" x14ac:dyDescent="0.25">
      <c r="A360" s="7">
        <v>10051207</v>
      </c>
      <c r="B360" s="8" t="s">
        <v>383</v>
      </c>
      <c r="C360" s="8" t="s">
        <v>690</v>
      </c>
      <c r="D360" s="8" t="s">
        <v>717</v>
      </c>
      <c r="E360" s="8" t="s">
        <v>726</v>
      </c>
      <c r="F360" s="8" t="s">
        <v>1406</v>
      </c>
      <c r="G360" s="8" t="s">
        <v>755</v>
      </c>
      <c r="H360" s="9">
        <v>15</v>
      </c>
      <c r="I360" s="8" t="s">
        <v>663</v>
      </c>
      <c r="J360" s="8" t="s">
        <v>1131</v>
      </c>
      <c r="K360" s="8" t="s">
        <v>16</v>
      </c>
      <c r="L360" s="8" t="s">
        <v>17</v>
      </c>
      <c r="M360" s="10" t="s">
        <v>690</v>
      </c>
      <c r="N360" s="10" t="s">
        <v>717</v>
      </c>
      <c r="O360" s="10" t="s">
        <v>663</v>
      </c>
      <c r="P360" s="1"/>
      <c r="Q360" s="11" t="b">
        <f>O360=P360</f>
        <v>0</v>
      </c>
      <c r="R360" s="30">
        <v>30041036</v>
      </c>
      <c r="S360" s="1"/>
      <c r="T360" s="11" t="b">
        <f>R360=S360</f>
        <v>0</v>
      </c>
      <c r="U360" s="10" t="s">
        <v>16</v>
      </c>
      <c r="V360" s="1"/>
      <c r="W360" s="11" t="b">
        <f>U360=V360</f>
        <v>0</v>
      </c>
      <c r="X360" s="13" t="s">
        <v>15</v>
      </c>
      <c r="Y360" s="1"/>
      <c r="Z360" s="1"/>
      <c r="AA360" s="10">
        <v>22002617</v>
      </c>
      <c r="AB360" s="10" t="s">
        <v>1409</v>
      </c>
      <c r="AD360" s="11" t="b">
        <f>AB360=AC360</f>
        <v>0</v>
      </c>
      <c r="AE360" s="10" t="s">
        <v>755</v>
      </c>
      <c r="AF360" s="1"/>
      <c r="AG360" s="11" t="b">
        <f>AE360=AF360</f>
        <v>0</v>
      </c>
      <c r="AH360" s="1">
        <v>15</v>
      </c>
      <c r="AI360" s="1">
        <v>10.02</v>
      </c>
      <c r="AJ360" s="16">
        <f>AI360*220/30*30.4375</f>
        <v>2236.5475000000001</v>
      </c>
      <c r="AK360" s="18">
        <v>2236.5500000000002</v>
      </c>
      <c r="AL360" s="71" t="s">
        <v>663</v>
      </c>
      <c r="AM360" s="19" t="b">
        <f>AL360=O360</f>
        <v>1</v>
      </c>
      <c r="AN360" s="7">
        <f>VLOOKUP(A360,'base ZITRHR129'!$G$1:$H$628,2,0)</f>
        <v>30041036</v>
      </c>
      <c r="AO360" s="7" t="b">
        <f>AN360=R360</f>
        <v>1</v>
      </c>
      <c r="AP360" s="7">
        <f>VLOOKUP(A360,'base ZITRHR129'!G272:W898,17,0)</f>
        <v>2236.5500000000002</v>
      </c>
      <c r="AQ360" s="7" t="b">
        <f>AP360=AK360</f>
        <v>1</v>
      </c>
      <c r="AR360" s="78"/>
    </row>
    <row r="361" spans="1:44" s="7" customFormat="1" x14ac:dyDescent="0.25">
      <c r="A361" s="7">
        <v>10051211</v>
      </c>
      <c r="B361" s="8" t="s">
        <v>384</v>
      </c>
      <c r="C361" s="8" t="s">
        <v>682</v>
      </c>
      <c r="D361" s="8" t="s">
        <v>717</v>
      </c>
      <c r="E361" s="8" t="s">
        <v>742</v>
      </c>
      <c r="F361" s="8" t="s">
        <v>1406</v>
      </c>
      <c r="G361" s="8" t="s">
        <v>769</v>
      </c>
      <c r="H361" s="9">
        <v>15</v>
      </c>
      <c r="I361" s="8" t="s">
        <v>655</v>
      </c>
      <c r="J361" s="8" t="s">
        <v>1132</v>
      </c>
      <c r="K361" s="8" t="s">
        <v>16</v>
      </c>
      <c r="L361" s="8" t="s">
        <v>17</v>
      </c>
      <c r="M361" s="10" t="s">
        <v>682</v>
      </c>
      <c r="N361" s="10" t="s">
        <v>717</v>
      </c>
      <c r="O361" s="10" t="s">
        <v>655</v>
      </c>
      <c r="P361" s="1"/>
      <c r="Q361" s="11" t="b">
        <f>O361=P361</f>
        <v>0</v>
      </c>
      <c r="R361" s="30">
        <v>30041037</v>
      </c>
      <c r="S361" s="1"/>
      <c r="T361" s="11" t="b">
        <f>R361=S361</f>
        <v>0</v>
      </c>
      <c r="U361" s="10" t="s">
        <v>16</v>
      </c>
      <c r="V361" s="1"/>
      <c r="W361" s="11" t="b">
        <f>U361=V361</f>
        <v>0</v>
      </c>
      <c r="X361" s="13" t="s">
        <v>15</v>
      </c>
      <c r="Y361" s="1"/>
      <c r="Z361" s="1"/>
      <c r="AA361" s="60">
        <v>22001389</v>
      </c>
      <c r="AB361" s="10" t="s">
        <v>1409</v>
      </c>
      <c r="AD361" s="11" t="b">
        <f>AB361=AC361</f>
        <v>0</v>
      </c>
      <c r="AE361" s="10" t="s">
        <v>769</v>
      </c>
      <c r="AF361" s="1"/>
      <c r="AG361" s="11" t="b">
        <f>AE361=AF361</f>
        <v>0</v>
      </c>
      <c r="AH361" s="1">
        <v>15</v>
      </c>
      <c r="AI361" s="1">
        <v>8.59</v>
      </c>
      <c r="AJ361" s="16">
        <f>AI361*220/30*30.4375</f>
        <v>1917.3595833333334</v>
      </c>
      <c r="AK361" s="18">
        <v>1917.36</v>
      </c>
      <c r="AL361" s="71" t="s">
        <v>655</v>
      </c>
      <c r="AM361" s="19" t="b">
        <f>AL361=O361</f>
        <v>1</v>
      </c>
      <c r="AN361" s="7">
        <f>VLOOKUP(A361,'base ZITRHR129'!$G$1:$H$628,2,0)</f>
        <v>30041037</v>
      </c>
      <c r="AO361" s="7" t="b">
        <f>AN361=R361</f>
        <v>1</v>
      </c>
      <c r="AP361" s="7">
        <f>VLOOKUP(A361,'base ZITRHR129'!G271:W897,17,0)</f>
        <v>1917.36</v>
      </c>
      <c r="AQ361" s="7" t="b">
        <f>AP361=AK361</f>
        <v>1</v>
      </c>
      <c r="AR361" s="78"/>
    </row>
    <row r="362" spans="1:44" s="7" customFormat="1" x14ac:dyDescent="0.25">
      <c r="A362" s="7">
        <v>10051420</v>
      </c>
      <c r="B362" s="8" t="s">
        <v>385</v>
      </c>
      <c r="C362" s="8" t="s">
        <v>701</v>
      </c>
      <c r="D362" s="8" t="s">
        <v>717</v>
      </c>
      <c r="E362" s="8" t="s">
        <v>742</v>
      </c>
      <c r="F362" s="8" t="s">
        <v>1406</v>
      </c>
      <c r="G362" s="8" t="s">
        <v>769</v>
      </c>
      <c r="H362" s="9">
        <v>15</v>
      </c>
      <c r="I362" s="8" t="s">
        <v>668</v>
      </c>
      <c r="J362" s="8" t="s">
        <v>1133</v>
      </c>
      <c r="K362" s="8" t="s">
        <v>16</v>
      </c>
      <c r="L362" s="8" t="s">
        <v>17</v>
      </c>
      <c r="M362" s="10" t="s">
        <v>701</v>
      </c>
      <c r="N362" s="10" t="s">
        <v>717</v>
      </c>
      <c r="O362" s="10" t="s">
        <v>668</v>
      </c>
      <c r="P362" s="1"/>
      <c r="Q362" s="11" t="b">
        <f>O362=P362</f>
        <v>0</v>
      </c>
      <c r="R362" s="30">
        <v>30041038</v>
      </c>
      <c r="S362" s="1"/>
      <c r="T362" s="11" t="b">
        <f>R362=S362</f>
        <v>0</v>
      </c>
      <c r="U362" s="10" t="s">
        <v>16</v>
      </c>
      <c r="V362" s="1"/>
      <c r="W362" s="11" t="b">
        <f>U362=V362</f>
        <v>0</v>
      </c>
      <c r="X362" s="13" t="s">
        <v>15</v>
      </c>
      <c r="Y362" s="1"/>
      <c r="Z362" s="1"/>
      <c r="AA362" s="60">
        <v>22001389</v>
      </c>
      <c r="AB362" s="10" t="s">
        <v>1409</v>
      </c>
      <c r="AD362" s="11" t="b">
        <f>AB362=AC362</f>
        <v>0</v>
      </c>
      <c r="AE362" s="10" t="s">
        <v>769</v>
      </c>
      <c r="AF362" s="1"/>
      <c r="AG362" s="11" t="b">
        <f>AE362=AF362</f>
        <v>0</v>
      </c>
      <c r="AH362" s="1">
        <v>15</v>
      </c>
      <c r="AI362" s="1">
        <v>8.59</v>
      </c>
      <c r="AJ362" s="16">
        <f>AI362*220/30*30.4375</f>
        <v>1917.3595833333334</v>
      </c>
      <c r="AK362" s="18">
        <v>1917.36</v>
      </c>
      <c r="AL362" s="71" t="s">
        <v>668</v>
      </c>
      <c r="AM362" s="19" t="b">
        <f>AL362=O362</f>
        <v>1</v>
      </c>
      <c r="AN362" s="7">
        <f>VLOOKUP(A362,'base ZITRHR129'!$G$1:$H$628,2,0)</f>
        <v>30041038</v>
      </c>
      <c r="AO362" s="7" t="b">
        <f>AN362=R362</f>
        <v>1</v>
      </c>
      <c r="AP362" s="7">
        <f>VLOOKUP(A362,'base ZITRHR129'!G270:W896,17,0)</f>
        <v>1917.36</v>
      </c>
      <c r="AQ362" s="7" t="b">
        <f>AP362=AK362</f>
        <v>1</v>
      </c>
      <c r="AR362" s="78"/>
    </row>
    <row r="363" spans="1:44" s="7" customFormat="1" x14ac:dyDescent="0.25">
      <c r="A363" s="7">
        <v>10051429</v>
      </c>
      <c r="B363" s="8" t="s">
        <v>386</v>
      </c>
      <c r="C363" s="8" t="s">
        <v>714</v>
      </c>
      <c r="D363" s="8" t="s">
        <v>717</v>
      </c>
      <c r="E363" s="8" t="s">
        <v>737</v>
      </c>
      <c r="F363" s="8" t="s">
        <v>1406</v>
      </c>
      <c r="G363" s="8" t="s">
        <v>765</v>
      </c>
      <c r="H363" s="9">
        <v>14</v>
      </c>
      <c r="I363" s="8" t="s">
        <v>677</v>
      </c>
      <c r="J363" s="8" t="s">
        <v>1134</v>
      </c>
      <c r="K363" s="8" t="s">
        <v>16</v>
      </c>
      <c r="L363" s="8" t="s">
        <v>17</v>
      </c>
      <c r="M363" s="10" t="s">
        <v>714</v>
      </c>
      <c r="N363" s="10" t="s">
        <v>717</v>
      </c>
      <c r="O363" s="10" t="s">
        <v>677</v>
      </c>
      <c r="P363" s="1"/>
      <c r="Q363" s="11" t="b">
        <f>O363=P363</f>
        <v>0</v>
      </c>
      <c r="R363" s="30">
        <v>30041039</v>
      </c>
      <c r="S363" s="1"/>
      <c r="T363" s="11" t="b">
        <f>R363=S363</f>
        <v>0</v>
      </c>
      <c r="U363" s="10" t="s">
        <v>16</v>
      </c>
      <c r="V363" s="1"/>
      <c r="W363" s="11" t="b">
        <f>U363=V363</f>
        <v>0</v>
      </c>
      <c r="X363" s="13" t="s">
        <v>15</v>
      </c>
      <c r="Y363" s="1"/>
      <c r="Z363" s="1"/>
      <c r="AA363" s="10">
        <v>22002830</v>
      </c>
      <c r="AB363" s="10" t="s">
        <v>1409</v>
      </c>
      <c r="AD363" s="11" t="b">
        <f>AB363=AC363</f>
        <v>0</v>
      </c>
      <c r="AE363" s="10" t="s">
        <v>765</v>
      </c>
      <c r="AF363" s="1"/>
      <c r="AG363" s="11" t="b">
        <f>AE363=AF363</f>
        <v>0</v>
      </c>
      <c r="AH363" s="1">
        <v>14</v>
      </c>
      <c r="AI363" s="1">
        <v>8.59</v>
      </c>
      <c r="AJ363" s="16">
        <f>AI363*220/30*30.4375</f>
        <v>1917.3595833333334</v>
      </c>
      <c r="AK363" s="18">
        <v>1917.36</v>
      </c>
      <c r="AL363" s="71" t="s">
        <v>677</v>
      </c>
      <c r="AM363" s="19" t="b">
        <f>AL363=O363</f>
        <v>1</v>
      </c>
      <c r="AN363" s="7">
        <f>VLOOKUP(A363,'base ZITRHR129'!$G$1:$H$628,2,0)</f>
        <v>30041039</v>
      </c>
      <c r="AO363" s="7" t="b">
        <f>AN363=R363</f>
        <v>1</v>
      </c>
      <c r="AP363" s="7">
        <f>VLOOKUP(A363,'base ZITRHR129'!G269:W895,17,0)</f>
        <v>1917.36</v>
      </c>
      <c r="AQ363" s="7" t="b">
        <f>AP363=AK363</f>
        <v>1</v>
      </c>
      <c r="AR363" s="78"/>
    </row>
    <row r="364" spans="1:44" s="7" customFormat="1" x14ac:dyDescent="0.25">
      <c r="A364" s="7">
        <v>10051430</v>
      </c>
      <c r="B364" s="8" t="s">
        <v>387</v>
      </c>
      <c r="C364" s="8" t="s">
        <v>687</v>
      </c>
      <c r="D364" s="8" t="s">
        <v>717</v>
      </c>
      <c r="E364" s="8" t="s">
        <v>737</v>
      </c>
      <c r="F364" s="8" t="s">
        <v>1406</v>
      </c>
      <c r="G364" s="8" t="s">
        <v>765</v>
      </c>
      <c r="H364" s="9">
        <v>14</v>
      </c>
      <c r="I364" s="8" t="s">
        <v>660</v>
      </c>
      <c r="J364" s="8" t="s">
        <v>1135</v>
      </c>
      <c r="K364" s="8" t="s">
        <v>16</v>
      </c>
      <c r="L364" s="8" t="s">
        <v>17</v>
      </c>
      <c r="M364" s="10" t="s">
        <v>687</v>
      </c>
      <c r="N364" s="10" t="s">
        <v>717</v>
      </c>
      <c r="O364" s="10" t="s">
        <v>660</v>
      </c>
      <c r="P364" s="1"/>
      <c r="Q364" s="11" t="b">
        <f>O364=P364</f>
        <v>0</v>
      </c>
      <c r="R364" s="30">
        <v>30041040</v>
      </c>
      <c r="S364" s="1"/>
      <c r="T364" s="11" t="b">
        <f>R364=S364</f>
        <v>0</v>
      </c>
      <c r="U364" s="10" t="s">
        <v>16</v>
      </c>
      <c r="V364" s="1"/>
      <c r="W364" s="11" t="b">
        <f>U364=V364</f>
        <v>0</v>
      </c>
      <c r="X364" s="13" t="s">
        <v>15</v>
      </c>
      <c r="Y364" s="1"/>
      <c r="Z364" s="1"/>
      <c r="AA364" s="10">
        <v>22002830</v>
      </c>
      <c r="AB364" s="10" t="s">
        <v>1409</v>
      </c>
      <c r="AD364" s="11" t="b">
        <f>AB364=AC364</f>
        <v>0</v>
      </c>
      <c r="AE364" s="10" t="s">
        <v>765</v>
      </c>
      <c r="AF364" s="1"/>
      <c r="AG364" s="11" t="b">
        <f>AE364=AF364</f>
        <v>0</v>
      </c>
      <c r="AH364" s="1">
        <v>14</v>
      </c>
      <c r="AI364" s="1">
        <v>8.59</v>
      </c>
      <c r="AJ364" s="16">
        <f>AI364*220/30*30.4375</f>
        <v>1917.3595833333334</v>
      </c>
      <c r="AK364" s="18">
        <v>1917.36</v>
      </c>
      <c r="AL364" s="71" t="s">
        <v>660</v>
      </c>
      <c r="AM364" s="19" t="b">
        <f>AL364=O364</f>
        <v>1</v>
      </c>
      <c r="AN364" s="7">
        <f>VLOOKUP(A364,'base ZITRHR129'!$G$1:$H$628,2,0)</f>
        <v>30041040</v>
      </c>
      <c r="AO364" s="7" t="b">
        <f>AN364=R364</f>
        <v>1</v>
      </c>
      <c r="AP364" s="7">
        <f>VLOOKUP(A364,'base ZITRHR129'!G268:W894,17,0)</f>
        <v>1917.36</v>
      </c>
      <c r="AQ364" s="7" t="b">
        <f>AP364=AK364</f>
        <v>1</v>
      </c>
      <c r="AR364" s="78"/>
    </row>
    <row r="365" spans="1:44" s="7" customFormat="1" x14ac:dyDescent="0.25">
      <c r="A365" s="7">
        <v>10051653</v>
      </c>
      <c r="B365" s="8" t="s">
        <v>388</v>
      </c>
      <c r="C365" s="8" t="s">
        <v>682</v>
      </c>
      <c r="D365" s="8" t="s">
        <v>717</v>
      </c>
      <c r="E365" s="8" t="s">
        <v>742</v>
      </c>
      <c r="F365" s="8" t="s">
        <v>1406</v>
      </c>
      <c r="G365" s="8" t="s">
        <v>769</v>
      </c>
      <c r="H365" s="9">
        <v>15</v>
      </c>
      <c r="I365" s="8" t="s">
        <v>655</v>
      </c>
      <c r="J365" s="8" t="s">
        <v>1136</v>
      </c>
      <c r="K365" s="8" t="s">
        <v>16</v>
      </c>
      <c r="L365" s="8" t="s">
        <v>17</v>
      </c>
      <c r="M365" s="10" t="s">
        <v>682</v>
      </c>
      <c r="N365" s="10" t="s">
        <v>717</v>
      </c>
      <c r="O365" s="10" t="s">
        <v>655</v>
      </c>
      <c r="P365" s="1"/>
      <c r="Q365" s="11" t="b">
        <f>O365=P365</f>
        <v>0</v>
      </c>
      <c r="R365" s="30">
        <v>30041041</v>
      </c>
      <c r="S365" s="1"/>
      <c r="T365" s="11" t="b">
        <f>R365=S365</f>
        <v>0</v>
      </c>
      <c r="U365" s="10" t="s">
        <v>16</v>
      </c>
      <c r="V365" s="1"/>
      <c r="W365" s="11" t="b">
        <f>U365=V365</f>
        <v>0</v>
      </c>
      <c r="X365" s="13" t="s">
        <v>15</v>
      </c>
      <c r="Y365" s="1"/>
      <c r="Z365" s="1"/>
      <c r="AA365" s="60">
        <v>22001389</v>
      </c>
      <c r="AB365" s="10" t="s">
        <v>1409</v>
      </c>
      <c r="AD365" s="11" t="b">
        <f>AB365=AC365</f>
        <v>0</v>
      </c>
      <c r="AE365" s="10" t="s">
        <v>769</v>
      </c>
      <c r="AF365" s="1"/>
      <c r="AG365" s="11" t="b">
        <f>AE365=AF365</f>
        <v>0</v>
      </c>
      <c r="AH365" s="1">
        <v>15</v>
      </c>
      <c r="AI365" s="1">
        <v>8.59</v>
      </c>
      <c r="AJ365" s="16">
        <f>AI365*220/30*30.4375</f>
        <v>1917.3595833333334</v>
      </c>
      <c r="AK365" s="18">
        <v>1917.36</v>
      </c>
      <c r="AL365" s="71" t="s">
        <v>655</v>
      </c>
      <c r="AM365" s="19" t="b">
        <f>AL365=O365</f>
        <v>1</v>
      </c>
      <c r="AN365" s="7">
        <f>VLOOKUP(A365,'base ZITRHR129'!$G$1:$H$628,2,0)</f>
        <v>30041041</v>
      </c>
      <c r="AO365" s="7" t="b">
        <f>AN365=R365</f>
        <v>1</v>
      </c>
      <c r="AP365" s="7">
        <f>VLOOKUP(A365,'base ZITRHR129'!G267:W893,17,0)</f>
        <v>1917.36</v>
      </c>
      <c r="AQ365" s="7" t="b">
        <f>AP365=AK365</f>
        <v>1</v>
      </c>
      <c r="AR365" s="78"/>
    </row>
    <row r="366" spans="1:44" s="7" customFormat="1" x14ac:dyDescent="0.25">
      <c r="A366" s="7">
        <v>10051727</v>
      </c>
      <c r="B366" s="8" t="s">
        <v>389</v>
      </c>
      <c r="C366" s="8" t="s">
        <v>689</v>
      </c>
      <c r="D366" s="8" t="s">
        <v>717</v>
      </c>
      <c r="E366" s="8" t="s">
        <v>730</v>
      </c>
      <c r="F366" s="8" t="s">
        <v>1406</v>
      </c>
      <c r="G366" s="8" t="s">
        <v>759</v>
      </c>
      <c r="H366" s="9">
        <v>17</v>
      </c>
      <c r="I366" s="8" t="s">
        <v>662</v>
      </c>
      <c r="J366" s="8" t="s">
        <v>1137</v>
      </c>
      <c r="K366" s="8" t="s">
        <v>16</v>
      </c>
      <c r="L366" s="8" t="s">
        <v>17</v>
      </c>
      <c r="M366" s="10" t="s">
        <v>689</v>
      </c>
      <c r="N366" s="10" t="s">
        <v>717</v>
      </c>
      <c r="O366" s="10" t="s">
        <v>662</v>
      </c>
      <c r="P366" s="1"/>
      <c r="Q366" s="11" t="b">
        <f>O366=P366</f>
        <v>0</v>
      </c>
      <c r="R366" s="30">
        <v>30041042</v>
      </c>
      <c r="S366" s="1"/>
      <c r="T366" s="11" t="b">
        <f>R366=S366</f>
        <v>0</v>
      </c>
      <c r="U366" s="10" t="s">
        <v>16</v>
      </c>
      <c r="V366" s="1"/>
      <c r="W366" s="11" t="b">
        <f>U366=V366</f>
        <v>0</v>
      </c>
      <c r="X366" s="13" t="s">
        <v>15</v>
      </c>
      <c r="Y366" s="1"/>
      <c r="Z366" s="1"/>
      <c r="AA366" s="63">
        <v>22002605</v>
      </c>
      <c r="AB366" s="10" t="s">
        <v>1409</v>
      </c>
      <c r="AD366" s="11" t="b">
        <f>AB366=AC366</f>
        <v>0</v>
      </c>
      <c r="AE366" s="10" t="s">
        <v>759</v>
      </c>
      <c r="AF366" s="1"/>
      <c r="AG366" s="11" t="b">
        <f>AE366=AF366</f>
        <v>0</v>
      </c>
      <c r="AH366" s="1">
        <v>17</v>
      </c>
      <c r="AI366" s="1">
        <v>10.39</v>
      </c>
      <c r="AJ366" s="16">
        <f>AI366*220/30*30.4375</f>
        <v>2319.1345833333335</v>
      </c>
      <c r="AK366" s="18">
        <v>2319.13</v>
      </c>
      <c r="AL366" s="71" t="s">
        <v>662</v>
      </c>
      <c r="AM366" s="19" t="b">
        <f>AL366=O366</f>
        <v>1</v>
      </c>
      <c r="AN366" s="7">
        <f>VLOOKUP(A366,'base ZITRHR129'!$G$1:$H$628,2,0)</f>
        <v>30041042</v>
      </c>
      <c r="AO366" s="7" t="b">
        <f>AN366=R366</f>
        <v>1</v>
      </c>
      <c r="AP366" s="7">
        <f>VLOOKUP(A366,'base ZITRHR129'!G266:W892,17,0)</f>
        <v>2319.13</v>
      </c>
      <c r="AQ366" s="7" t="b">
        <f>AP366=AK366</f>
        <v>1</v>
      </c>
      <c r="AR366" s="78"/>
    </row>
    <row r="367" spans="1:44" s="7" customFormat="1" x14ac:dyDescent="0.25">
      <c r="A367" s="7">
        <v>10051728</v>
      </c>
      <c r="B367" s="8" t="s">
        <v>390</v>
      </c>
      <c r="C367" s="8" t="s">
        <v>702</v>
      </c>
      <c r="D367" s="8" t="s">
        <v>717</v>
      </c>
      <c r="E367" s="8" t="s">
        <v>742</v>
      </c>
      <c r="F367" s="8" t="s">
        <v>1406</v>
      </c>
      <c r="G367" s="8" t="s">
        <v>769</v>
      </c>
      <c r="H367" s="9">
        <v>15</v>
      </c>
      <c r="I367" s="8" t="s">
        <v>668</v>
      </c>
      <c r="J367" s="8" t="s">
        <v>1138</v>
      </c>
      <c r="K367" s="8" t="s">
        <v>16</v>
      </c>
      <c r="L367" s="8" t="s">
        <v>17</v>
      </c>
      <c r="M367" s="10" t="s">
        <v>702</v>
      </c>
      <c r="N367" s="10" t="s">
        <v>717</v>
      </c>
      <c r="O367" s="10" t="s">
        <v>668</v>
      </c>
      <c r="P367" s="1"/>
      <c r="Q367" s="11" t="b">
        <f>O367=P367</f>
        <v>0</v>
      </c>
      <c r="R367" s="30">
        <v>30041043</v>
      </c>
      <c r="S367" s="1"/>
      <c r="T367" s="11" t="b">
        <f>R367=S367</f>
        <v>0</v>
      </c>
      <c r="U367" s="10" t="s">
        <v>16</v>
      </c>
      <c r="V367" s="1"/>
      <c r="W367" s="11" t="b">
        <f>U367=V367</f>
        <v>0</v>
      </c>
      <c r="X367" s="13" t="s">
        <v>15</v>
      </c>
      <c r="Y367" s="1"/>
      <c r="Z367" s="1"/>
      <c r="AA367" s="60">
        <v>22001389</v>
      </c>
      <c r="AB367" s="10" t="s">
        <v>1409</v>
      </c>
      <c r="AD367" s="11" t="b">
        <f>AB367=AC367</f>
        <v>0</v>
      </c>
      <c r="AE367" s="10" t="s">
        <v>769</v>
      </c>
      <c r="AF367" s="1"/>
      <c r="AG367" s="11" t="b">
        <f>AE367=AF367</f>
        <v>0</v>
      </c>
      <c r="AH367" s="1">
        <v>15</v>
      </c>
      <c r="AI367" s="1">
        <v>8.59</v>
      </c>
      <c r="AJ367" s="16">
        <f>AI367*220/30*30.4375</f>
        <v>1917.3595833333334</v>
      </c>
      <c r="AK367" s="18">
        <v>1917.36</v>
      </c>
      <c r="AL367" s="71" t="s">
        <v>668</v>
      </c>
      <c r="AM367" s="19" t="b">
        <f>AL367=O367</f>
        <v>1</v>
      </c>
      <c r="AN367" s="7">
        <f>VLOOKUP(A367,'base ZITRHR129'!$G$1:$H$628,2,0)</f>
        <v>30041043</v>
      </c>
      <c r="AO367" s="7" t="b">
        <f>AN367=R367</f>
        <v>1</v>
      </c>
      <c r="AP367" s="7">
        <f>VLOOKUP(A367,'base ZITRHR129'!G265:W891,17,0)</f>
        <v>1917.36</v>
      </c>
      <c r="AQ367" s="7" t="b">
        <f>AP367=AK367</f>
        <v>1</v>
      </c>
      <c r="AR367" s="78"/>
    </row>
    <row r="368" spans="1:44" s="7" customFormat="1" x14ac:dyDescent="0.25">
      <c r="A368" s="7">
        <v>10051730</v>
      </c>
      <c r="B368" s="8" t="s">
        <v>391</v>
      </c>
      <c r="C368" s="8" t="s">
        <v>683</v>
      </c>
      <c r="D368" s="8" t="s">
        <v>717</v>
      </c>
      <c r="E368" s="8" t="s">
        <v>743</v>
      </c>
      <c r="F368" s="8" t="s">
        <v>1406</v>
      </c>
      <c r="G368" s="8" t="s">
        <v>770</v>
      </c>
      <c r="H368" s="9">
        <v>17</v>
      </c>
      <c r="I368" s="8" t="s">
        <v>656</v>
      </c>
      <c r="J368" s="8" t="s">
        <v>1139</v>
      </c>
      <c r="K368" s="8" t="s">
        <v>6</v>
      </c>
      <c r="L368" s="8" t="s">
        <v>17</v>
      </c>
      <c r="M368" s="10" t="s">
        <v>683</v>
      </c>
      <c r="N368" s="10" t="s">
        <v>717</v>
      </c>
      <c r="O368" s="10" t="s">
        <v>656</v>
      </c>
      <c r="P368" s="1"/>
      <c r="Q368" s="11" t="b">
        <f>O368=P368</f>
        <v>0</v>
      </c>
      <c r="R368" s="30">
        <v>30041044</v>
      </c>
      <c r="S368" s="1"/>
      <c r="T368" s="11" t="b">
        <f>R368=S368</f>
        <v>0</v>
      </c>
      <c r="U368" s="10" t="s">
        <v>6</v>
      </c>
      <c r="V368" s="1"/>
      <c r="W368" s="11" t="b">
        <f>U368=V368</f>
        <v>0</v>
      </c>
      <c r="X368" s="13" t="s">
        <v>15</v>
      </c>
      <c r="Y368" s="1"/>
      <c r="Z368" s="1"/>
      <c r="AA368" s="10">
        <v>22003018</v>
      </c>
      <c r="AB368" s="10" t="s">
        <v>1409</v>
      </c>
      <c r="AD368" s="11" t="b">
        <f>AB368=AC368</f>
        <v>0</v>
      </c>
      <c r="AE368" s="10" t="s">
        <v>770</v>
      </c>
      <c r="AF368" s="1"/>
      <c r="AG368" s="11" t="b">
        <f>AE368=AF368</f>
        <v>0</v>
      </c>
      <c r="AH368" s="1">
        <v>17</v>
      </c>
      <c r="AI368" s="1">
        <v>12.2</v>
      </c>
      <c r="AJ368" s="16">
        <f>AI368*220/30*30.4375</f>
        <v>2723.1416666666669</v>
      </c>
      <c r="AK368" s="18">
        <v>2723.14</v>
      </c>
      <c r="AL368" s="71" t="s">
        <v>656</v>
      </c>
      <c r="AM368" s="19" t="b">
        <f>AL368=O368</f>
        <v>1</v>
      </c>
      <c r="AN368" s="7">
        <f>VLOOKUP(A368,'base ZITRHR129'!$G$1:$H$628,2,0)</f>
        <v>30041044</v>
      </c>
      <c r="AO368" s="7" t="b">
        <f>AN368=R368</f>
        <v>1</v>
      </c>
      <c r="AP368" s="7">
        <f>VLOOKUP(A368,'base ZITRHR129'!G264:W890,17,0)</f>
        <v>2723.14</v>
      </c>
      <c r="AQ368" s="7" t="b">
        <f>AP368=AK368</f>
        <v>1</v>
      </c>
      <c r="AR368" s="78"/>
    </row>
    <row r="369" spans="1:44" s="7" customFormat="1" x14ac:dyDescent="0.25">
      <c r="A369" s="7">
        <v>10051737</v>
      </c>
      <c r="B369" s="8" t="s">
        <v>392</v>
      </c>
      <c r="C369" s="8" t="s">
        <v>691</v>
      </c>
      <c r="D369" s="8" t="s">
        <v>717</v>
      </c>
      <c r="E369" s="8" t="s">
        <v>727</v>
      </c>
      <c r="F369" s="8" t="s">
        <v>1406</v>
      </c>
      <c r="G369" s="8" t="s">
        <v>756</v>
      </c>
      <c r="H369" s="9">
        <v>17</v>
      </c>
      <c r="I369" s="8" t="s">
        <v>664</v>
      </c>
      <c r="J369" s="8" t="s">
        <v>1140</v>
      </c>
      <c r="K369" s="8" t="s">
        <v>16</v>
      </c>
      <c r="L369" s="8" t="s">
        <v>17</v>
      </c>
      <c r="M369" s="10" t="s">
        <v>691</v>
      </c>
      <c r="N369" s="10" t="s">
        <v>717</v>
      </c>
      <c r="O369" s="10" t="s">
        <v>664</v>
      </c>
      <c r="P369" s="1"/>
      <c r="Q369" s="11" t="b">
        <f>O369=P369</f>
        <v>0</v>
      </c>
      <c r="R369" s="30">
        <v>30041045</v>
      </c>
      <c r="S369" s="1"/>
      <c r="T369" s="11" t="b">
        <f>R369=S369</f>
        <v>0</v>
      </c>
      <c r="U369" s="10" t="s">
        <v>16</v>
      </c>
      <c r="V369" s="1"/>
      <c r="W369" s="11" t="b">
        <f>U369=V369</f>
        <v>0</v>
      </c>
      <c r="X369" s="13" t="s">
        <v>15</v>
      </c>
      <c r="Y369" s="1"/>
      <c r="Z369" s="1"/>
      <c r="AA369" s="63">
        <v>22003017</v>
      </c>
      <c r="AB369" s="10" t="s">
        <v>1409</v>
      </c>
      <c r="AD369" s="11" t="b">
        <f>AB369=AC369</f>
        <v>0</v>
      </c>
      <c r="AE369" s="10" t="s">
        <v>756</v>
      </c>
      <c r="AF369" s="1"/>
      <c r="AG369" s="11" t="b">
        <f>AE369=AF369</f>
        <v>0</v>
      </c>
      <c r="AH369" s="1">
        <v>17</v>
      </c>
      <c r="AI369" s="1">
        <v>10.3</v>
      </c>
      <c r="AJ369" s="16">
        <f>AI369*220/30*30.4375</f>
        <v>2299.0458333333331</v>
      </c>
      <c r="AK369" s="18">
        <v>2299.0500000000002</v>
      </c>
      <c r="AL369" s="71" t="s">
        <v>664</v>
      </c>
      <c r="AM369" s="19" t="b">
        <f>AL369=O369</f>
        <v>1</v>
      </c>
      <c r="AN369" s="7">
        <f>VLOOKUP(A369,'base ZITRHR129'!$G$1:$H$628,2,0)</f>
        <v>30041045</v>
      </c>
      <c r="AO369" s="7" t="b">
        <f>AN369=R369</f>
        <v>1</v>
      </c>
      <c r="AP369" s="7">
        <f>VLOOKUP(A369,'base ZITRHR129'!G263:W889,17,0)</f>
        <v>2299.0500000000002</v>
      </c>
      <c r="AQ369" s="7" t="b">
        <f>AP369=AK369</f>
        <v>1</v>
      </c>
      <c r="AR369" s="78"/>
    </row>
    <row r="370" spans="1:44" s="7" customFormat="1" x14ac:dyDescent="0.25">
      <c r="A370" s="7">
        <v>10051757</v>
      </c>
      <c r="B370" s="8" t="s">
        <v>393</v>
      </c>
      <c r="C370" s="8" t="s">
        <v>700</v>
      </c>
      <c r="D370" s="8" t="s">
        <v>717</v>
      </c>
      <c r="E370" s="8" t="s">
        <v>732</v>
      </c>
      <c r="F370" s="8" t="s">
        <v>1407</v>
      </c>
      <c r="G370" s="8" t="s">
        <v>761</v>
      </c>
      <c r="H370" s="9">
        <v>15</v>
      </c>
      <c r="I370" s="8" t="s">
        <v>666</v>
      </c>
      <c r="J370" s="8" t="s">
        <v>1141</v>
      </c>
      <c r="K370" s="8" t="s">
        <v>16</v>
      </c>
      <c r="L370" s="8" t="s">
        <v>17</v>
      </c>
      <c r="M370" s="10" t="s">
        <v>700</v>
      </c>
      <c r="N370" s="10" t="s">
        <v>717</v>
      </c>
      <c r="O370" s="10" t="s">
        <v>666</v>
      </c>
      <c r="P370" s="1"/>
      <c r="Q370" s="11" t="b">
        <f>O370=P370</f>
        <v>0</v>
      </c>
      <c r="R370" s="30">
        <v>30041338</v>
      </c>
      <c r="S370" s="1"/>
      <c r="T370" s="11" t="b">
        <f>R370=S370</f>
        <v>0</v>
      </c>
      <c r="U370" s="10" t="s">
        <v>16</v>
      </c>
      <c r="V370" s="1"/>
      <c r="W370" s="11" t="b">
        <f>U370=V370</f>
        <v>0</v>
      </c>
      <c r="X370" s="13" t="s">
        <v>15</v>
      </c>
      <c r="Y370" s="1"/>
      <c r="Z370" s="1"/>
      <c r="AA370" s="61">
        <v>22003423</v>
      </c>
      <c r="AB370" s="10" t="s">
        <v>1410</v>
      </c>
      <c r="AD370" s="11" t="b">
        <f>AB370=AC370</f>
        <v>0</v>
      </c>
      <c r="AE370" s="10" t="s">
        <v>761</v>
      </c>
      <c r="AF370" s="1"/>
      <c r="AG370" s="11" t="b">
        <f>AE370=AF370</f>
        <v>0</v>
      </c>
      <c r="AH370" s="1">
        <v>15</v>
      </c>
      <c r="AI370" s="1">
        <v>11.71</v>
      </c>
      <c r="AJ370" s="16">
        <f>AI370*180/30*30.4375</f>
        <v>2138.5387500000002</v>
      </c>
      <c r="AK370" s="18">
        <v>2138.54</v>
      </c>
      <c r="AL370" s="71" t="s">
        <v>666</v>
      </c>
      <c r="AM370" s="19" t="b">
        <f>AL370=O370</f>
        <v>1</v>
      </c>
      <c r="AN370" s="7">
        <f>VLOOKUP(A370,'base ZITRHR129'!$G$1:$H$628,2,0)</f>
        <v>30041338</v>
      </c>
      <c r="AO370" s="7" t="b">
        <f>AN370=R370</f>
        <v>1</v>
      </c>
      <c r="AP370" s="7">
        <f>VLOOKUP(A370,'base ZITRHR129'!G262:W888,17,0)</f>
        <v>2138.54</v>
      </c>
      <c r="AQ370" s="7" t="b">
        <f>AP370=AK370</f>
        <v>1</v>
      </c>
      <c r="AR370" s="78"/>
    </row>
    <row r="371" spans="1:44" s="7" customFormat="1" ht="12" x14ac:dyDescent="0.2">
      <c r="A371" s="20">
        <v>10051759</v>
      </c>
      <c r="B371" s="21" t="s">
        <v>394</v>
      </c>
      <c r="C371" s="21" t="s">
        <v>700</v>
      </c>
      <c r="D371" s="21" t="s">
        <v>717</v>
      </c>
      <c r="E371" s="21" t="s">
        <v>738</v>
      </c>
      <c r="F371" s="21" t="s">
        <v>1407</v>
      </c>
      <c r="G371" s="21" t="s">
        <v>765</v>
      </c>
      <c r="H371" s="22">
        <v>14</v>
      </c>
      <c r="I371" s="21" t="s">
        <v>666</v>
      </c>
      <c r="J371" s="21" t="s">
        <v>1142</v>
      </c>
      <c r="K371" s="21" t="s">
        <v>16</v>
      </c>
      <c r="L371" s="21" t="s">
        <v>17</v>
      </c>
      <c r="M371" s="21" t="s">
        <v>700</v>
      </c>
      <c r="N371" s="21" t="s">
        <v>717</v>
      </c>
      <c r="O371" s="21" t="s">
        <v>666</v>
      </c>
      <c r="P371" s="23"/>
      <c r="Q371" s="24" t="b">
        <f>O371=P371</f>
        <v>0</v>
      </c>
      <c r="R371" s="31">
        <v>30041047</v>
      </c>
      <c r="S371" s="23"/>
      <c r="T371" s="24" t="b">
        <f>R371=S371</f>
        <v>0</v>
      </c>
      <c r="U371" s="21" t="s">
        <v>16</v>
      </c>
      <c r="V371" s="23"/>
      <c r="W371" s="24" t="b">
        <f>U371=V371</f>
        <v>0</v>
      </c>
      <c r="X371" s="25" t="s">
        <v>15</v>
      </c>
      <c r="Y371" s="23"/>
      <c r="Z371" s="23"/>
      <c r="AA371" s="64">
        <v>22003024</v>
      </c>
      <c r="AB371" s="21" t="s">
        <v>1410</v>
      </c>
      <c r="AC371" s="20"/>
      <c r="AD371" s="24" t="b">
        <f>AB371=AC371</f>
        <v>0</v>
      </c>
      <c r="AE371" s="21" t="s">
        <v>765</v>
      </c>
      <c r="AF371" s="23"/>
      <c r="AG371" s="24" t="b">
        <f>AE371=AF371</f>
        <v>0</v>
      </c>
      <c r="AH371" s="23">
        <v>14</v>
      </c>
      <c r="AI371" s="23">
        <v>9.9</v>
      </c>
      <c r="AJ371" s="26">
        <f>AI371*180/30*30.4375</f>
        <v>1807.9875</v>
      </c>
      <c r="AK371" s="27">
        <v>1807.99</v>
      </c>
      <c r="AL371" s="73" t="s">
        <v>666</v>
      </c>
      <c r="AM371" s="28" t="b">
        <f>AL371=O371</f>
        <v>1</v>
      </c>
      <c r="AN371" s="20">
        <f>VLOOKUP(A371,'base ZITRHR129'!$G$1:$H$628,2,0)</f>
        <v>30041047</v>
      </c>
      <c r="AO371" s="20" t="b">
        <f>AN371=R371</f>
        <v>1</v>
      </c>
      <c r="AP371" s="20">
        <f>VLOOKUP(A371,'base ZITRHR129'!G261:W887,17,0)</f>
        <v>9.9</v>
      </c>
      <c r="AQ371" s="20" t="b">
        <f>AP371=AK371</f>
        <v>0</v>
      </c>
      <c r="AR371" s="69" t="s">
        <v>1516</v>
      </c>
    </row>
    <row r="372" spans="1:44" s="7" customFormat="1" ht="12" x14ac:dyDescent="0.2">
      <c r="A372" s="7">
        <v>10051887</v>
      </c>
      <c r="B372" s="8" t="s">
        <v>395</v>
      </c>
      <c r="C372" s="8" t="s">
        <v>689</v>
      </c>
      <c r="D372" s="8" t="s">
        <v>717</v>
      </c>
      <c r="E372" s="8" t="s">
        <v>744</v>
      </c>
      <c r="F372" s="8" t="s">
        <v>1406</v>
      </c>
      <c r="G372" s="8" t="s">
        <v>771</v>
      </c>
      <c r="H372" s="9">
        <v>14</v>
      </c>
      <c r="I372" s="8" t="s">
        <v>658</v>
      </c>
      <c r="J372" s="8" t="s">
        <v>1143</v>
      </c>
      <c r="K372" s="8" t="s">
        <v>6</v>
      </c>
      <c r="L372" s="8" t="s">
        <v>17</v>
      </c>
      <c r="M372" s="10" t="s">
        <v>689</v>
      </c>
      <c r="N372" s="10" t="s">
        <v>717</v>
      </c>
      <c r="O372" s="10" t="s">
        <v>658</v>
      </c>
      <c r="P372" s="1"/>
      <c r="Q372" s="11" t="b">
        <f>O372=P372</f>
        <v>0</v>
      </c>
      <c r="R372" s="30">
        <v>30041048</v>
      </c>
      <c r="S372" s="1"/>
      <c r="T372" s="11" t="b">
        <f>R372=S372</f>
        <v>0</v>
      </c>
      <c r="U372" s="10" t="s">
        <v>6</v>
      </c>
      <c r="V372" s="1"/>
      <c r="W372" s="11" t="b">
        <f>U372=V372</f>
        <v>0</v>
      </c>
      <c r="X372" s="13" t="s">
        <v>15</v>
      </c>
      <c r="Y372" s="1"/>
      <c r="Z372" s="1"/>
      <c r="AA372" s="10">
        <v>22002677</v>
      </c>
      <c r="AB372" s="10" t="s">
        <v>1409</v>
      </c>
      <c r="AD372" s="11" t="b">
        <f>AB372=AC372</f>
        <v>0</v>
      </c>
      <c r="AE372" s="10" t="s">
        <v>771</v>
      </c>
      <c r="AF372" s="1"/>
      <c r="AG372" s="11" t="b">
        <f>AE372=AF372</f>
        <v>0</v>
      </c>
      <c r="AH372" s="1">
        <v>14</v>
      </c>
      <c r="AI372" s="1">
        <v>8.59</v>
      </c>
      <c r="AJ372" s="16">
        <f>AI372*220/30*30.4375</f>
        <v>1917.3595833333334</v>
      </c>
      <c r="AK372" s="18">
        <v>1917.36</v>
      </c>
      <c r="AL372" s="72" t="s">
        <v>662</v>
      </c>
      <c r="AM372" s="48" t="b">
        <f>AL372=O372</f>
        <v>0</v>
      </c>
      <c r="AN372" s="7">
        <f>VLOOKUP(A372,'base ZITRHR129'!$G$1:$H$628,2,0)</f>
        <v>30041048</v>
      </c>
      <c r="AO372" s="7" t="b">
        <f>AN372=R372</f>
        <v>1</v>
      </c>
      <c r="AP372" s="7">
        <f>VLOOKUP(A372,'base ZITRHR129'!G260:W886,17,0)</f>
        <v>1917.36</v>
      </c>
      <c r="AQ372" s="7" t="b">
        <f>AP372=AK372</f>
        <v>1</v>
      </c>
      <c r="AR372" s="69" t="s">
        <v>1517</v>
      </c>
    </row>
    <row r="373" spans="1:44" s="7" customFormat="1" ht="12" x14ac:dyDescent="0.2">
      <c r="A373" s="20">
        <v>10051909</v>
      </c>
      <c r="B373" s="21" t="s">
        <v>396</v>
      </c>
      <c r="C373" s="21" t="s">
        <v>700</v>
      </c>
      <c r="D373" s="21" t="s">
        <v>717</v>
      </c>
      <c r="E373" s="21" t="s">
        <v>738</v>
      </c>
      <c r="F373" s="21" t="s">
        <v>1407</v>
      </c>
      <c r="G373" s="21" t="s">
        <v>765</v>
      </c>
      <c r="H373" s="22">
        <v>14</v>
      </c>
      <c r="I373" s="21" t="s">
        <v>666</v>
      </c>
      <c r="J373" s="21" t="s">
        <v>1144</v>
      </c>
      <c r="K373" s="21" t="s">
        <v>16</v>
      </c>
      <c r="L373" s="21" t="s">
        <v>17</v>
      </c>
      <c r="M373" s="21" t="s">
        <v>700</v>
      </c>
      <c r="N373" s="21" t="s">
        <v>717</v>
      </c>
      <c r="O373" s="21" t="s">
        <v>666</v>
      </c>
      <c r="P373" s="23"/>
      <c r="Q373" s="24" t="b">
        <f>O373=P373</f>
        <v>0</v>
      </c>
      <c r="R373" s="31">
        <v>30041049</v>
      </c>
      <c r="S373" s="23"/>
      <c r="T373" s="24" t="b">
        <f>R373=S373</f>
        <v>0</v>
      </c>
      <c r="U373" s="21" t="s">
        <v>16</v>
      </c>
      <c r="V373" s="23"/>
      <c r="W373" s="24" t="b">
        <f>U373=V373</f>
        <v>0</v>
      </c>
      <c r="X373" s="25" t="s">
        <v>15</v>
      </c>
      <c r="Y373" s="23"/>
      <c r="Z373" s="23"/>
      <c r="AA373" s="64">
        <v>22003024</v>
      </c>
      <c r="AB373" s="21" t="s">
        <v>1410</v>
      </c>
      <c r="AC373" s="20"/>
      <c r="AD373" s="24" t="b">
        <f>AB373=AC373</f>
        <v>0</v>
      </c>
      <c r="AE373" s="21" t="s">
        <v>765</v>
      </c>
      <c r="AF373" s="23"/>
      <c r="AG373" s="24" t="b">
        <f>AE373=AF373</f>
        <v>0</v>
      </c>
      <c r="AH373" s="23">
        <v>14</v>
      </c>
      <c r="AI373" s="23">
        <v>9.9</v>
      </c>
      <c r="AJ373" s="26">
        <f>AI373*180/30*30.4375</f>
        <v>1807.9875</v>
      </c>
      <c r="AK373" s="27">
        <v>1807.99</v>
      </c>
      <c r="AL373" s="73" t="s">
        <v>666</v>
      </c>
      <c r="AM373" s="28" t="b">
        <f>AL373=O373</f>
        <v>1</v>
      </c>
      <c r="AN373" s="20">
        <f>VLOOKUP(A373,'base ZITRHR129'!$G$1:$H$628,2,0)</f>
        <v>30041049</v>
      </c>
      <c r="AO373" s="20" t="b">
        <f>AN373=R373</f>
        <v>1</v>
      </c>
      <c r="AP373" s="20">
        <f>VLOOKUP(A373,'base ZITRHR129'!G259:W885,17,0)</f>
        <v>9.9</v>
      </c>
      <c r="AQ373" s="20" t="b">
        <f>AP373=AK373</f>
        <v>0</v>
      </c>
      <c r="AR373" s="69" t="s">
        <v>1516</v>
      </c>
    </row>
    <row r="374" spans="1:44" s="7" customFormat="1" x14ac:dyDescent="0.25">
      <c r="A374" s="7">
        <v>10051921</v>
      </c>
      <c r="B374" s="8" t="s">
        <v>397</v>
      </c>
      <c r="C374" s="8" t="s">
        <v>700</v>
      </c>
      <c r="D374" s="8" t="s">
        <v>717</v>
      </c>
      <c r="E374" s="8" t="s">
        <v>732</v>
      </c>
      <c r="F374" s="8" t="s">
        <v>1407</v>
      </c>
      <c r="G374" s="8" t="s">
        <v>761</v>
      </c>
      <c r="H374" s="9">
        <v>15</v>
      </c>
      <c r="I374" s="8" t="s">
        <v>666</v>
      </c>
      <c r="J374" s="8" t="s">
        <v>1145</v>
      </c>
      <c r="K374" s="8" t="s">
        <v>16</v>
      </c>
      <c r="L374" s="8" t="s">
        <v>17</v>
      </c>
      <c r="M374" s="10" t="s">
        <v>700</v>
      </c>
      <c r="N374" s="10" t="s">
        <v>717</v>
      </c>
      <c r="O374" s="10" t="s">
        <v>666</v>
      </c>
      <c r="P374" s="1"/>
      <c r="Q374" s="11" t="b">
        <f>O374=P374</f>
        <v>0</v>
      </c>
      <c r="R374" s="30">
        <v>30041339</v>
      </c>
      <c r="S374" s="1"/>
      <c r="T374" s="11" t="b">
        <f>R374=S374</f>
        <v>0</v>
      </c>
      <c r="U374" s="10" t="s">
        <v>16</v>
      </c>
      <c r="V374" s="1"/>
      <c r="W374" s="11" t="b">
        <f>U374=V374</f>
        <v>0</v>
      </c>
      <c r="X374" s="13" t="s">
        <v>15</v>
      </c>
      <c r="Y374" s="1"/>
      <c r="Z374" s="1"/>
      <c r="AA374" s="61">
        <v>22003423</v>
      </c>
      <c r="AB374" s="10" t="s">
        <v>1410</v>
      </c>
      <c r="AD374" s="11" t="b">
        <f>AB374=AC374</f>
        <v>0</v>
      </c>
      <c r="AE374" s="10" t="s">
        <v>761</v>
      </c>
      <c r="AF374" s="1"/>
      <c r="AG374" s="11" t="b">
        <f>AE374=AF374</f>
        <v>0</v>
      </c>
      <c r="AH374" s="1">
        <v>15</v>
      </c>
      <c r="AI374" s="1">
        <v>11.71</v>
      </c>
      <c r="AJ374" s="16">
        <f>AI374*180/30*30.4375</f>
        <v>2138.5387500000002</v>
      </c>
      <c r="AK374" s="18">
        <v>2138.54</v>
      </c>
      <c r="AL374" s="71" t="s">
        <v>666</v>
      </c>
      <c r="AM374" s="19" t="b">
        <f>AL374=O374</f>
        <v>1</v>
      </c>
      <c r="AN374" s="7">
        <f>VLOOKUP(A374,'base ZITRHR129'!$G$1:$H$628,2,0)</f>
        <v>30041339</v>
      </c>
      <c r="AO374" s="7" t="b">
        <f>AN374=R374</f>
        <v>1</v>
      </c>
      <c r="AP374" s="7">
        <f>VLOOKUP(A374,'base ZITRHR129'!G258:W884,17,0)</f>
        <v>2138.54</v>
      </c>
      <c r="AQ374" s="7" t="b">
        <f>AP374=AK374</f>
        <v>1</v>
      </c>
      <c r="AR374" s="78"/>
    </row>
    <row r="375" spans="1:44" s="7" customFormat="1" x14ac:dyDescent="0.25">
      <c r="A375" s="7">
        <v>10051937</v>
      </c>
      <c r="B375" s="8" t="s">
        <v>398</v>
      </c>
      <c r="C375" s="8" t="s">
        <v>690</v>
      </c>
      <c r="D375" s="8" t="s">
        <v>717</v>
      </c>
      <c r="E375" s="8" t="s">
        <v>726</v>
      </c>
      <c r="F375" s="8" t="s">
        <v>1406</v>
      </c>
      <c r="G375" s="8" t="s">
        <v>755</v>
      </c>
      <c r="H375" s="9">
        <v>15</v>
      </c>
      <c r="I375" s="8" t="s">
        <v>663</v>
      </c>
      <c r="J375" s="8" t="s">
        <v>1146</v>
      </c>
      <c r="K375" s="8" t="s">
        <v>16</v>
      </c>
      <c r="L375" s="8" t="s">
        <v>17</v>
      </c>
      <c r="M375" s="10" t="s">
        <v>690</v>
      </c>
      <c r="N375" s="10" t="s">
        <v>717</v>
      </c>
      <c r="O375" s="10" t="s">
        <v>663</v>
      </c>
      <c r="P375" s="1"/>
      <c r="Q375" s="11" t="b">
        <f>O375=P375</f>
        <v>0</v>
      </c>
      <c r="R375" s="30">
        <v>30041051</v>
      </c>
      <c r="S375" s="1"/>
      <c r="T375" s="11" t="b">
        <f>R375=S375</f>
        <v>0</v>
      </c>
      <c r="U375" s="10" t="s">
        <v>16</v>
      </c>
      <c r="V375" s="1"/>
      <c r="W375" s="11" t="b">
        <f>U375=V375</f>
        <v>0</v>
      </c>
      <c r="X375" s="13" t="s">
        <v>15</v>
      </c>
      <c r="Y375" s="1"/>
      <c r="Z375" s="1"/>
      <c r="AA375" s="10">
        <v>22002617</v>
      </c>
      <c r="AB375" s="10" t="s">
        <v>1409</v>
      </c>
      <c r="AD375" s="11" t="b">
        <f>AB375=AC375</f>
        <v>0</v>
      </c>
      <c r="AE375" s="10" t="s">
        <v>755</v>
      </c>
      <c r="AF375" s="1"/>
      <c r="AG375" s="11" t="b">
        <f>AE375=AF375</f>
        <v>0</v>
      </c>
      <c r="AH375" s="1">
        <v>15</v>
      </c>
      <c r="AI375" s="1">
        <v>9.4499999999999993</v>
      </c>
      <c r="AJ375" s="16">
        <f>AI375*220/30*30.4375</f>
        <v>2109.3187499999999</v>
      </c>
      <c r="AK375" s="18">
        <v>2109.3200000000002</v>
      </c>
      <c r="AL375" s="71" t="s">
        <v>663</v>
      </c>
      <c r="AM375" s="19" t="b">
        <f>AL375=O375</f>
        <v>1</v>
      </c>
      <c r="AN375" s="7">
        <f>VLOOKUP(A375,'base ZITRHR129'!$G$1:$H$628,2,0)</f>
        <v>30041051</v>
      </c>
      <c r="AO375" s="7" t="b">
        <f>AN375=R375</f>
        <v>1</v>
      </c>
      <c r="AP375" s="7">
        <f>VLOOKUP(A375,'base ZITRHR129'!G257:W883,17,0)</f>
        <v>2109.3200000000002</v>
      </c>
      <c r="AQ375" s="7" t="b">
        <f>AP375=AK375</f>
        <v>1</v>
      </c>
      <c r="AR375" s="78"/>
    </row>
    <row r="376" spans="1:44" s="7" customFormat="1" x14ac:dyDescent="0.25">
      <c r="A376" s="7">
        <v>10051970</v>
      </c>
      <c r="B376" s="8" t="s">
        <v>399</v>
      </c>
      <c r="C376" s="8" t="s">
        <v>710</v>
      </c>
      <c r="D376" s="8" t="s">
        <v>717</v>
      </c>
      <c r="E376" s="8" t="s">
        <v>737</v>
      </c>
      <c r="F376" s="8" t="s">
        <v>1406</v>
      </c>
      <c r="G376" s="8" t="s">
        <v>765</v>
      </c>
      <c r="H376" s="9">
        <v>14</v>
      </c>
      <c r="I376" s="8" t="s">
        <v>674</v>
      </c>
      <c r="J376" s="8" t="s">
        <v>1147</v>
      </c>
      <c r="K376" s="8" t="s">
        <v>16</v>
      </c>
      <c r="L376" s="8" t="s">
        <v>17</v>
      </c>
      <c r="M376" s="10" t="s">
        <v>710</v>
      </c>
      <c r="N376" s="10" t="s">
        <v>717</v>
      </c>
      <c r="O376" s="10" t="s">
        <v>674</v>
      </c>
      <c r="P376" s="1"/>
      <c r="Q376" s="11" t="b">
        <f>O376=P376</f>
        <v>0</v>
      </c>
      <c r="R376" s="30">
        <v>30041052</v>
      </c>
      <c r="S376" s="1"/>
      <c r="T376" s="11" t="b">
        <f>R376=S376</f>
        <v>0</v>
      </c>
      <c r="U376" s="10" t="s">
        <v>16</v>
      </c>
      <c r="V376" s="1"/>
      <c r="W376" s="11" t="b">
        <f>U376=V376</f>
        <v>0</v>
      </c>
      <c r="X376" s="13" t="s">
        <v>15</v>
      </c>
      <c r="Y376" s="1"/>
      <c r="Z376" s="1"/>
      <c r="AA376" s="10">
        <v>22002830</v>
      </c>
      <c r="AB376" s="10" t="s">
        <v>1409</v>
      </c>
      <c r="AD376" s="11" t="b">
        <f>AB376=AC376</f>
        <v>0</v>
      </c>
      <c r="AE376" s="10" t="s">
        <v>765</v>
      </c>
      <c r="AF376" s="1"/>
      <c r="AG376" s="11" t="b">
        <f>AE376=AF376</f>
        <v>0</v>
      </c>
      <c r="AH376" s="1">
        <v>14</v>
      </c>
      <c r="AI376" s="1">
        <v>8.59</v>
      </c>
      <c r="AJ376" s="16">
        <f>AI376*220/30*30.4375</f>
        <v>1917.3595833333334</v>
      </c>
      <c r="AK376" s="18">
        <v>1917.36</v>
      </c>
      <c r="AL376" s="71" t="s">
        <v>674</v>
      </c>
      <c r="AM376" s="19" t="b">
        <f>AL376=O376</f>
        <v>1</v>
      </c>
      <c r="AN376" s="7">
        <f>VLOOKUP(A376,'base ZITRHR129'!$G$1:$H$628,2,0)</f>
        <v>30041052</v>
      </c>
      <c r="AO376" s="7" t="b">
        <f>AN376=R376</f>
        <v>1</v>
      </c>
      <c r="AP376" s="7">
        <f>VLOOKUP(A376,'base ZITRHR129'!G256:W882,17,0)</f>
        <v>1917.36</v>
      </c>
      <c r="AQ376" s="7" t="b">
        <f>AP376=AK376</f>
        <v>1</v>
      </c>
      <c r="AR376" s="78"/>
    </row>
    <row r="377" spans="1:44" s="7" customFormat="1" x14ac:dyDescent="0.25">
      <c r="A377" s="7">
        <v>10051980</v>
      </c>
      <c r="B377" s="8" t="s">
        <v>400</v>
      </c>
      <c r="C377" s="8" t="s">
        <v>689</v>
      </c>
      <c r="D377" s="8" t="s">
        <v>717</v>
      </c>
      <c r="E377" s="8" t="s">
        <v>730</v>
      </c>
      <c r="F377" s="8" t="s">
        <v>1406</v>
      </c>
      <c r="G377" s="8" t="s">
        <v>759</v>
      </c>
      <c r="H377" s="9">
        <v>17</v>
      </c>
      <c r="I377" s="8" t="s">
        <v>662</v>
      </c>
      <c r="J377" s="8" t="s">
        <v>1148</v>
      </c>
      <c r="K377" s="8" t="s">
        <v>16</v>
      </c>
      <c r="L377" s="8" t="s">
        <v>17</v>
      </c>
      <c r="M377" s="10" t="s">
        <v>689</v>
      </c>
      <c r="N377" s="10" t="s">
        <v>717</v>
      </c>
      <c r="O377" s="10" t="s">
        <v>662</v>
      </c>
      <c r="P377" s="1"/>
      <c r="Q377" s="11" t="b">
        <f>O377=P377</f>
        <v>0</v>
      </c>
      <c r="R377" s="30">
        <v>30041053</v>
      </c>
      <c r="S377" s="1"/>
      <c r="T377" s="11" t="b">
        <f>R377=S377</f>
        <v>0</v>
      </c>
      <c r="U377" s="10" t="s">
        <v>16</v>
      </c>
      <c r="V377" s="1"/>
      <c r="W377" s="11" t="b">
        <f>U377=V377</f>
        <v>0</v>
      </c>
      <c r="X377" s="13" t="s">
        <v>15</v>
      </c>
      <c r="Y377" s="1"/>
      <c r="Z377" s="1"/>
      <c r="AA377" s="63">
        <v>22002605</v>
      </c>
      <c r="AB377" s="10" t="s">
        <v>1409</v>
      </c>
      <c r="AD377" s="11" t="b">
        <f>AB377=AC377</f>
        <v>0</v>
      </c>
      <c r="AE377" s="10" t="s">
        <v>759</v>
      </c>
      <c r="AF377" s="1"/>
      <c r="AG377" s="11" t="b">
        <f>AE377=AF377</f>
        <v>0</v>
      </c>
      <c r="AH377" s="1">
        <v>17</v>
      </c>
      <c r="AI377" s="1">
        <v>12.63</v>
      </c>
      <c r="AJ377" s="16">
        <f>AI377*220/30*30.4375</f>
        <v>2819.1212500000006</v>
      </c>
      <c r="AK377" s="18">
        <v>2819.12</v>
      </c>
      <c r="AL377" s="71" t="s">
        <v>662</v>
      </c>
      <c r="AM377" s="19" t="b">
        <f>AL377=O377</f>
        <v>1</v>
      </c>
      <c r="AN377" s="7">
        <f>VLOOKUP(A377,'base ZITRHR129'!$G$1:$H$628,2,0)</f>
        <v>30041053</v>
      </c>
      <c r="AO377" s="7" t="b">
        <f>AN377=R377</f>
        <v>1</v>
      </c>
      <c r="AP377" s="7">
        <f>VLOOKUP(A377,'base ZITRHR129'!G255:W881,17,0)</f>
        <v>2819.12</v>
      </c>
      <c r="AQ377" s="7" t="b">
        <f>AP377=AK377</f>
        <v>1</v>
      </c>
      <c r="AR377" s="78"/>
    </row>
    <row r="378" spans="1:44" s="7" customFormat="1" x14ac:dyDescent="0.25">
      <c r="A378" s="7">
        <v>10051988</v>
      </c>
      <c r="B378" s="8" t="s">
        <v>401</v>
      </c>
      <c r="C378" s="8" t="s">
        <v>689</v>
      </c>
      <c r="D378" s="8" t="s">
        <v>717</v>
      </c>
      <c r="E378" s="8" t="s">
        <v>730</v>
      </c>
      <c r="F378" s="8" t="s">
        <v>1406</v>
      </c>
      <c r="G378" s="8" t="s">
        <v>759</v>
      </c>
      <c r="H378" s="9">
        <v>17</v>
      </c>
      <c r="I378" s="8" t="s">
        <v>662</v>
      </c>
      <c r="J378" s="8" t="s">
        <v>1149</v>
      </c>
      <c r="K378" s="8" t="s">
        <v>16</v>
      </c>
      <c r="L378" s="8" t="s">
        <v>17</v>
      </c>
      <c r="M378" s="10" t="s">
        <v>689</v>
      </c>
      <c r="N378" s="10" t="s">
        <v>717</v>
      </c>
      <c r="O378" s="10" t="s">
        <v>662</v>
      </c>
      <c r="P378" s="1"/>
      <c r="Q378" s="11" t="b">
        <f>O378=P378</f>
        <v>0</v>
      </c>
      <c r="R378" s="30">
        <v>30041054</v>
      </c>
      <c r="S378" s="1"/>
      <c r="T378" s="11" t="b">
        <f>R378=S378</f>
        <v>0</v>
      </c>
      <c r="U378" s="10" t="s">
        <v>16</v>
      </c>
      <c r="V378" s="1"/>
      <c r="W378" s="11" t="b">
        <f>U378=V378</f>
        <v>0</v>
      </c>
      <c r="X378" s="13" t="s">
        <v>15</v>
      </c>
      <c r="Y378" s="1"/>
      <c r="Z378" s="1"/>
      <c r="AA378" s="63">
        <v>22002605</v>
      </c>
      <c r="AB378" s="10" t="s">
        <v>1409</v>
      </c>
      <c r="AD378" s="11" t="b">
        <f>AB378=AC378</f>
        <v>0</v>
      </c>
      <c r="AE378" s="10" t="s">
        <v>759</v>
      </c>
      <c r="AF378" s="1"/>
      <c r="AG378" s="11" t="b">
        <f>AE378=AF378</f>
        <v>0</v>
      </c>
      <c r="AH378" s="1">
        <v>17</v>
      </c>
      <c r="AI378" s="1">
        <v>13.31</v>
      </c>
      <c r="AJ378" s="16">
        <f>AI378*220/30*30.4375</f>
        <v>2970.9029166666669</v>
      </c>
      <c r="AK378" s="18">
        <v>2970.9</v>
      </c>
      <c r="AL378" s="71" t="s">
        <v>662</v>
      </c>
      <c r="AM378" s="19" t="b">
        <f>AL378=O378</f>
        <v>1</v>
      </c>
      <c r="AN378" s="7">
        <f>VLOOKUP(A378,'base ZITRHR129'!$G$1:$H$628,2,0)</f>
        <v>30041054</v>
      </c>
      <c r="AO378" s="7" t="b">
        <f>AN378=R378</f>
        <v>1</v>
      </c>
      <c r="AP378" s="7">
        <f>VLOOKUP(A378,'base ZITRHR129'!G254:W880,17,0)</f>
        <v>2970.9</v>
      </c>
      <c r="AQ378" s="7" t="b">
        <f>AP378=AK378</f>
        <v>1</v>
      </c>
      <c r="AR378" s="78"/>
    </row>
    <row r="379" spans="1:44" s="7" customFormat="1" x14ac:dyDescent="0.25">
      <c r="A379" s="7">
        <v>10052058</v>
      </c>
      <c r="B379" s="8" t="s">
        <v>402</v>
      </c>
      <c r="C379" s="8" t="s">
        <v>702</v>
      </c>
      <c r="D379" s="8" t="s">
        <v>717</v>
      </c>
      <c r="E379" s="8" t="s">
        <v>742</v>
      </c>
      <c r="F379" s="8" t="s">
        <v>1406</v>
      </c>
      <c r="G379" s="8" t="s">
        <v>769</v>
      </c>
      <c r="H379" s="9">
        <v>15</v>
      </c>
      <c r="I379" s="8" t="s">
        <v>668</v>
      </c>
      <c r="J379" s="8" t="s">
        <v>1150</v>
      </c>
      <c r="K379" s="8" t="s">
        <v>16</v>
      </c>
      <c r="L379" s="8" t="s">
        <v>17</v>
      </c>
      <c r="M379" s="10" t="s">
        <v>702</v>
      </c>
      <c r="N379" s="10" t="s">
        <v>717</v>
      </c>
      <c r="O379" s="10" t="s">
        <v>668</v>
      </c>
      <c r="P379" s="1"/>
      <c r="Q379" s="11" t="b">
        <f>O379=P379</f>
        <v>0</v>
      </c>
      <c r="R379" s="30">
        <v>30041055</v>
      </c>
      <c r="S379" s="1"/>
      <c r="T379" s="11" t="b">
        <f>R379=S379</f>
        <v>0</v>
      </c>
      <c r="U379" s="10" t="s">
        <v>16</v>
      </c>
      <c r="V379" s="1"/>
      <c r="W379" s="11" t="b">
        <f>U379=V379</f>
        <v>0</v>
      </c>
      <c r="X379" s="13" t="s">
        <v>15</v>
      </c>
      <c r="Y379" s="1"/>
      <c r="Z379" s="1"/>
      <c r="AA379" s="60">
        <v>22001389</v>
      </c>
      <c r="AB379" s="10" t="s">
        <v>1409</v>
      </c>
      <c r="AD379" s="11" t="b">
        <f>AB379=AC379</f>
        <v>0</v>
      </c>
      <c r="AE379" s="10" t="s">
        <v>769</v>
      </c>
      <c r="AF379" s="1"/>
      <c r="AG379" s="11" t="b">
        <f>AE379=AF379</f>
        <v>0</v>
      </c>
      <c r="AH379" s="1">
        <v>15</v>
      </c>
      <c r="AI379" s="1">
        <v>8.59</v>
      </c>
      <c r="AJ379" s="16">
        <f>AI379*220/30*30.4375</f>
        <v>1917.3595833333334</v>
      </c>
      <c r="AK379" s="18">
        <v>1917.36</v>
      </c>
      <c r="AL379" s="71" t="s">
        <v>668</v>
      </c>
      <c r="AM379" s="19" t="b">
        <f>AL379=O379</f>
        <v>1</v>
      </c>
      <c r="AN379" s="7">
        <f>VLOOKUP(A379,'base ZITRHR129'!$G$1:$H$628,2,0)</f>
        <v>30041055</v>
      </c>
      <c r="AO379" s="7" t="b">
        <f>AN379=R379</f>
        <v>1</v>
      </c>
      <c r="AP379" s="7">
        <f>VLOOKUP(A379,'base ZITRHR129'!G253:W879,17,0)</f>
        <v>1917.36</v>
      </c>
      <c r="AQ379" s="7" t="b">
        <f>AP379=AK379</f>
        <v>1</v>
      </c>
      <c r="AR379" s="78"/>
    </row>
    <row r="380" spans="1:44" s="7" customFormat="1" x14ac:dyDescent="0.25">
      <c r="A380" s="7">
        <v>10052118</v>
      </c>
      <c r="B380" s="8" t="s">
        <v>403</v>
      </c>
      <c r="C380" s="8" t="s">
        <v>689</v>
      </c>
      <c r="D380" s="8" t="s">
        <v>717</v>
      </c>
      <c r="E380" s="8" t="s">
        <v>730</v>
      </c>
      <c r="F380" s="8" t="s">
        <v>1406</v>
      </c>
      <c r="G380" s="8" t="s">
        <v>759</v>
      </c>
      <c r="H380" s="9">
        <v>17</v>
      </c>
      <c r="I380" s="8" t="s">
        <v>662</v>
      </c>
      <c r="J380" s="8" t="s">
        <v>1151</v>
      </c>
      <c r="K380" s="8" t="s">
        <v>16</v>
      </c>
      <c r="L380" s="8" t="s">
        <v>17</v>
      </c>
      <c r="M380" s="10" t="s">
        <v>689</v>
      </c>
      <c r="N380" s="10" t="s">
        <v>717</v>
      </c>
      <c r="O380" s="10" t="s">
        <v>662</v>
      </c>
      <c r="P380" s="1"/>
      <c r="Q380" s="11" t="b">
        <f>O380=P380</f>
        <v>0</v>
      </c>
      <c r="R380" s="30">
        <v>30041056</v>
      </c>
      <c r="S380" s="1"/>
      <c r="T380" s="11" t="b">
        <f>R380=S380</f>
        <v>0</v>
      </c>
      <c r="U380" s="10" t="s">
        <v>16</v>
      </c>
      <c r="V380" s="1"/>
      <c r="W380" s="11" t="b">
        <f>U380=V380</f>
        <v>0</v>
      </c>
      <c r="X380" s="13" t="s">
        <v>15</v>
      </c>
      <c r="Y380" s="1"/>
      <c r="Z380" s="1"/>
      <c r="AA380" s="63">
        <v>22002605</v>
      </c>
      <c r="AB380" s="10" t="s">
        <v>1409</v>
      </c>
      <c r="AD380" s="11" t="b">
        <f>AB380=AC380</f>
        <v>0</v>
      </c>
      <c r="AE380" s="10" t="s">
        <v>759</v>
      </c>
      <c r="AF380" s="1"/>
      <c r="AG380" s="11" t="b">
        <f>AE380=AF380</f>
        <v>0</v>
      </c>
      <c r="AH380" s="1">
        <v>17</v>
      </c>
      <c r="AI380" s="1">
        <v>13</v>
      </c>
      <c r="AJ380" s="16">
        <f>AI380*220/30*30.4375</f>
        <v>2901.708333333333</v>
      </c>
      <c r="AK380" s="18">
        <v>2901.71</v>
      </c>
      <c r="AL380" s="71" t="s">
        <v>662</v>
      </c>
      <c r="AM380" s="19" t="b">
        <f>AL380=O380</f>
        <v>1</v>
      </c>
      <c r="AN380" s="7">
        <f>VLOOKUP(A380,'base ZITRHR129'!$G$1:$H$628,2,0)</f>
        <v>30041056</v>
      </c>
      <c r="AO380" s="7" t="b">
        <f>AN380=R380</f>
        <v>1</v>
      </c>
      <c r="AP380" s="7">
        <f>VLOOKUP(A380,'base ZITRHR129'!G252:W878,17,0)</f>
        <v>2901.71</v>
      </c>
      <c r="AQ380" s="7" t="b">
        <f>AP380=AK380</f>
        <v>1</v>
      </c>
      <c r="AR380" s="78"/>
    </row>
    <row r="381" spans="1:44" s="7" customFormat="1" x14ac:dyDescent="0.25">
      <c r="A381" s="7">
        <v>10052171</v>
      </c>
      <c r="B381" s="8" t="s">
        <v>404</v>
      </c>
      <c r="C381" s="8" t="s">
        <v>704</v>
      </c>
      <c r="D381" s="8" t="s">
        <v>717</v>
      </c>
      <c r="E381" s="8" t="s">
        <v>737</v>
      </c>
      <c r="F381" s="8" t="s">
        <v>1406</v>
      </c>
      <c r="G381" s="8" t="s">
        <v>765</v>
      </c>
      <c r="H381" s="9">
        <v>14</v>
      </c>
      <c r="I381" s="8" t="s">
        <v>669</v>
      </c>
      <c r="J381" s="8" t="s">
        <v>1152</v>
      </c>
      <c r="K381" s="8" t="s">
        <v>16</v>
      </c>
      <c r="L381" s="8" t="s">
        <v>17</v>
      </c>
      <c r="M381" s="10" t="s">
        <v>704</v>
      </c>
      <c r="N381" s="10" t="s">
        <v>717</v>
      </c>
      <c r="O381" s="10" t="s">
        <v>669</v>
      </c>
      <c r="P381" s="1"/>
      <c r="Q381" s="11" t="b">
        <f>O381=P381</f>
        <v>0</v>
      </c>
      <c r="R381" s="30">
        <v>30041057</v>
      </c>
      <c r="S381" s="1"/>
      <c r="T381" s="11" t="b">
        <f>R381=S381</f>
        <v>0</v>
      </c>
      <c r="U381" s="10" t="s">
        <v>16</v>
      </c>
      <c r="V381" s="1"/>
      <c r="W381" s="11" t="b">
        <f>U381=V381</f>
        <v>0</v>
      </c>
      <c r="X381" s="13" t="s">
        <v>15</v>
      </c>
      <c r="Y381" s="1"/>
      <c r="Z381" s="1"/>
      <c r="AA381" s="10">
        <v>22002830</v>
      </c>
      <c r="AB381" s="10" t="s">
        <v>1409</v>
      </c>
      <c r="AD381" s="11" t="b">
        <f>AB381=AC381</f>
        <v>0</v>
      </c>
      <c r="AE381" s="10" t="s">
        <v>765</v>
      </c>
      <c r="AF381" s="1"/>
      <c r="AG381" s="11" t="b">
        <f>AE381=AF381</f>
        <v>0</v>
      </c>
      <c r="AH381" s="1">
        <v>14</v>
      </c>
      <c r="AI381" s="1">
        <v>8.59</v>
      </c>
      <c r="AJ381" s="16">
        <f>AI381*220/30*30.4375</f>
        <v>1917.3595833333334</v>
      </c>
      <c r="AK381" s="18">
        <v>1917.36</v>
      </c>
      <c r="AL381" s="71" t="s">
        <v>669</v>
      </c>
      <c r="AM381" s="19" t="b">
        <f>AL381=O381</f>
        <v>1</v>
      </c>
      <c r="AN381" s="7">
        <f>VLOOKUP(A381,'base ZITRHR129'!$G$1:$H$628,2,0)</f>
        <v>30041057</v>
      </c>
      <c r="AO381" s="7" t="b">
        <f>AN381=R381</f>
        <v>1</v>
      </c>
      <c r="AP381" s="7">
        <f>VLOOKUP(A381,'base ZITRHR129'!G251:W877,17,0)</f>
        <v>1917.36</v>
      </c>
      <c r="AQ381" s="7" t="b">
        <f>AP381=AK381</f>
        <v>1</v>
      </c>
      <c r="AR381" s="78"/>
    </row>
    <row r="382" spans="1:44" s="7" customFormat="1" x14ac:dyDescent="0.25">
      <c r="A382" s="7">
        <v>10052180</v>
      </c>
      <c r="B382" s="8" t="s">
        <v>405</v>
      </c>
      <c r="C382" s="8" t="s">
        <v>689</v>
      </c>
      <c r="D382" s="8" t="s">
        <v>717</v>
      </c>
      <c r="E382" s="8" t="s">
        <v>723</v>
      </c>
      <c r="F382" s="8" t="s">
        <v>1406</v>
      </c>
      <c r="G382" s="8" t="s">
        <v>19</v>
      </c>
      <c r="H382" s="9">
        <v>16</v>
      </c>
      <c r="I382" s="8" t="s">
        <v>662</v>
      </c>
      <c r="J382" s="8" t="s">
        <v>1153</v>
      </c>
      <c r="K382" s="8" t="s">
        <v>16</v>
      </c>
      <c r="L382" s="8" t="s">
        <v>17</v>
      </c>
      <c r="M382" s="10" t="s">
        <v>689</v>
      </c>
      <c r="N382" s="10" t="s">
        <v>717</v>
      </c>
      <c r="O382" s="10" t="s">
        <v>662</v>
      </c>
      <c r="P382" s="1"/>
      <c r="Q382" s="11" t="b">
        <f>O382=P382</f>
        <v>0</v>
      </c>
      <c r="R382" s="30">
        <v>30041058</v>
      </c>
      <c r="S382" s="1"/>
      <c r="T382" s="11" t="b">
        <f>R382=S382</f>
        <v>0</v>
      </c>
      <c r="U382" s="10" t="s">
        <v>16</v>
      </c>
      <c r="V382" s="1"/>
      <c r="W382" s="11" t="b">
        <f>U382=V382</f>
        <v>0</v>
      </c>
      <c r="X382" s="13" t="s">
        <v>15</v>
      </c>
      <c r="Y382" s="1"/>
      <c r="Z382" s="1"/>
      <c r="AA382" s="10">
        <v>22002460</v>
      </c>
      <c r="AB382" s="10" t="s">
        <v>1409</v>
      </c>
      <c r="AD382" s="11" t="b">
        <f>AB382=AC382</f>
        <v>0</v>
      </c>
      <c r="AE382" s="10" t="s">
        <v>19</v>
      </c>
      <c r="AF382" s="1"/>
      <c r="AG382" s="11" t="b">
        <f>AE382=AF382</f>
        <v>0</v>
      </c>
      <c r="AH382" s="1">
        <v>16</v>
      </c>
      <c r="AI382" s="1">
        <v>10.26</v>
      </c>
      <c r="AJ382" s="16">
        <f>AI382*220/30*30.4375</f>
        <v>2290.1174999999998</v>
      </c>
      <c r="AK382" s="18">
        <v>2290.12</v>
      </c>
      <c r="AL382" s="71" t="s">
        <v>662</v>
      </c>
      <c r="AM382" s="19" t="b">
        <f>AL382=O382</f>
        <v>1</v>
      </c>
      <c r="AN382" s="7">
        <f>VLOOKUP(A382,'base ZITRHR129'!$G$1:$H$628,2,0)</f>
        <v>30041058</v>
      </c>
      <c r="AO382" s="7" t="b">
        <f>AN382=R382</f>
        <v>1</v>
      </c>
      <c r="AP382" s="7">
        <f>VLOOKUP(A382,'base ZITRHR129'!G250:W876,17,0)</f>
        <v>2290.12</v>
      </c>
      <c r="AQ382" s="7" t="b">
        <f>AP382=AK382</f>
        <v>1</v>
      </c>
      <c r="AR382" s="78"/>
    </row>
    <row r="383" spans="1:44" s="7" customFormat="1" x14ac:dyDescent="0.25">
      <c r="A383" s="7">
        <v>10052214</v>
      </c>
      <c r="B383" s="8" t="s">
        <v>406</v>
      </c>
      <c r="C383" s="8" t="s">
        <v>680</v>
      </c>
      <c r="D383" s="8" t="s">
        <v>717</v>
      </c>
      <c r="E383" s="8" t="s">
        <v>729</v>
      </c>
      <c r="F383" s="8" t="s">
        <v>1406</v>
      </c>
      <c r="G383" s="8" t="s">
        <v>758</v>
      </c>
      <c r="H383" s="9">
        <v>17</v>
      </c>
      <c r="I383" s="8" t="s">
        <v>654</v>
      </c>
      <c r="J383" s="8" t="s">
        <v>1154</v>
      </c>
      <c r="K383" s="8" t="s">
        <v>16</v>
      </c>
      <c r="L383" s="8" t="s">
        <v>17</v>
      </c>
      <c r="M383" s="10" t="s">
        <v>680</v>
      </c>
      <c r="N383" s="10" t="s">
        <v>717</v>
      </c>
      <c r="O383" s="10" t="s">
        <v>654</v>
      </c>
      <c r="P383" s="1"/>
      <c r="Q383" s="11" t="b">
        <f>O383=P383</f>
        <v>0</v>
      </c>
      <c r="R383" s="30">
        <v>30041059</v>
      </c>
      <c r="S383" s="1"/>
      <c r="T383" s="11" t="b">
        <f>R383=S383</f>
        <v>0</v>
      </c>
      <c r="U383" s="10" t="s">
        <v>16</v>
      </c>
      <c r="V383" s="1"/>
      <c r="W383" s="11" t="b">
        <f>U383=V383</f>
        <v>0</v>
      </c>
      <c r="X383" s="13" t="s">
        <v>15</v>
      </c>
      <c r="Y383" s="1"/>
      <c r="Z383" s="1"/>
      <c r="AA383" s="10">
        <v>22002447</v>
      </c>
      <c r="AB383" s="10" t="s">
        <v>1409</v>
      </c>
      <c r="AD383" s="11" t="b">
        <f>AB383=AC383</f>
        <v>0</v>
      </c>
      <c r="AE383" s="10" t="s">
        <v>758</v>
      </c>
      <c r="AF383" s="1"/>
      <c r="AG383" s="11" t="b">
        <f>AE383=AF383</f>
        <v>0</v>
      </c>
      <c r="AH383" s="1">
        <v>17</v>
      </c>
      <c r="AI383" s="1">
        <v>12.44</v>
      </c>
      <c r="AJ383" s="16">
        <f>AI383*220/30*30.4375</f>
        <v>2776.7116666666666</v>
      </c>
      <c r="AK383" s="18">
        <v>2776.71</v>
      </c>
      <c r="AL383" s="71" t="s">
        <v>654</v>
      </c>
      <c r="AM383" s="19" t="b">
        <f>AL383=O383</f>
        <v>1</v>
      </c>
      <c r="AN383" s="7">
        <f>VLOOKUP(A383,'base ZITRHR129'!$G$1:$H$628,2,0)</f>
        <v>30041059</v>
      </c>
      <c r="AO383" s="7" t="b">
        <f>AN383=R383</f>
        <v>1</v>
      </c>
      <c r="AP383" s="7">
        <f>VLOOKUP(A383,'base ZITRHR129'!G249:W875,17,0)</f>
        <v>2776.71</v>
      </c>
      <c r="AQ383" s="7" t="b">
        <f>AP383=AK383</f>
        <v>1</v>
      </c>
      <c r="AR383" s="78"/>
    </row>
    <row r="384" spans="1:44" s="7" customFormat="1" x14ac:dyDescent="0.25">
      <c r="A384" s="7">
        <v>10052266</v>
      </c>
      <c r="B384" s="8" t="s">
        <v>407</v>
      </c>
      <c r="C384" s="8" t="s">
        <v>702</v>
      </c>
      <c r="D384" s="8" t="s">
        <v>717</v>
      </c>
      <c r="E384" s="8" t="s">
        <v>742</v>
      </c>
      <c r="F384" s="8" t="s">
        <v>1406</v>
      </c>
      <c r="G384" s="8" t="s">
        <v>769</v>
      </c>
      <c r="H384" s="9">
        <v>15</v>
      </c>
      <c r="I384" s="8" t="s">
        <v>668</v>
      </c>
      <c r="J384" s="8" t="s">
        <v>1155</v>
      </c>
      <c r="K384" s="8" t="s">
        <v>16</v>
      </c>
      <c r="L384" s="8" t="s">
        <v>17</v>
      </c>
      <c r="M384" s="10" t="s">
        <v>702</v>
      </c>
      <c r="N384" s="10" t="s">
        <v>717</v>
      </c>
      <c r="O384" s="10" t="s">
        <v>668</v>
      </c>
      <c r="P384" s="1"/>
      <c r="Q384" s="11" t="b">
        <f>O384=P384</f>
        <v>0</v>
      </c>
      <c r="R384" s="30">
        <v>30041060</v>
      </c>
      <c r="S384" s="1"/>
      <c r="T384" s="11" t="b">
        <f>R384=S384</f>
        <v>0</v>
      </c>
      <c r="U384" s="10" t="s">
        <v>16</v>
      </c>
      <c r="V384" s="1"/>
      <c r="W384" s="11" t="b">
        <f>U384=V384</f>
        <v>0</v>
      </c>
      <c r="X384" s="13" t="s">
        <v>15</v>
      </c>
      <c r="Y384" s="1"/>
      <c r="Z384" s="1"/>
      <c r="AA384" s="60">
        <v>22001389</v>
      </c>
      <c r="AB384" s="10" t="s">
        <v>1409</v>
      </c>
      <c r="AD384" s="11" t="b">
        <f>AB384=AC384</f>
        <v>0</v>
      </c>
      <c r="AE384" s="10" t="s">
        <v>769</v>
      </c>
      <c r="AF384" s="1"/>
      <c r="AG384" s="11" t="b">
        <f>AE384=AF384</f>
        <v>0</v>
      </c>
      <c r="AH384" s="1">
        <v>15</v>
      </c>
      <c r="AI384" s="1">
        <v>8.59</v>
      </c>
      <c r="AJ384" s="16">
        <f>AI384*220/30*30.4375</f>
        <v>1917.3595833333334</v>
      </c>
      <c r="AK384" s="18">
        <v>1917.36</v>
      </c>
      <c r="AL384" s="71" t="s">
        <v>668</v>
      </c>
      <c r="AM384" s="19" t="b">
        <f>AL384=O384</f>
        <v>1</v>
      </c>
      <c r="AN384" s="7">
        <f>VLOOKUP(A384,'base ZITRHR129'!$G$1:$H$628,2,0)</f>
        <v>30041060</v>
      </c>
      <c r="AO384" s="7" t="b">
        <f>AN384=R384</f>
        <v>1</v>
      </c>
      <c r="AP384" s="7">
        <f>VLOOKUP(A384,'base ZITRHR129'!G248:W874,17,0)</f>
        <v>1917.36</v>
      </c>
      <c r="AQ384" s="7" t="b">
        <f>AP384=AK384</f>
        <v>1</v>
      </c>
      <c r="AR384" s="78"/>
    </row>
    <row r="385" spans="1:44" s="7" customFormat="1" x14ac:dyDescent="0.25">
      <c r="A385" s="7">
        <v>10052349</v>
      </c>
      <c r="B385" s="8" t="s">
        <v>408</v>
      </c>
      <c r="C385" s="8" t="s">
        <v>700</v>
      </c>
      <c r="D385" s="8" t="s">
        <v>717</v>
      </c>
      <c r="E385" s="8" t="s">
        <v>732</v>
      </c>
      <c r="F385" s="8" t="s">
        <v>1407</v>
      </c>
      <c r="G385" s="8" t="s">
        <v>761</v>
      </c>
      <c r="H385" s="9">
        <v>15</v>
      </c>
      <c r="I385" s="8" t="s">
        <v>666</v>
      </c>
      <c r="J385" s="8" t="s">
        <v>1156</v>
      </c>
      <c r="K385" s="8" t="s">
        <v>16</v>
      </c>
      <c r="L385" s="8" t="s">
        <v>17</v>
      </c>
      <c r="M385" s="10" t="s">
        <v>700</v>
      </c>
      <c r="N385" s="10" t="s">
        <v>717</v>
      </c>
      <c r="O385" s="10" t="s">
        <v>666</v>
      </c>
      <c r="P385" s="1"/>
      <c r="Q385" s="11" t="b">
        <f>O385=P385</f>
        <v>0</v>
      </c>
      <c r="R385" s="30">
        <v>30041340</v>
      </c>
      <c r="S385" s="1"/>
      <c r="T385" s="11" t="b">
        <f>R385=S385</f>
        <v>0</v>
      </c>
      <c r="U385" s="10" t="s">
        <v>16</v>
      </c>
      <c r="V385" s="1"/>
      <c r="W385" s="11" t="b">
        <f>U385=V385</f>
        <v>0</v>
      </c>
      <c r="X385" s="13" t="s">
        <v>15</v>
      </c>
      <c r="Y385" s="1"/>
      <c r="Z385" s="1"/>
      <c r="AA385" s="61">
        <v>22003423</v>
      </c>
      <c r="AB385" s="10" t="s">
        <v>1410</v>
      </c>
      <c r="AD385" s="11" t="b">
        <f>AB385=AC385</f>
        <v>0</v>
      </c>
      <c r="AE385" s="10" t="s">
        <v>761</v>
      </c>
      <c r="AF385" s="1"/>
      <c r="AG385" s="11" t="b">
        <f>AE385=AF385</f>
        <v>0</v>
      </c>
      <c r="AH385" s="1">
        <v>15</v>
      </c>
      <c r="AI385" s="1">
        <v>11.71</v>
      </c>
      <c r="AJ385" s="16">
        <f>AI385*180/30*30.4375</f>
        <v>2138.5387500000002</v>
      </c>
      <c r="AK385" s="18">
        <v>2138.54</v>
      </c>
      <c r="AL385" s="71" t="s">
        <v>666</v>
      </c>
      <c r="AM385" s="19" t="b">
        <f>AL385=O385</f>
        <v>1</v>
      </c>
      <c r="AN385" s="7">
        <f>VLOOKUP(A385,'base ZITRHR129'!$G$1:$H$628,2,0)</f>
        <v>30041340</v>
      </c>
      <c r="AO385" s="7" t="b">
        <f>AN385=R385</f>
        <v>1</v>
      </c>
      <c r="AP385" s="7">
        <f>VLOOKUP(A385,'base ZITRHR129'!G247:W873,17,0)</f>
        <v>2138.54</v>
      </c>
      <c r="AQ385" s="7" t="b">
        <f>AP385=AK385</f>
        <v>1</v>
      </c>
      <c r="AR385" s="78"/>
    </row>
    <row r="386" spans="1:44" s="7" customFormat="1" x14ac:dyDescent="0.25">
      <c r="A386" s="7">
        <v>10052364</v>
      </c>
      <c r="B386" s="8" t="s">
        <v>409</v>
      </c>
      <c r="C386" s="8" t="s">
        <v>702</v>
      </c>
      <c r="D386" s="8" t="s">
        <v>717</v>
      </c>
      <c r="E386" s="8" t="s">
        <v>742</v>
      </c>
      <c r="F386" s="8" t="s">
        <v>1406</v>
      </c>
      <c r="G386" s="8" t="s">
        <v>769</v>
      </c>
      <c r="H386" s="9">
        <v>15</v>
      </c>
      <c r="I386" s="8" t="s">
        <v>668</v>
      </c>
      <c r="J386" s="8" t="s">
        <v>1157</v>
      </c>
      <c r="K386" s="8" t="s">
        <v>16</v>
      </c>
      <c r="L386" s="8" t="s">
        <v>17</v>
      </c>
      <c r="M386" s="10" t="s">
        <v>702</v>
      </c>
      <c r="N386" s="10" t="s">
        <v>717</v>
      </c>
      <c r="O386" s="10" t="s">
        <v>668</v>
      </c>
      <c r="P386" s="1"/>
      <c r="Q386" s="11" t="b">
        <f>O386=P386</f>
        <v>0</v>
      </c>
      <c r="R386" s="30">
        <v>30041062</v>
      </c>
      <c r="S386" s="1"/>
      <c r="T386" s="11" t="b">
        <f>R386=S386</f>
        <v>0</v>
      </c>
      <c r="U386" s="10" t="s">
        <v>16</v>
      </c>
      <c r="V386" s="1"/>
      <c r="W386" s="11" t="b">
        <f>U386=V386</f>
        <v>0</v>
      </c>
      <c r="X386" s="13" t="s">
        <v>15</v>
      </c>
      <c r="Y386" s="1"/>
      <c r="Z386" s="1"/>
      <c r="AA386" s="60">
        <v>22001389</v>
      </c>
      <c r="AB386" s="10" t="s">
        <v>1409</v>
      </c>
      <c r="AD386" s="11" t="b">
        <f>AB386=AC386</f>
        <v>0</v>
      </c>
      <c r="AE386" s="10" t="s">
        <v>769</v>
      </c>
      <c r="AF386" s="1"/>
      <c r="AG386" s="11" t="b">
        <f>AE386=AF386</f>
        <v>0</v>
      </c>
      <c r="AH386" s="1">
        <v>15</v>
      </c>
      <c r="AI386" s="1">
        <v>8.59</v>
      </c>
      <c r="AJ386" s="16">
        <f>AI386*220/30*30.4375</f>
        <v>1917.3595833333334</v>
      </c>
      <c r="AK386" s="18">
        <v>1917.36</v>
      </c>
      <c r="AL386" s="71" t="s">
        <v>668</v>
      </c>
      <c r="AM386" s="19" t="b">
        <f>AL386=O386</f>
        <v>1</v>
      </c>
      <c r="AN386" s="7">
        <f>VLOOKUP(A386,'base ZITRHR129'!$G$1:$H$628,2,0)</f>
        <v>30041062</v>
      </c>
      <c r="AO386" s="7" t="b">
        <f>AN386=R386</f>
        <v>1</v>
      </c>
      <c r="AP386" s="7">
        <f>VLOOKUP(A386,'base ZITRHR129'!G246:W872,17,0)</f>
        <v>1917.36</v>
      </c>
      <c r="AQ386" s="7" t="b">
        <f>AP386=AK386</f>
        <v>1</v>
      </c>
      <c r="AR386" s="78"/>
    </row>
    <row r="387" spans="1:44" s="7" customFormat="1" x14ac:dyDescent="0.25">
      <c r="A387" s="7">
        <v>10052415</v>
      </c>
      <c r="B387" s="8" t="s">
        <v>410</v>
      </c>
      <c r="C387" s="8" t="s">
        <v>708</v>
      </c>
      <c r="D387" s="8" t="s">
        <v>717</v>
      </c>
      <c r="E387" s="8" t="s">
        <v>742</v>
      </c>
      <c r="F387" s="8" t="s">
        <v>1406</v>
      </c>
      <c r="G387" s="8" t="s">
        <v>769</v>
      </c>
      <c r="H387" s="9">
        <v>15</v>
      </c>
      <c r="I387" s="8" t="s">
        <v>672</v>
      </c>
      <c r="J387" s="8" t="s">
        <v>1158</v>
      </c>
      <c r="K387" s="8" t="s">
        <v>16</v>
      </c>
      <c r="L387" s="8" t="s">
        <v>17</v>
      </c>
      <c r="M387" s="10" t="s">
        <v>708</v>
      </c>
      <c r="N387" s="10" t="s">
        <v>717</v>
      </c>
      <c r="O387" s="10" t="s">
        <v>672</v>
      </c>
      <c r="P387" s="1"/>
      <c r="Q387" s="11" t="b">
        <f>O387=P387</f>
        <v>0</v>
      </c>
      <c r="R387" s="30">
        <v>30041063</v>
      </c>
      <c r="S387" s="1"/>
      <c r="T387" s="11" t="b">
        <f>R387=S387</f>
        <v>0</v>
      </c>
      <c r="U387" s="10" t="s">
        <v>16</v>
      </c>
      <c r="V387" s="1"/>
      <c r="W387" s="11" t="b">
        <f>U387=V387</f>
        <v>0</v>
      </c>
      <c r="X387" s="13" t="s">
        <v>15</v>
      </c>
      <c r="Y387" s="1"/>
      <c r="Z387" s="1"/>
      <c r="AA387" s="60">
        <v>22001389</v>
      </c>
      <c r="AB387" s="10" t="s">
        <v>1409</v>
      </c>
      <c r="AD387" s="11" t="b">
        <f>AB387=AC387</f>
        <v>0</v>
      </c>
      <c r="AE387" s="10" t="s">
        <v>769</v>
      </c>
      <c r="AF387" s="1"/>
      <c r="AG387" s="11" t="b">
        <f>AE387=AF387</f>
        <v>0</v>
      </c>
      <c r="AH387" s="1">
        <v>15</v>
      </c>
      <c r="AI387" s="1">
        <v>8.59</v>
      </c>
      <c r="AJ387" s="16">
        <f>AI387*220/30*30.4375</f>
        <v>1917.3595833333334</v>
      </c>
      <c r="AK387" s="18">
        <v>1917.36</v>
      </c>
      <c r="AL387" s="71" t="s">
        <v>672</v>
      </c>
      <c r="AM387" s="19" t="b">
        <f>AL387=O387</f>
        <v>1</v>
      </c>
      <c r="AN387" s="7">
        <f>VLOOKUP(A387,'base ZITRHR129'!$G$1:$H$628,2,0)</f>
        <v>30041063</v>
      </c>
      <c r="AO387" s="7" t="b">
        <f>AN387=R387</f>
        <v>1</v>
      </c>
      <c r="AP387" s="7">
        <f>VLOOKUP(A387,'base ZITRHR129'!G245:W871,17,0)</f>
        <v>1917.36</v>
      </c>
      <c r="AQ387" s="7" t="b">
        <f>AP387=AK387</f>
        <v>1</v>
      </c>
      <c r="AR387" s="78"/>
    </row>
    <row r="388" spans="1:44" s="7" customFormat="1" x14ac:dyDescent="0.25">
      <c r="A388" s="7">
        <v>10052424</v>
      </c>
      <c r="B388" s="8" t="s">
        <v>411</v>
      </c>
      <c r="C388" s="8" t="s">
        <v>711</v>
      </c>
      <c r="D388" s="8" t="s">
        <v>717</v>
      </c>
      <c r="E388" s="8" t="s">
        <v>742</v>
      </c>
      <c r="F388" s="8" t="s">
        <v>1406</v>
      </c>
      <c r="G388" s="8" t="s">
        <v>769</v>
      </c>
      <c r="H388" s="9">
        <v>15</v>
      </c>
      <c r="I388" s="8" t="s">
        <v>675</v>
      </c>
      <c r="J388" s="8" t="s">
        <v>1159</v>
      </c>
      <c r="K388" s="8" t="s">
        <v>16</v>
      </c>
      <c r="L388" s="8" t="s">
        <v>17</v>
      </c>
      <c r="M388" s="10" t="s">
        <v>711</v>
      </c>
      <c r="N388" s="10" t="s">
        <v>717</v>
      </c>
      <c r="O388" s="10" t="s">
        <v>675</v>
      </c>
      <c r="P388" s="1"/>
      <c r="Q388" s="11" t="b">
        <f>O388=P388</f>
        <v>0</v>
      </c>
      <c r="R388" s="30">
        <v>30041064</v>
      </c>
      <c r="S388" s="1"/>
      <c r="T388" s="11" t="b">
        <f>R388=S388</f>
        <v>0</v>
      </c>
      <c r="U388" s="10" t="s">
        <v>16</v>
      </c>
      <c r="V388" s="1"/>
      <c r="W388" s="11" t="b">
        <f>U388=V388</f>
        <v>0</v>
      </c>
      <c r="X388" s="13" t="s">
        <v>15</v>
      </c>
      <c r="Y388" s="1"/>
      <c r="Z388" s="1"/>
      <c r="AA388" s="60">
        <v>22001389</v>
      </c>
      <c r="AB388" s="10" t="s">
        <v>1409</v>
      </c>
      <c r="AD388" s="11" t="b">
        <f>AB388=AC388</f>
        <v>0</v>
      </c>
      <c r="AE388" s="10" t="s">
        <v>769</v>
      </c>
      <c r="AF388" s="1"/>
      <c r="AG388" s="11" t="b">
        <f>AE388=AF388</f>
        <v>0</v>
      </c>
      <c r="AH388" s="1">
        <v>15</v>
      </c>
      <c r="AI388" s="1">
        <v>8.59</v>
      </c>
      <c r="AJ388" s="16">
        <f>AI388*220/30*30.4375</f>
        <v>1917.3595833333334</v>
      </c>
      <c r="AK388" s="18">
        <v>1917.36</v>
      </c>
      <c r="AL388" s="71" t="s">
        <v>675</v>
      </c>
      <c r="AM388" s="19" t="b">
        <f>AL388=O388</f>
        <v>1</v>
      </c>
      <c r="AN388" s="7">
        <f>VLOOKUP(A388,'base ZITRHR129'!$G$1:$H$628,2,0)</f>
        <v>30041064</v>
      </c>
      <c r="AO388" s="7" t="b">
        <f>AN388=R388</f>
        <v>1</v>
      </c>
      <c r="AP388" s="7">
        <f>VLOOKUP(A388,'base ZITRHR129'!G244:W870,17,0)</f>
        <v>1917.36</v>
      </c>
      <c r="AQ388" s="7" t="b">
        <f>AP388=AK388</f>
        <v>1</v>
      </c>
      <c r="AR388" s="78"/>
    </row>
    <row r="389" spans="1:44" s="7" customFormat="1" x14ac:dyDescent="0.25">
      <c r="A389" s="7">
        <v>10052487</v>
      </c>
      <c r="B389" s="8" t="s">
        <v>412</v>
      </c>
      <c r="C389" s="8" t="s">
        <v>710</v>
      </c>
      <c r="D389" s="8" t="s">
        <v>717</v>
      </c>
      <c r="E389" s="8" t="s">
        <v>737</v>
      </c>
      <c r="F389" s="8" t="s">
        <v>1406</v>
      </c>
      <c r="G389" s="8" t="s">
        <v>765</v>
      </c>
      <c r="H389" s="9">
        <v>14</v>
      </c>
      <c r="I389" s="8" t="s">
        <v>674</v>
      </c>
      <c r="J389" s="8" t="s">
        <v>1160</v>
      </c>
      <c r="K389" s="8" t="s">
        <v>16</v>
      </c>
      <c r="L389" s="8" t="s">
        <v>17</v>
      </c>
      <c r="M389" s="10" t="s">
        <v>710</v>
      </c>
      <c r="N389" s="10" t="s">
        <v>717</v>
      </c>
      <c r="O389" s="10" t="s">
        <v>674</v>
      </c>
      <c r="P389" s="1"/>
      <c r="Q389" s="11" t="b">
        <f>O389=P389</f>
        <v>0</v>
      </c>
      <c r="R389" s="30">
        <v>30041065</v>
      </c>
      <c r="S389" s="1"/>
      <c r="T389" s="11" t="b">
        <f>R389=S389</f>
        <v>0</v>
      </c>
      <c r="U389" s="10" t="s">
        <v>16</v>
      </c>
      <c r="V389" s="1"/>
      <c r="W389" s="11" t="b">
        <f>U389=V389</f>
        <v>0</v>
      </c>
      <c r="X389" s="13" t="s">
        <v>15</v>
      </c>
      <c r="Y389" s="1"/>
      <c r="Z389" s="1"/>
      <c r="AA389" s="10">
        <v>22002830</v>
      </c>
      <c r="AB389" s="10" t="s">
        <v>1409</v>
      </c>
      <c r="AD389" s="11" t="b">
        <f>AB389=AC389</f>
        <v>0</v>
      </c>
      <c r="AE389" s="10" t="s">
        <v>765</v>
      </c>
      <c r="AF389" s="1"/>
      <c r="AG389" s="11" t="b">
        <f>AE389=AF389</f>
        <v>0</v>
      </c>
      <c r="AH389" s="1">
        <v>14</v>
      </c>
      <c r="AI389" s="1">
        <v>8.59</v>
      </c>
      <c r="AJ389" s="16">
        <f>AI389*220/30*30.4375</f>
        <v>1917.3595833333334</v>
      </c>
      <c r="AK389" s="18">
        <v>1917.36</v>
      </c>
      <c r="AL389" s="71" t="s">
        <v>674</v>
      </c>
      <c r="AM389" s="19" t="b">
        <f>AL389=O389</f>
        <v>1</v>
      </c>
      <c r="AN389" s="7">
        <f>VLOOKUP(A389,'base ZITRHR129'!$G$1:$H$628,2,0)</f>
        <v>30041065</v>
      </c>
      <c r="AO389" s="7" t="b">
        <f>AN389=R389</f>
        <v>1</v>
      </c>
      <c r="AP389" s="7">
        <f>VLOOKUP(A389,'base ZITRHR129'!G243:W869,17,0)</f>
        <v>1917.36</v>
      </c>
      <c r="AQ389" s="7" t="b">
        <f>AP389=AK389</f>
        <v>1</v>
      </c>
      <c r="AR389" s="78"/>
    </row>
    <row r="390" spans="1:44" s="7" customFormat="1" x14ac:dyDescent="0.25">
      <c r="A390" s="7">
        <v>10052538</v>
      </c>
      <c r="B390" s="8" t="s">
        <v>413</v>
      </c>
      <c r="C390" s="8" t="s">
        <v>700</v>
      </c>
      <c r="D390" s="8" t="s">
        <v>717</v>
      </c>
      <c r="E390" s="8" t="s">
        <v>732</v>
      </c>
      <c r="F390" s="8" t="s">
        <v>1407</v>
      </c>
      <c r="G390" s="8" t="s">
        <v>761</v>
      </c>
      <c r="H390" s="9">
        <v>15</v>
      </c>
      <c r="I390" s="8" t="s">
        <v>666</v>
      </c>
      <c r="J390" s="8" t="s">
        <v>1161</v>
      </c>
      <c r="K390" s="8" t="s">
        <v>16</v>
      </c>
      <c r="L390" s="8" t="s">
        <v>17</v>
      </c>
      <c r="M390" s="10" t="s">
        <v>700</v>
      </c>
      <c r="N390" s="10" t="s">
        <v>717</v>
      </c>
      <c r="O390" s="10" t="s">
        <v>666</v>
      </c>
      <c r="P390" s="1"/>
      <c r="Q390" s="11" t="b">
        <f>O390=P390</f>
        <v>0</v>
      </c>
      <c r="R390" s="30">
        <v>30041341</v>
      </c>
      <c r="S390" s="1"/>
      <c r="T390" s="11" t="b">
        <f>R390=S390</f>
        <v>0</v>
      </c>
      <c r="U390" s="10" t="s">
        <v>16</v>
      </c>
      <c r="V390" s="1"/>
      <c r="W390" s="11" t="b">
        <f>U390=V390</f>
        <v>0</v>
      </c>
      <c r="X390" s="13" t="s">
        <v>15</v>
      </c>
      <c r="Y390" s="1"/>
      <c r="Z390" s="1"/>
      <c r="AA390" s="61">
        <v>22003423</v>
      </c>
      <c r="AB390" s="10" t="s">
        <v>1410</v>
      </c>
      <c r="AD390" s="11" t="b">
        <f>AB390=AC390</f>
        <v>0</v>
      </c>
      <c r="AE390" s="10" t="s">
        <v>761</v>
      </c>
      <c r="AF390" s="1"/>
      <c r="AG390" s="11" t="b">
        <f>AE390=AF390</f>
        <v>0</v>
      </c>
      <c r="AH390" s="1">
        <v>15</v>
      </c>
      <c r="AI390" s="1">
        <v>11.71</v>
      </c>
      <c r="AJ390" s="16">
        <f>AI390*180/30*30.4375</f>
        <v>2138.5387500000002</v>
      </c>
      <c r="AK390" s="18">
        <v>2138.54</v>
      </c>
      <c r="AL390" s="71" t="s">
        <v>666</v>
      </c>
      <c r="AM390" s="19" t="b">
        <f>AL390=O390</f>
        <v>1</v>
      </c>
      <c r="AN390" s="7">
        <f>VLOOKUP(A390,'base ZITRHR129'!$G$1:$H$628,2,0)</f>
        <v>30041341</v>
      </c>
      <c r="AO390" s="7" t="b">
        <f>AN390=R390</f>
        <v>1</v>
      </c>
      <c r="AP390" s="7">
        <f>VLOOKUP(A390,'base ZITRHR129'!G242:W868,17,0)</f>
        <v>2138.54</v>
      </c>
      <c r="AQ390" s="7" t="b">
        <f>AP390=AK390</f>
        <v>1</v>
      </c>
      <c r="AR390" s="78"/>
    </row>
    <row r="391" spans="1:44" s="7" customFormat="1" x14ac:dyDescent="0.25">
      <c r="A391" s="7">
        <v>10052539</v>
      </c>
      <c r="B391" s="8" t="s">
        <v>414</v>
      </c>
      <c r="C391" s="8" t="s">
        <v>691</v>
      </c>
      <c r="D391" s="8" t="s">
        <v>717</v>
      </c>
      <c r="E391" s="8" t="s">
        <v>727</v>
      </c>
      <c r="F391" s="8" t="s">
        <v>1406</v>
      </c>
      <c r="G391" s="8" t="s">
        <v>756</v>
      </c>
      <c r="H391" s="9">
        <v>17</v>
      </c>
      <c r="I391" s="8" t="s">
        <v>664</v>
      </c>
      <c r="J391" s="8" t="s">
        <v>1162</v>
      </c>
      <c r="K391" s="8" t="s">
        <v>16</v>
      </c>
      <c r="L391" s="8" t="s">
        <v>17</v>
      </c>
      <c r="M391" s="10" t="s">
        <v>691</v>
      </c>
      <c r="N391" s="10" t="s">
        <v>717</v>
      </c>
      <c r="O391" s="10" t="s">
        <v>664</v>
      </c>
      <c r="P391" s="1"/>
      <c r="Q391" s="11" t="b">
        <f>O391=P391</f>
        <v>0</v>
      </c>
      <c r="R391" s="30">
        <v>30041067</v>
      </c>
      <c r="S391" s="1"/>
      <c r="T391" s="11" t="b">
        <f>R391=S391</f>
        <v>0</v>
      </c>
      <c r="U391" s="10" t="s">
        <v>16</v>
      </c>
      <c r="V391" s="1"/>
      <c r="W391" s="11" t="b">
        <f>U391=V391</f>
        <v>0</v>
      </c>
      <c r="X391" s="13" t="s">
        <v>15</v>
      </c>
      <c r="Y391" s="1"/>
      <c r="Z391" s="1"/>
      <c r="AA391" s="63">
        <v>22003017</v>
      </c>
      <c r="AB391" s="10" t="s">
        <v>1409</v>
      </c>
      <c r="AD391" s="11" t="b">
        <f>AB391=AC391</f>
        <v>0</v>
      </c>
      <c r="AE391" s="10" t="s">
        <v>756</v>
      </c>
      <c r="AF391" s="1"/>
      <c r="AG391" s="11" t="b">
        <f>AE391=AF391</f>
        <v>0</v>
      </c>
      <c r="AH391" s="1">
        <v>17</v>
      </c>
      <c r="AI391" s="1">
        <v>10.3</v>
      </c>
      <c r="AJ391" s="16">
        <f>AI391*220/30*30.4375</f>
        <v>2299.0458333333331</v>
      </c>
      <c r="AK391" s="18">
        <v>2299.0500000000002</v>
      </c>
      <c r="AL391" s="71" t="s">
        <v>664</v>
      </c>
      <c r="AM391" s="19" t="b">
        <f>AL391=O391</f>
        <v>1</v>
      </c>
      <c r="AN391" s="7">
        <f>VLOOKUP(A391,'base ZITRHR129'!$G$1:$H$628,2,0)</f>
        <v>30041067</v>
      </c>
      <c r="AO391" s="7" t="b">
        <f>AN391=R391</f>
        <v>1</v>
      </c>
      <c r="AP391" s="7">
        <f>VLOOKUP(A391,'base ZITRHR129'!G241:W867,17,0)</f>
        <v>2299.0500000000002</v>
      </c>
      <c r="AQ391" s="7" t="b">
        <f>AP391=AK391</f>
        <v>1</v>
      </c>
      <c r="AR391" s="78"/>
    </row>
    <row r="392" spans="1:44" s="7" customFormat="1" x14ac:dyDescent="0.25">
      <c r="A392" s="7">
        <v>10052543</v>
      </c>
      <c r="B392" s="8" t="s">
        <v>415</v>
      </c>
      <c r="C392" s="8" t="s">
        <v>682</v>
      </c>
      <c r="D392" s="8" t="s">
        <v>717</v>
      </c>
      <c r="E392" s="8" t="s">
        <v>742</v>
      </c>
      <c r="F392" s="8" t="s">
        <v>1406</v>
      </c>
      <c r="G392" s="8" t="s">
        <v>769</v>
      </c>
      <c r="H392" s="9">
        <v>14</v>
      </c>
      <c r="I392" s="8" t="s">
        <v>655</v>
      </c>
      <c r="J392" s="8" t="s">
        <v>1163</v>
      </c>
      <c r="K392" s="8" t="s">
        <v>16</v>
      </c>
      <c r="L392" s="8" t="s">
        <v>17</v>
      </c>
      <c r="M392" s="10" t="s">
        <v>682</v>
      </c>
      <c r="N392" s="10" t="s">
        <v>717</v>
      </c>
      <c r="O392" s="10" t="s">
        <v>655</v>
      </c>
      <c r="P392" s="1"/>
      <c r="Q392" s="11" t="b">
        <f>O392=P392</f>
        <v>0</v>
      </c>
      <c r="R392" s="30">
        <v>30041068</v>
      </c>
      <c r="S392" s="1"/>
      <c r="T392" s="11" t="b">
        <f>R392=S392</f>
        <v>0</v>
      </c>
      <c r="U392" s="10" t="s">
        <v>16</v>
      </c>
      <c r="V392" s="1"/>
      <c r="W392" s="11" t="b">
        <f>U392=V392</f>
        <v>0</v>
      </c>
      <c r="X392" s="13" t="s">
        <v>15</v>
      </c>
      <c r="Y392" s="1"/>
      <c r="Z392" s="1"/>
      <c r="AA392" s="60">
        <v>22001389</v>
      </c>
      <c r="AB392" s="10" t="s">
        <v>1409</v>
      </c>
      <c r="AD392" s="11" t="b">
        <f>AB392=AC392</f>
        <v>0</v>
      </c>
      <c r="AE392" s="10" t="s">
        <v>769</v>
      </c>
      <c r="AF392" s="1"/>
      <c r="AG392" s="11" t="b">
        <f>AE392=AF392</f>
        <v>0</v>
      </c>
      <c r="AH392" s="1">
        <v>15</v>
      </c>
      <c r="AI392" s="1">
        <v>8.59</v>
      </c>
      <c r="AJ392" s="16">
        <f>AI392*220/30*30.4375</f>
        <v>1917.3595833333334</v>
      </c>
      <c r="AK392" s="18">
        <v>1917.36</v>
      </c>
      <c r="AL392" s="71" t="s">
        <v>655</v>
      </c>
      <c r="AM392" s="19" t="b">
        <f>AL392=O392</f>
        <v>1</v>
      </c>
      <c r="AN392" s="7">
        <f>VLOOKUP(A392,'base ZITRHR129'!$G$1:$H$628,2,0)</f>
        <v>30041068</v>
      </c>
      <c r="AO392" s="7" t="b">
        <f>AN392=R392</f>
        <v>1</v>
      </c>
      <c r="AP392" s="7">
        <f>VLOOKUP(A392,'base ZITRHR129'!G240:W866,17,0)</f>
        <v>1917.36</v>
      </c>
      <c r="AQ392" s="7" t="b">
        <f>AP392=AK392</f>
        <v>1</v>
      </c>
      <c r="AR392" s="78"/>
    </row>
    <row r="393" spans="1:44" s="7" customFormat="1" x14ac:dyDescent="0.25">
      <c r="A393" s="7">
        <v>10052545</v>
      </c>
      <c r="B393" s="8" t="s">
        <v>416</v>
      </c>
      <c r="C393" s="8" t="s">
        <v>690</v>
      </c>
      <c r="D393" s="8" t="s">
        <v>717</v>
      </c>
      <c r="E393" s="8" t="s">
        <v>726</v>
      </c>
      <c r="F393" s="8" t="s">
        <v>1406</v>
      </c>
      <c r="G393" s="8" t="s">
        <v>755</v>
      </c>
      <c r="H393" s="9">
        <v>15</v>
      </c>
      <c r="I393" s="8" t="s">
        <v>663</v>
      </c>
      <c r="J393" s="8" t="s">
        <v>1164</v>
      </c>
      <c r="K393" s="8" t="s">
        <v>16</v>
      </c>
      <c r="L393" s="8" t="s">
        <v>17</v>
      </c>
      <c r="M393" s="10" t="s">
        <v>690</v>
      </c>
      <c r="N393" s="10" t="s">
        <v>717</v>
      </c>
      <c r="O393" s="10" t="s">
        <v>663</v>
      </c>
      <c r="P393" s="1"/>
      <c r="Q393" s="11" t="b">
        <f>O393=P393</f>
        <v>0</v>
      </c>
      <c r="R393" s="30">
        <v>30041069</v>
      </c>
      <c r="S393" s="1"/>
      <c r="T393" s="11" t="b">
        <f>R393=S393</f>
        <v>0</v>
      </c>
      <c r="U393" s="10" t="s">
        <v>16</v>
      </c>
      <c r="V393" s="1"/>
      <c r="W393" s="11" t="b">
        <f>U393=V393</f>
        <v>0</v>
      </c>
      <c r="X393" s="13" t="s">
        <v>15</v>
      </c>
      <c r="Y393" s="1"/>
      <c r="Z393" s="1"/>
      <c r="AA393" s="63">
        <v>22002617</v>
      </c>
      <c r="AB393" s="10" t="s">
        <v>1409</v>
      </c>
      <c r="AD393" s="11" t="b">
        <f>AB393=AC393</f>
        <v>0</v>
      </c>
      <c r="AE393" s="10" t="s">
        <v>755</v>
      </c>
      <c r="AF393" s="1"/>
      <c r="AG393" s="11" t="b">
        <f>AE393=AF393</f>
        <v>0</v>
      </c>
      <c r="AH393" s="1">
        <v>15</v>
      </c>
      <c r="AI393" s="1">
        <v>9.4499999999999993</v>
      </c>
      <c r="AJ393" s="16">
        <f>AI393*220/30*30.4375</f>
        <v>2109.3187499999999</v>
      </c>
      <c r="AK393" s="18">
        <v>2109.3200000000002</v>
      </c>
      <c r="AL393" s="71" t="s">
        <v>663</v>
      </c>
      <c r="AM393" s="19" t="b">
        <f>AL393=O393</f>
        <v>1</v>
      </c>
      <c r="AN393" s="7">
        <f>VLOOKUP(A393,'base ZITRHR129'!$G$1:$H$628,2,0)</f>
        <v>30041069</v>
      </c>
      <c r="AO393" s="7" t="b">
        <f>AN393=R393</f>
        <v>1</v>
      </c>
      <c r="AP393" s="7">
        <f>VLOOKUP(A393,'base ZITRHR129'!G239:W865,17,0)</f>
        <v>2109.3200000000002</v>
      </c>
      <c r="AQ393" s="7" t="b">
        <f>AP393=AK393</f>
        <v>1</v>
      </c>
      <c r="AR393" s="78"/>
    </row>
    <row r="394" spans="1:44" s="7" customFormat="1" x14ac:dyDescent="0.25">
      <c r="A394" s="7">
        <v>10052554</v>
      </c>
      <c r="B394" s="8" t="s">
        <v>417</v>
      </c>
      <c r="C394" s="8" t="s">
        <v>706</v>
      </c>
      <c r="D394" s="8" t="s">
        <v>717</v>
      </c>
      <c r="E394" s="8" t="s">
        <v>737</v>
      </c>
      <c r="F394" s="8" t="s">
        <v>1406</v>
      </c>
      <c r="G394" s="8" t="s">
        <v>765</v>
      </c>
      <c r="H394" s="9">
        <v>14</v>
      </c>
      <c r="I394" s="8" t="s">
        <v>660</v>
      </c>
      <c r="J394" s="8" t="s">
        <v>1165</v>
      </c>
      <c r="K394" s="8" t="s">
        <v>16</v>
      </c>
      <c r="L394" s="8" t="s">
        <v>17</v>
      </c>
      <c r="M394" s="10" t="s">
        <v>706</v>
      </c>
      <c r="N394" s="10" t="s">
        <v>717</v>
      </c>
      <c r="O394" s="10" t="s">
        <v>660</v>
      </c>
      <c r="P394" s="1"/>
      <c r="Q394" s="11" t="b">
        <f>O394=P394</f>
        <v>0</v>
      </c>
      <c r="R394" s="30">
        <v>30041070</v>
      </c>
      <c r="S394" s="1"/>
      <c r="T394" s="11" t="b">
        <f>R394=S394</f>
        <v>0</v>
      </c>
      <c r="U394" s="10" t="s">
        <v>16</v>
      </c>
      <c r="V394" s="1"/>
      <c r="W394" s="11" t="b">
        <f>U394=V394</f>
        <v>0</v>
      </c>
      <c r="X394" s="13" t="s">
        <v>15</v>
      </c>
      <c r="Y394" s="1"/>
      <c r="Z394" s="1"/>
      <c r="AA394" s="59">
        <v>22002830</v>
      </c>
      <c r="AB394" s="10" t="s">
        <v>1409</v>
      </c>
      <c r="AD394" s="11" t="b">
        <f>AB394=AC394</f>
        <v>0</v>
      </c>
      <c r="AE394" s="10" t="s">
        <v>765</v>
      </c>
      <c r="AF394" s="1"/>
      <c r="AG394" s="11" t="b">
        <f>AE394=AF394</f>
        <v>0</v>
      </c>
      <c r="AH394" s="1">
        <v>14</v>
      </c>
      <c r="AI394" s="1">
        <v>8.59</v>
      </c>
      <c r="AJ394" s="16">
        <f>AI394*220/30*30.4375</f>
        <v>1917.3595833333334</v>
      </c>
      <c r="AK394" s="18">
        <v>1917.36</v>
      </c>
      <c r="AL394" s="71" t="s">
        <v>660</v>
      </c>
      <c r="AM394" s="19" t="b">
        <f>AL394=O394</f>
        <v>1</v>
      </c>
      <c r="AN394" s="7">
        <f>VLOOKUP(A394,'base ZITRHR129'!$G$1:$H$628,2,0)</f>
        <v>30041070</v>
      </c>
      <c r="AO394" s="7" t="b">
        <f>AN394=R394</f>
        <v>1</v>
      </c>
      <c r="AP394" s="7">
        <f>VLOOKUP(A394,'base ZITRHR129'!G238:W864,17,0)</f>
        <v>1917.36</v>
      </c>
      <c r="AQ394" s="7" t="b">
        <f>AP394=AK394</f>
        <v>1</v>
      </c>
      <c r="AR394" s="78"/>
    </row>
    <row r="395" spans="1:44" s="7" customFormat="1" x14ac:dyDescent="0.25">
      <c r="A395" s="7">
        <v>10052555</v>
      </c>
      <c r="B395" s="8" t="s">
        <v>418</v>
      </c>
      <c r="C395" s="8" t="s">
        <v>706</v>
      </c>
      <c r="D395" s="8" t="s">
        <v>717</v>
      </c>
      <c r="E395" s="8" t="s">
        <v>724</v>
      </c>
      <c r="F395" s="8" t="s">
        <v>1406</v>
      </c>
      <c r="G395" s="8" t="s">
        <v>21</v>
      </c>
      <c r="H395" s="9">
        <v>16</v>
      </c>
      <c r="I395" s="8" t="s">
        <v>660</v>
      </c>
      <c r="J395" s="8" t="s">
        <v>1166</v>
      </c>
      <c r="K395" s="8" t="s">
        <v>16</v>
      </c>
      <c r="L395" s="8" t="s">
        <v>17</v>
      </c>
      <c r="M395" s="10" t="s">
        <v>706</v>
      </c>
      <c r="N395" s="10" t="s">
        <v>717</v>
      </c>
      <c r="O395" s="10" t="s">
        <v>660</v>
      </c>
      <c r="P395" s="1"/>
      <c r="Q395" s="11" t="b">
        <f>O395=P395</f>
        <v>0</v>
      </c>
      <c r="R395" s="30">
        <v>30041071</v>
      </c>
      <c r="S395" s="1"/>
      <c r="T395" s="11" t="b">
        <f>R395=S395</f>
        <v>0</v>
      </c>
      <c r="U395" s="10" t="s">
        <v>16</v>
      </c>
      <c r="V395" s="1"/>
      <c r="W395" s="11" t="b">
        <f>U395=V395</f>
        <v>0</v>
      </c>
      <c r="X395" s="13" t="s">
        <v>15</v>
      </c>
      <c r="Y395" s="1"/>
      <c r="Z395" s="1"/>
      <c r="AA395" s="59">
        <v>22002616</v>
      </c>
      <c r="AB395" s="10" t="s">
        <v>1409</v>
      </c>
      <c r="AD395" s="11" t="b">
        <f>AB395=AC395</f>
        <v>0</v>
      </c>
      <c r="AE395" s="10" t="s">
        <v>21</v>
      </c>
      <c r="AF395" s="1"/>
      <c r="AG395" s="11" t="b">
        <f>AE395=AF395</f>
        <v>0</v>
      </c>
      <c r="AH395" s="1">
        <v>16</v>
      </c>
      <c r="AI395" s="1">
        <v>10.31</v>
      </c>
      <c r="AJ395" s="16">
        <f>AI395*220/30*30.4375</f>
        <v>2301.2779166666669</v>
      </c>
      <c r="AK395" s="18">
        <v>2301.2800000000002</v>
      </c>
      <c r="AL395" s="71" t="s">
        <v>660</v>
      </c>
      <c r="AM395" s="19" t="b">
        <f>AL395=O395</f>
        <v>1</v>
      </c>
      <c r="AN395" s="7">
        <f>VLOOKUP(A395,'base ZITRHR129'!$G$1:$H$628,2,0)</f>
        <v>30041071</v>
      </c>
      <c r="AO395" s="7" t="b">
        <f>AN395=R395</f>
        <v>1</v>
      </c>
      <c r="AP395" s="7">
        <f>VLOOKUP(A395,'base ZITRHR129'!G237:W863,17,0)</f>
        <v>2301.2800000000002</v>
      </c>
      <c r="AQ395" s="7" t="b">
        <f>AP395=AK395</f>
        <v>1</v>
      </c>
      <c r="AR395" s="78"/>
    </row>
    <row r="396" spans="1:44" s="20" customFormat="1" x14ac:dyDescent="0.25">
      <c r="A396" s="7">
        <v>10052705</v>
      </c>
      <c r="B396" s="8" t="s">
        <v>419</v>
      </c>
      <c r="C396" s="8" t="s">
        <v>710</v>
      </c>
      <c r="D396" s="8" t="s">
        <v>717</v>
      </c>
      <c r="E396" s="8" t="s">
        <v>737</v>
      </c>
      <c r="F396" s="8" t="s">
        <v>1406</v>
      </c>
      <c r="G396" s="8" t="s">
        <v>765</v>
      </c>
      <c r="H396" s="9">
        <v>14</v>
      </c>
      <c r="I396" s="8" t="s">
        <v>674</v>
      </c>
      <c r="J396" s="8" t="s">
        <v>1167</v>
      </c>
      <c r="K396" s="8" t="s">
        <v>16</v>
      </c>
      <c r="L396" s="8" t="s">
        <v>17</v>
      </c>
      <c r="M396" s="10" t="s">
        <v>710</v>
      </c>
      <c r="N396" s="10" t="s">
        <v>717</v>
      </c>
      <c r="O396" s="10" t="s">
        <v>674</v>
      </c>
      <c r="P396" s="1"/>
      <c r="Q396" s="11" t="b">
        <f>O396=P396</f>
        <v>0</v>
      </c>
      <c r="R396" s="30">
        <v>30041072</v>
      </c>
      <c r="S396" s="1"/>
      <c r="T396" s="11" t="b">
        <f>R396=S396</f>
        <v>0</v>
      </c>
      <c r="U396" s="10" t="s">
        <v>16</v>
      </c>
      <c r="V396" s="1"/>
      <c r="W396" s="11" t="b">
        <f>U396=V396</f>
        <v>0</v>
      </c>
      <c r="X396" s="13" t="s">
        <v>15</v>
      </c>
      <c r="Y396" s="1"/>
      <c r="Z396" s="1"/>
      <c r="AA396" s="59">
        <v>22002830</v>
      </c>
      <c r="AB396" s="10" t="s">
        <v>1409</v>
      </c>
      <c r="AC396" s="7"/>
      <c r="AD396" s="11" t="b">
        <f>AB396=AC396</f>
        <v>0</v>
      </c>
      <c r="AE396" s="10" t="s">
        <v>765</v>
      </c>
      <c r="AF396" s="1"/>
      <c r="AG396" s="11" t="b">
        <f>AE396=AF396</f>
        <v>0</v>
      </c>
      <c r="AH396" s="1">
        <v>14</v>
      </c>
      <c r="AI396" s="1">
        <v>8.59</v>
      </c>
      <c r="AJ396" s="16">
        <f>AI396*220/30*30.4375</f>
        <v>1917.3595833333334</v>
      </c>
      <c r="AK396" s="18">
        <v>1917.36</v>
      </c>
      <c r="AL396" s="71" t="s">
        <v>674</v>
      </c>
      <c r="AM396" s="19" t="b">
        <f>AL396=O396</f>
        <v>1</v>
      </c>
      <c r="AN396" s="7">
        <f>VLOOKUP(A396,'base ZITRHR129'!$G$1:$H$628,2,0)</f>
        <v>30041072</v>
      </c>
      <c r="AO396" s="7" t="b">
        <f>AN396=R396</f>
        <v>1</v>
      </c>
      <c r="AP396" s="7">
        <f>VLOOKUP(A396,'base ZITRHR129'!G236:W862,17,0)</f>
        <v>1917.36</v>
      </c>
      <c r="AQ396" s="7" t="b">
        <f>AP396=AK396</f>
        <v>1</v>
      </c>
      <c r="AR396" s="78"/>
    </row>
    <row r="397" spans="1:44" s="7" customFormat="1" x14ac:dyDescent="0.25">
      <c r="A397" s="7">
        <v>10052790</v>
      </c>
      <c r="B397" s="8" t="s">
        <v>420</v>
      </c>
      <c r="C397" s="8" t="s">
        <v>711</v>
      </c>
      <c r="D397" s="8" t="s">
        <v>717</v>
      </c>
      <c r="E397" s="8" t="s">
        <v>737</v>
      </c>
      <c r="F397" s="8" t="s">
        <v>1406</v>
      </c>
      <c r="G397" s="8" t="s">
        <v>765</v>
      </c>
      <c r="H397" s="9">
        <v>14</v>
      </c>
      <c r="I397" s="8" t="s">
        <v>675</v>
      </c>
      <c r="J397" s="8" t="s">
        <v>1168</v>
      </c>
      <c r="K397" s="8" t="s">
        <v>16</v>
      </c>
      <c r="L397" s="8" t="s">
        <v>17</v>
      </c>
      <c r="M397" s="10" t="s">
        <v>711</v>
      </c>
      <c r="N397" s="10" t="s">
        <v>717</v>
      </c>
      <c r="O397" s="10" t="s">
        <v>675</v>
      </c>
      <c r="P397" s="1"/>
      <c r="Q397" s="11" t="b">
        <f>O397=P397</f>
        <v>0</v>
      </c>
      <c r="R397" s="30">
        <v>30041073</v>
      </c>
      <c r="S397" s="1"/>
      <c r="T397" s="11" t="b">
        <f>R397=S397</f>
        <v>0</v>
      </c>
      <c r="U397" s="10" t="s">
        <v>16</v>
      </c>
      <c r="V397" s="1"/>
      <c r="W397" s="11" t="b">
        <f>U397=V397</f>
        <v>0</v>
      </c>
      <c r="X397" s="13" t="s">
        <v>15</v>
      </c>
      <c r="Y397" s="1"/>
      <c r="Z397" s="1"/>
      <c r="AA397" s="10">
        <v>22002830</v>
      </c>
      <c r="AB397" s="10" t="s">
        <v>1409</v>
      </c>
      <c r="AD397" s="11" t="b">
        <f>AB397=AC397</f>
        <v>0</v>
      </c>
      <c r="AE397" s="10" t="s">
        <v>765</v>
      </c>
      <c r="AF397" s="1"/>
      <c r="AG397" s="11" t="b">
        <f>AE397=AF397</f>
        <v>0</v>
      </c>
      <c r="AH397" s="1">
        <v>14</v>
      </c>
      <c r="AI397" s="1">
        <v>8.59</v>
      </c>
      <c r="AJ397" s="16">
        <f>AI397*220/30*30.4375</f>
        <v>1917.3595833333334</v>
      </c>
      <c r="AK397" s="18">
        <v>1917.36</v>
      </c>
      <c r="AL397" s="71" t="s">
        <v>675</v>
      </c>
      <c r="AM397" s="19" t="b">
        <f>AL397=O397</f>
        <v>1</v>
      </c>
      <c r="AN397" s="7">
        <f>VLOOKUP(A397,'base ZITRHR129'!$G$1:$H$628,2,0)</f>
        <v>30041073</v>
      </c>
      <c r="AO397" s="7" t="b">
        <f>AN397=R397</f>
        <v>1</v>
      </c>
      <c r="AP397" s="7">
        <f>VLOOKUP(A397,'base ZITRHR129'!G235:W861,17,0)</f>
        <v>1917.36</v>
      </c>
      <c r="AQ397" s="7" t="b">
        <f>AP397=AK397</f>
        <v>1</v>
      </c>
      <c r="AR397" s="78"/>
    </row>
    <row r="398" spans="1:44" s="7" customFormat="1" x14ac:dyDescent="0.25">
      <c r="A398" s="7">
        <v>10052808</v>
      </c>
      <c r="B398" s="8" t="s">
        <v>421</v>
      </c>
      <c r="C398" s="8" t="s">
        <v>705</v>
      </c>
      <c r="D398" s="8" t="s">
        <v>717</v>
      </c>
      <c r="E398" s="8" t="s">
        <v>737</v>
      </c>
      <c r="F398" s="8" t="s">
        <v>1406</v>
      </c>
      <c r="G398" s="8" t="s">
        <v>765</v>
      </c>
      <c r="H398" s="9">
        <v>14</v>
      </c>
      <c r="I398" s="8" t="s">
        <v>670</v>
      </c>
      <c r="J398" s="8" t="s">
        <v>1169</v>
      </c>
      <c r="K398" s="8" t="s">
        <v>16</v>
      </c>
      <c r="L398" s="8" t="s">
        <v>17</v>
      </c>
      <c r="M398" s="10" t="s">
        <v>705</v>
      </c>
      <c r="N398" s="10" t="s">
        <v>717</v>
      </c>
      <c r="O398" s="10" t="s">
        <v>670</v>
      </c>
      <c r="P398" s="1"/>
      <c r="Q398" s="11" t="b">
        <f>O398=P398</f>
        <v>0</v>
      </c>
      <c r="R398" s="30">
        <v>30041074</v>
      </c>
      <c r="S398" s="1"/>
      <c r="T398" s="11" t="b">
        <f>R398=S398</f>
        <v>0</v>
      </c>
      <c r="U398" s="10" t="s">
        <v>16</v>
      </c>
      <c r="V398" s="1"/>
      <c r="W398" s="11" t="b">
        <f>U398=V398</f>
        <v>0</v>
      </c>
      <c r="X398" s="13" t="s">
        <v>15</v>
      </c>
      <c r="Y398" s="1"/>
      <c r="Z398" s="1"/>
      <c r="AA398" s="63">
        <v>22002830</v>
      </c>
      <c r="AB398" s="10" t="s">
        <v>1409</v>
      </c>
      <c r="AD398" s="11" t="b">
        <f>AB398=AC398</f>
        <v>0</v>
      </c>
      <c r="AE398" s="10" t="s">
        <v>765</v>
      </c>
      <c r="AF398" s="1"/>
      <c r="AG398" s="11" t="b">
        <f>AE398=AF398</f>
        <v>0</v>
      </c>
      <c r="AH398" s="1">
        <v>14</v>
      </c>
      <c r="AI398" s="1">
        <v>8.59</v>
      </c>
      <c r="AJ398" s="16">
        <f>AI398*220/30*30.4375</f>
        <v>1917.3595833333334</v>
      </c>
      <c r="AK398" s="18">
        <v>1917.36</v>
      </c>
      <c r="AL398" s="71" t="s">
        <v>670</v>
      </c>
      <c r="AM398" s="19" t="b">
        <f>AL398=O398</f>
        <v>1</v>
      </c>
      <c r="AN398" s="7">
        <f>VLOOKUP(A398,'base ZITRHR129'!$G$1:$H$628,2,0)</f>
        <v>30041074</v>
      </c>
      <c r="AO398" s="7" t="b">
        <f>AN398=R398</f>
        <v>1</v>
      </c>
      <c r="AP398" s="7">
        <f>VLOOKUP(A398,'base ZITRHR129'!G234:W860,17,0)</f>
        <v>1917.36</v>
      </c>
      <c r="AQ398" s="7" t="b">
        <f>AP398=AK398</f>
        <v>1</v>
      </c>
      <c r="AR398" s="78"/>
    </row>
    <row r="399" spans="1:44" s="7" customFormat="1" x14ac:dyDescent="0.25">
      <c r="A399" s="7">
        <v>10052816</v>
      </c>
      <c r="B399" s="8" t="s">
        <v>422</v>
      </c>
      <c r="C399" s="8" t="s">
        <v>710</v>
      </c>
      <c r="D399" s="8" t="s">
        <v>717</v>
      </c>
      <c r="E399" s="8" t="s">
        <v>737</v>
      </c>
      <c r="F399" s="8" t="s">
        <v>1406</v>
      </c>
      <c r="G399" s="8" t="s">
        <v>765</v>
      </c>
      <c r="H399" s="9">
        <v>14</v>
      </c>
      <c r="I399" s="8" t="s">
        <v>674</v>
      </c>
      <c r="J399" s="8" t="s">
        <v>1170</v>
      </c>
      <c r="K399" s="8" t="s">
        <v>16</v>
      </c>
      <c r="L399" s="8" t="s">
        <v>17</v>
      </c>
      <c r="M399" s="10" t="s">
        <v>710</v>
      </c>
      <c r="N399" s="10" t="s">
        <v>717</v>
      </c>
      <c r="O399" s="10" t="s">
        <v>674</v>
      </c>
      <c r="P399" s="1"/>
      <c r="Q399" s="11" t="b">
        <f>O399=P399</f>
        <v>0</v>
      </c>
      <c r="R399" s="30">
        <v>30041075</v>
      </c>
      <c r="S399" s="1"/>
      <c r="T399" s="11" t="b">
        <f>R399=S399</f>
        <v>0</v>
      </c>
      <c r="U399" s="10" t="s">
        <v>16</v>
      </c>
      <c r="V399" s="1"/>
      <c r="W399" s="11" t="b">
        <f>U399=V399</f>
        <v>0</v>
      </c>
      <c r="X399" s="13" t="s">
        <v>15</v>
      </c>
      <c r="Y399" s="1"/>
      <c r="Z399" s="1"/>
      <c r="AA399" s="10">
        <v>22002830</v>
      </c>
      <c r="AB399" s="10" t="s">
        <v>1409</v>
      </c>
      <c r="AD399" s="11" t="b">
        <f>AB399=AC399</f>
        <v>0</v>
      </c>
      <c r="AE399" s="10" t="s">
        <v>765</v>
      </c>
      <c r="AF399" s="1"/>
      <c r="AG399" s="11" t="b">
        <f>AE399=AF399</f>
        <v>0</v>
      </c>
      <c r="AH399" s="1">
        <v>14</v>
      </c>
      <c r="AI399" s="1">
        <v>8.59</v>
      </c>
      <c r="AJ399" s="16">
        <f>AI399*220/30*30.4375</f>
        <v>1917.3595833333334</v>
      </c>
      <c r="AK399" s="18">
        <v>1917.36</v>
      </c>
      <c r="AL399" s="71" t="s">
        <v>674</v>
      </c>
      <c r="AM399" s="19" t="b">
        <f>AL399=O399</f>
        <v>1</v>
      </c>
      <c r="AN399" s="7">
        <f>VLOOKUP(A399,'base ZITRHR129'!$G$1:$H$628,2,0)</f>
        <v>30041075</v>
      </c>
      <c r="AO399" s="7" t="b">
        <f>AN399=R399</f>
        <v>1</v>
      </c>
      <c r="AP399" s="7">
        <f>VLOOKUP(A399,'base ZITRHR129'!G233:W859,17,0)</f>
        <v>1917.36</v>
      </c>
      <c r="AQ399" s="7" t="b">
        <f>AP399=AK399</f>
        <v>1</v>
      </c>
      <c r="AR399" s="78"/>
    </row>
    <row r="400" spans="1:44" s="7" customFormat="1" x14ac:dyDescent="0.25">
      <c r="A400" s="7">
        <v>10052819</v>
      </c>
      <c r="B400" s="8" t="s">
        <v>423</v>
      </c>
      <c r="C400" s="8" t="s">
        <v>695</v>
      </c>
      <c r="D400" s="8" t="s">
        <v>717</v>
      </c>
      <c r="E400" s="8" t="s">
        <v>719</v>
      </c>
      <c r="F400" s="8" t="s">
        <v>1406</v>
      </c>
      <c r="G400" s="8" t="s">
        <v>20</v>
      </c>
      <c r="H400" s="9">
        <v>19</v>
      </c>
      <c r="I400" s="8" t="s">
        <v>660</v>
      </c>
      <c r="J400" s="8" t="s">
        <v>1171</v>
      </c>
      <c r="K400" s="8" t="s">
        <v>16</v>
      </c>
      <c r="L400" s="8" t="s">
        <v>17</v>
      </c>
      <c r="M400" s="10" t="s">
        <v>695</v>
      </c>
      <c r="N400" s="10" t="s">
        <v>717</v>
      </c>
      <c r="O400" s="10" t="s">
        <v>660</v>
      </c>
      <c r="P400" s="1"/>
      <c r="Q400" s="11" t="b">
        <f>O400=P400</f>
        <v>0</v>
      </c>
      <c r="R400" s="30">
        <v>30041076</v>
      </c>
      <c r="S400" s="1"/>
      <c r="T400" s="11" t="b">
        <f>R400=S400</f>
        <v>0</v>
      </c>
      <c r="U400" s="10" t="s">
        <v>16</v>
      </c>
      <c r="V400" s="1"/>
      <c r="W400" s="11" t="b">
        <f>U400=V400</f>
        <v>0</v>
      </c>
      <c r="X400" s="13" t="s">
        <v>15</v>
      </c>
      <c r="Y400" s="1"/>
      <c r="Z400" s="1"/>
      <c r="AA400" s="59">
        <v>22002723</v>
      </c>
      <c r="AB400" s="10" t="s">
        <v>1409</v>
      </c>
      <c r="AD400" s="11" t="b">
        <f>AB400=AC400</f>
        <v>0</v>
      </c>
      <c r="AE400" s="10" t="s">
        <v>20</v>
      </c>
      <c r="AF400" s="1"/>
      <c r="AG400" s="11" t="b">
        <f>AE400=AF400</f>
        <v>0</v>
      </c>
      <c r="AH400" s="1">
        <v>19</v>
      </c>
      <c r="AI400" s="1">
        <v>13.39</v>
      </c>
      <c r="AJ400" s="16">
        <f>AI400*220/30*30.4375</f>
        <v>2988.7595833333335</v>
      </c>
      <c r="AK400" s="18">
        <v>2988.76</v>
      </c>
      <c r="AL400" s="71" t="s">
        <v>660</v>
      </c>
      <c r="AM400" s="19" t="b">
        <f>AL400=O400</f>
        <v>1</v>
      </c>
      <c r="AN400" s="7">
        <f>VLOOKUP(A400,'base ZITRHR129'!$G$1:$H$628,2,0)</f>
        <v>30041076</v>
      </c>
      <c r="AO400" s="7" t="b">
        <f>AN400=R400</f>
        <v>1</v>
      </c>
      <c r="AP400" s="7">
        <f>VLOOKUP(A400,'base ZITRHR129'!G232:W858,17,0)</f>
        <v>2988.76</v>
      </c>
      <c r="AQ400" s="7" t="b">
        <f>AP400=AK400</f>
        <v>1</v>
      </c>
      <c r="AR400" s="78"/>
    </row>
    <row r="401" spans="1:44" s="7" customFormat="1" x14ac:dyDescent="0.25">
      <c r="A401" s="7">
        <v>10052922</v>
      </c>
      <c r="B401" s="8" t="s">
        <v>424</v>
      </c>
      <c r="C401" s="8" t="s">
        <v>704</v>
      </c>
      <c r="D401" s="8" t="s">
        <v>717</v>
      </c>
      <c r="E401" s="8" t="s">
        <v>737</v>
      </c>
      <c r="F401" s="8" t="s">
        <v>1406</v>
      </c>
      <c r="G401" s="8" t="s">
        <v>765</v>
      </c>
      <c r="H401" s="9">
        <v>14</v>
      </c>
      <c r="I401" s="8" t="s">
        <v>669</v>
      </c>
      <c r="J401" s="8" t="s">
        <v>1172</v>
      </c>
      <c r="K401" s="8" t="s">
        <v>16</v>
      </c>
      <c r="L401" s="8" t="s">
        <v>17</v>
      </c>
      <c r="M401" s="10" t="s">
        <v>704</v>
      </c>
      <c r="N401" s="10" t="s">
        <v>717</v>
      </c>
      <c r="O401" s="10" t="s">
        <v>669</v>
      </c>
      <c r="P401" s="1"/>
      <c r="Q401" s="11" t="b">
        <f>O401=P401</f>
        <v>0</v>
      </c>
      <c r="R401" s="30">
        <v>30041077</v>
      </c>
      <c r="S401" s="1"/>
      <c r="T401" s="11" t="b">
        <f>R401=S401</f>
        <v>0</v>
      </c>
      <c r="U401" s="10" t="s">
        <v>16</v>
      </c>
      <c r="V401" s="1"/>
      <c r="W401" s="11" t="b">
        <f>U401=V401</f>
        <v>0</v>
      </c>
      <c r="X401" s="13" t="s">
        <v>15</v>
      </c>
      <c r="Y401" s="1"/>
      <c r="Z401" s="1"/>
      <c r="AA401" s="10">
        <v>22002830</v>
      </c>
      <c r="AB401" s="10" t="s">
        <v>1409</v>
      </c>
      <c r="AD401" s="11" t="b">
        <f>AB401=AC401</f>
        <v>0</v>
      </c>
      <c r="AE401" s="10" t="s">
        <v>765</v>
      </c>
      <c r="AF401" s="1"/>
      <c r="AG401" s="11" t="b">
        <f>AE401=AF401</f>
        <v>0</v>
      </c>
      <c r="AH401" s="1">
        <v>14</v>
      </c>
      <c r="AI401" s="1">
        <v>8.59</v>
      </c>
      <c r="AJ401" s="16">
        <f>AI401*220/30*30.4375</f>
        <v>1917.3595833333334</v>
      </c>
      <c r="AK401" s="18">
        <v>1917.36</v>
      </c>
      <c r="AL401" s="71" t="s">
        <v>669</v>
      </c>
      <c r="AM401" s="19" t="b">
        <f>AL401=O401</f>
        <v>1</v>
      </c>
      <c r="AN401" s="7">
        <f>VLOOKUP(A401,'base ZITRHR129'!$G$1:$H$628,2,0)</f>
        <v>30041077</v>
      </c>
      <c r="AO401" s="7" t="b">
        <f>AN401=R401</f>
        <v>1</v>
      </c>
      <c r="AP401" s="7">
        <f>VLOOKUP(A401,'base ZITRHR129'!G231:W857,17,0)</f>
        <v>1917.36</v>
      </c>
      <c r="AQ401" s="7" t="b">
        <f>AP401=AK401</f>
        <v>1</v>
      </c>
      <c r="AR401" s="78"/>
    </row>
    <row r="402" spans="1:44" s="7" customFormat="1" x14ac:dyDescent="0.25">
      <c r="A402" s="7">
        <v>10052943</v>
      </c>
      <c r="B402" s="8" t="s">
        <v>425</v>
      </c>
      <c r="C402" s="8" t="s">
        <v>705</v>
      </c>
      <c r="D402" s="8" t="s">
        <v>717</v>
      </c>
      <c r="E402" s="8" t="s">
        <v>737</v>
      </c>
      <c r="F402" s="8" t="s">
        <v>1406</v>
      </c>
      <c r="G402" s="8" t="s">
        <v>765</v>
      </c>
      <c r="H402" s="9">
        <v>14</v>
      </c>
      <c r="I402" s="8" t="s">
        <v>670</v>
      </c>
      <c r="J402" s="8" t="s">
        <v>1173</v>
      </c>
      <c r="K402" s="8" t="s">
        <v>16</v>
      </c>
      <c r="L402" s="8" t="s">
        <v>17</v>
      </c>
      <c r="M402" s="10" t="s">
        <v>705</v>
      </c>
      <c r="N402" s="10" t="s">
        <v>717</v>
      </c>
      <c r="O402" s="10" t="s">
        <v>670</v>
      </c>
      <c r="P402" s="1"/>
      <c r="Q402" s="11" t="b">
        <f>O402=P402</f>
        <v>0</v>
      </c>
      <c r="R402" s="30">
        <v>30041078</v>
      </c>
      <c r="S402" s="1"/>
      <c r="T402" s="11" t="b">
        <f>R402=S402</f>
        <v>0</v>
      </c>
      <c r="U402" s="10" t="s">
        <v>16</v>
      </c>
      <c r="V402" s="1"/>
      <c r="W402" s="11" t="b">
        <f>U402=V402</f>
        <v>0</v>
      </c>
      <c r="X402" s="13" t="s">
        <v>15</v>
      </c>
      <c r="Y402" s="1"/>
      <c r="Z402" s="1"/>
      <c r="AA402" s="10">
        <v>22002830</v>
      </c>
      <c r="AB402" s="10" t="s">
        <v>1409</v>
      </c>
      <c r="AD402" s="11" t="b">
        <f>AB402=AC402</f>
        <v>0</v>
      </c>
      <c r="AE402" s="10" t="s">
        <v>765</v>
      </c>
      <c r="AF402" s="1"/>
      <c r="AG402" s="11" t="b">
        <f>AE402=AF402</f>
        <v>0</v>
      </c>
      <c r="AH402" s="1">
        <v>14</v>
      </c>
      <c r="AI402" s="1">
        <v>8.59</v>
      </c>
      <c r="AJ402" s="16">
        <f>AI402*220/30*30.4375</f>
        <v>1917.3595833333334</v>
      </c>
      <c r="AK402" s="18">
        <v>1917.36</v>
      </c>
      <c r="AL402" s="71" t="s">
        <v>670</v>
      </c>
      <c r="AM402" s="19" t="b">
        <f>AL402=O402</f>
        <v>1</v>
      </c>
      <c r="AN402" s="7">
        <f>VLOOKUP(A402,'base ZITRHR129'!$G$1:$H$628,2,0)</f>
        <v>30041078</v>
      </c>
      <c r="AO402" s="7" t="b">
        <f>AN402=R402</f>
        <v>1</v>
      </c>
      <c r="AP402" s="7">
        <f>VLOOKUP(A402,'base ZITRHR129'!G230:W856,17,0)</f>
        <v>1917.36</v>
      </c>
      <c r="AQ402" s="7" t="b">
        <f>AP402=AK402</f>
        <v>1</v>
      </c>
      <c r="AR402" s="78"/>
    </row>
    <row r="403" spans="1:44" s="7" customFormat="1" x14ac:dyDescent="0.25">
      <c r="A403" s="7">
        <v>10052949</v>
      </c>
      <c r="B403" s="8" t="s">
        <v>426</v>
      </c>
      <c r="C403" s="8" t="s">
        <v>704</v>
      </c>
      <c r="D403" s="8" t="s">
        <v>717</v>
      </c>
      <c r="E403" s="8" t="s">
        <v>737</v>
      </c>
      <c r="F403" s="8" t="s">
        <v>1406</v>
      </c>
      <c r="G403" s="8" t="s">
        <v>765</v>
      </c>
      <c r="H403" s="9">
        <v>14</v>
      </c>
      <c r="I403" s="8" t="s">
        <v>669</v>
      </c>
      <c r="J403" s="8" t="s">
        <v>1174</v>
      </c>
      <c r="K403" s="8" t="s">
        <v>16</v>
      </c>
      <c r="L403" s="8" t="s">
        <v>17</v>
      </c>
      <c r="M403" s="10" t="s">
        <v>704</v>
      </c>
      <c r="N403" s="10" t="s">
        <v>717</v>
      </c>
      <c r="O403" s="10" t="s">
        <v>669</v>
      </c>
      <c r="P403" s="1"/>
      <c r="Q403" s="11" t="b">
        <f>O403=P403</f>
        <v>0</v>
      </c>
      <c r="R403" s="30">
        <v>30041079</v>
      </c>
      <c r="S403" s="1"/>
      <c r="T403" s="11" t="b">
        <f>R403=S403</f>
        <v>0</v>
      </c>
      <c r="U403" s="10" t="s">
        <v>16</v>
      </c>
      <c r="V403" s="1"/>
      <c r="W403" s="11" t="b">
        <f>U403=V403</f>
        <v>0</v>
      </c>
      <c r="X403" s="13" t="s">
        <v>15</v>
      </c>
      <c r="Y403" s="1"/>
      <c r="Z403" s="1"/>
      <c r="AA403" s="10">
        <v>22002830</v>
      </c>
      <c r="AB403" s="10" t="s">
        <v>1409</v>
      </c>
      <c r="AD403" s="11" t="b">
        <f>AB403=AC403</f>
        <v>0</v>
      </c>
      <c r="AE403" s="10" t="s">
        <v>765</v>
      </c>
      <c r="AF403" s="1"/>
      <c r="AG403" s="11" t="b">
        <f>AE403=AF403</f>
        <v>0</v>
      </c>
      <c r="AH403" s="1">
        <v>14</v>
      </c>
      <c r="AI403" s="1">
        <v>8.59</v>
      </c>
      <c r="AJ403" s="16">
        <f>AI403*220/30*30.4375</f>
        <v>1917.3595833333334</v>
      </c>
      <c r="AK403" s="18">
        <v>1917.36</v>
      </c>
      <c r="AL403" s="71" t="s">
        <v>669</v>
      </c>
      <c r="AM403" s="19" t="b">
        <f>AL403=O403</f>
        <v>1</v>
      </c>
      <c r="AN403" s="7">
        <f>VLOOKUP(A403,'base ZITRHR129'!$G$1:$H$628,2,0)</f>
        <v>30041079</v>
      </c>
      <c r="AO403" s="7" t="b">
        <f>AN403=R403</f>
        <v>1</v>
      </c>
      <c r="AP403" s="7">
        <f>VLOOKUP(A403,'base ZITRHR129'!G229:W855,17,0)</f>
        <v>1917.36</v>
      </c>
      <c r="AQ403" s="7" t="b">
        <f>AP403=AK403</f>
        <v>1</v>
      </c>
      <c r="AR403" s="78"/>
    </row>
    <row r="404" spans="1:44" s="7" customFormat="1" x14ac:dyDescent="0.25">
      <c r="A404" s="7">
        <v>10053018</v>
      </c>
      <c r="B404" s="8" t="s">
        <v>427</v>
      </c>
      <c r="C404" s="8" t="s">
        <v>687</v>
      </c>
      <c r="D404" s="8" t="s">
        <v>717</v>
      </c>
      <c r="E404" s="8" t="s">
        <v>724</v>
      </c>
      <c r="F404" s="8" t="s">
        <v>1406</v>
      </c>
      <c r="G404" s="8" t="s">
        <v>21</v>
      </c>
      <c r="H404" s="9">
        <v>16</v>
      </c>
      <c r="I404" s="8" t="s">
        <v>660</v>
      </c>
      <c r="J404" s="8" t="s">
        <v>1175</v>
      </c>
      <c r="K404" s="8" t="s">
        <v>16</v>
      </c>
      <c r="L404" s="8" t="s">
        <v>17</v>
      </c>
      <c r="M404" s="10" t="s">
        <v>687</v>
      </c>
      <c r="N404" s="10" t="s">
        <v>717</v>
      </c>
      <c r="O404" s="10" t="s">
        <v>660</v>
      </c>
      <c r="P404" s="1"/>
      <c r="Q404" s="11" t="b">
        <f>O404=P404</f>
        <v>0</v>
      </c>
      <c r="R404" s="30">
        <v>30041080</v>
      </c>
      <c r="S404" s="1"/>
      <c r="T404" s="11" t="b">
        <f>R404=S404</f>
        <v>0</v>
      </c>
      <c r="U404" s="10" t="s">
        <v>16</v>
      </c>
      <c r="V404" s="1"/>
      <c r="W404" s="11" t="b">
        <f>U404=V404</f>
        <v>0</v>
      </c>
      <c r="X404" s="13" t="s">
        <v>15</v>
      </c>
      <c r="Y404" s="1"/>
      <c r="Z404" s="1"/>
      <c r="AA404" s="10">
        <v>22002616</v>
      </c>
      <c r="AB404" s="10" t="s">
        <v>1409</v>
      </c>
      <c r="AD404" s="11" t="b">
        <f>AB404=AC404</f>
        <v>0</v>
      </c>
      <c r="AE404" s="10" t="s">
        <v>21</v>
      </c>
      <c r="AF404" s="1"/>
      <c r="AG404" s="11" t="b">
        <f>AE404=AF404</f>
        <v>0</v>
      </c>
      <c r="AH404" s="1">
        <v>16</v>
      </c>
      <c r="AI404" s="1">
        <v>10.59</v>
      </c>
      <c r="AJ404" s="16">
        <f>AI404*220/30*30.4375</f>
        <v>2363.7762500000003</v>
      </c>
      <c r="AK404" s="18">
        <v>2363.7800000000002</v>
      </c>
      <c r="AL404" s="71" t="s">
        <v>660</v>
      </c>
      <c r="AM404" s="19" t="b">
        <f>AL404=O404</f>
        <v>1</v>
      </c>
      <c r="AN404" s="7">
        <f>VLOOKUP(A404,'base ZITRHR129'!$G$1:$H$628,2,0)</f>
        <v>30041080</v>
      </c>
      <c r="AO404" s="7" t="b">
        <f>AN404=R404</f>
        <v>1</v>
      </c>
      <c r="AP404" s="7">
        <f>VLOOKUP(A404,'base ZITRHR129'!G228:W854,17,0)</f>
        <v>2363.7800000000002</v>
      </c>
      <c r="AQ404" s="7" t="b">
        <f>AP404=AK404</f>
        <v>1</v>
      </c>
      <c r="AR404" s="78"/>
    </row>
    <row r="405" spans="1:44" s="7" customFormat="1" x14ac:dyDescent="0.25">
      <c r="A405" s="7">
        <v>10053019</v>
      </c>
      <c r="B405" s="8" t="s">
        <v>428</v>
      </c>
      <c r="C405" s="8" t="s">
        <v>700</v>
      </c>
      <c r="D405" s="8" t="s">
        <v>717</v>
      </c>
      <c r="E405" s="8" t="s">
        <v>732</v>
      </c>
      <c r="F405" s="8" t="s">
        <v>1407</v>
      </c>
      <c r="G405" s="8" t="s">
        <v>761</v>
      </c>
      <c r="H405" s="9">
        <v>15</v>
      </c>
      <c r="I405" s="8" t="s">
        <v>666</v>
      </c>
      <c r="J405" s="8" t="s">
        <v>1176</v>
      </c>
      <c r="K405" s="8" t="s">
        <v>16</v>
      </c>
      <c r="L405" s="8" t="s">
        <v>17</v>
      </c>
      <c r="M405" s="10" t="s">
        <v>700</v>
      </c>
      <c r="N405" s="10" t="s">
        <v>717</v>
      </c>
      <c r="O405" s="10" t="s">
        <v>666</v>
      </c>
      <c r="P405" s="1"/>
      <c r="Q405" s="11" t="b">
        <f>O405=P405</f>
        <v>0</v>
      </c>
      <c r="R405" s="30">
        <v>30041342</v>
      </c>
      <c r="S405" s="1"/>
      <c r="T405" s="11" t="b">
        <f>R405=S405</f>
        <v>0</v>
      </c>
      <c r="U405" s="10" t="s">
        <v>16</v>
      </c>
      <c r="V405" s="1"/>
      <c r="W405" s="11" t="b">
        <f>U405=V405</f>
        <v>0</v>
      </c>
      <c r="X405" s="13" t="s">
        <v>15</v>
      </c>
      <c r="Y405" s="1"/>
      <c r="Z405" s="1"/>
      <c r="AA405" s="15">
        <v>22003423</v>
      </c>
      <c r="AB405" s="10" t="s">
        <v>1410</v>
      </c>
      <c r="AD405" s="11" t="b">
        <f>AB405=AC405</f>
        <v>0</v>
      </c>
      <c r="AE405" s="10" t="s">
        <v>761</v>
      </c>
      <c r="AF405" s="1"/>
      <c r="AG405" s="11" t="b">
        <f>AE405=AF405</f>
        <v>0</v>
      </c>
      <c r="AH405" s="1">
        <v>15</v>
      </c>
      <c r="AI405" s="1">
        <v>11.71</v>
      </c>
      <c r="AJ405" s="16">
        <f>AI405*180/30*30.4375</f>
        <v>2138.5387500000002</v>
      </c>
      <c r="AK405" s="18">
        <v>2138.54</v>
      </c>
      <c r="AL405" s="71" t="s">
        <v>666</v>
      </c>
      <c r="AM405" s="19" t="b">
        <f>AL405=O405</f>
        <v>1</v>
      </c>
      <c r="AN405" s="7">
        <f>VLOOKUP(A405,'base ZITRHR129'!$G$1:$H$628,2,0)</f>
        <v>30041342</v>
      </c>
      <c r="AO405" s="7" t="b">
        <f>AN405=R405</f>
        <v>1</v>
      </c>
      <c r="AP405" s="7">
        <f>VLOOKUP(A405,'base ZITRHR129'!G227:W853,17,0)</f>
        <v>2138.54</v>
      </c>
      <c r="AQ405" s="7" t="b">
        <f>AP405=AK405</f>
        <v>1</v>
      </c>
      <c r="AR405" s="78"/>
    </row>
    <row r="406" spans="1:44" s="7" customFormat="1" x14ac:dyDescent="0.25">
      <c r="A406" s="7">
        <v>10053170</v>
      </c>
      <c r="B406" s="8" t="s">
        <v>429</v>
      </c>
      <c r="C406" s="8" t="s">
        <v>711</v>
      </c>
      <c r="D406" s="8" t="s">
        <v>717</v>
      </c>
      <c r="E406" s="8" t="s">
        <v>737</v>
      </c>
      <c r="F406" s="8" t="s">
        <v>1406</v>
      </c>
      <c r="G406" s="8" t="s">
        <v>765</v>
      </c>
      <c r="H406" s="9">
        <v>14</v>
      </c>
      <c r="I406" s="8" t="s">
        <v>675</v>
      </c>
      <c r="J406" s="8" t="s">
        <v>1177</v>
      </c>
      <c r="K406" s="8" t="s">
        <v>16</v>
      </c>
      <c r="L406" s="8" t="s">
        <v>17</v>
      </c>
      <c r="M406" s="10" t="s">
        <v>711</v>
      </c>
      <c r="N406" s="10" t="s">
        <v>717</v>
      </c>
      <c r="O406" s="10" t="s">
        <v>675</v>
      </c>
      <c r="P406" s="1"/>
      <c r="Q406" s="11" t="b">
        <f>O406=P406</f>
        <v>0</v>
      </c>
      <c r="R406" s="30">
        <v>30041082</v>
      </c>
      <c r="S406" s="1"/>
      <c r="T406" s="11" t="b">
        <f>R406=S406</f>
        <v>0</v>
      </c>
      <c r="U406" s="10" t="s">
        <v>16</v>
      </c>
      <c r="V406" s="1"/>
      <c r="W406" s="11" t="b">
        <f>U406=V406</f>
        <v>0</v>
      </c>
      <c r="X406" s="13" t="s">
        <v>15</v>
      </c>
      <c r="Y406" s="1"/>
      <c r="Z406" s="1"/>
      <c r="AA406" s="10">
        <v>22002830</v>
      </c>
      <c r="AB406" s="10" t="s">
        <v>1409</v>
      </c>
      <c r="AD406" s="11" t="b">
        <f>AB406=AC406</f>
        <v>0</v>
      </c>
      <c r="AE406" s="10" t="s">
        <v>765</v>
      </c>
      <c r="AF406" s="1"/>
      <c r="AG406" s="11" t="b">
        <f>AE406=AF406</f>
        <v>0</v>
      </c>
      <c r="AH406" s="1">
        <v>14</v>
      </c>
      <c r="AI406" s="1">
        <v>8.59</v>
      </c>
      <c r="AJ406" s="16">
        <f>AI406*220/30*30.4375</f>
        <v>1917.3595833333334</v>
      </c>
      <c r="AK406" s="18">
        <v>1917.36</v>
      </c>
      <c r="AL406" s="71" t="s">
        <v>675</v>
      </c>
      <c r="AM406" s="19" t="b">
        <f>AL406=O406</f>
        <v>1</v>
      </c>
      <c r="AN406" s="7">
        <f>VLOOKUP(A406,'base ZITRHR129'!$G$1:$H$628,2,0)</f>
        <v>30041082</v>
      </c>
      <c r="AO406" s="7" t="b">
        <f>AN406=R406</f>
        <v>1</v>
      </c>
      <c r="AP406" s="7">
        <f>VLOOKUP(A406,'base ZITRHR129'!G226:W852,17,0)</f>
        <v>1917.36</v>
      </c>
      <c r="AQ406" s="7" t="b">
        <f>AP406=AK406</f>
        <v>1</v>
      </c>
      <c r="AR406" s="78"/>
    </row>
    <row r="407" spans="1:44" s="7" customFormat="1" x14ac:dyDescent="0.25">
      <c r="A407" s="7">
        <v>10053215</v>
      </c>
      <c r="B407" s="8" t="s">
        <v>430</v>
      </c>
      <c r="C407" s="8" t="s">
        <v>710</v>
      </c>
      <c r="D407" s="8" t="s">
        <v>717</v>
      </c>
      <c r="E407" s="8" t="s">
        <v>737</v>
      </c>
      <c r="F407" s="8" t="s">
        <v>1406</v>
      </c>
      <c r="G407" s="8" t="s">
        <v>765</v>
      </c>
      <c r="H407" s="9">
        <v>14</v>
      </c>
      <c r="I407" s="8" t="s">
        <v>674</v>
      </c>
      <c r="J407" s="8" t="s">
        <v>1178</v>
      </c>
      <c r="K407" s="8" t="s">
        <v>16</v>
      </c>
      <c r="L407" s="8" t="s">
        <v>17</v>
      </c>
      <c r="M407" s="10" t="s">
        <v>710</v>
      </c>
      <c r="N407" s="10" t="s">
        <v>717</v>
      </c>
      <c r="O407" s="10" t="s">
        <v>674</v>
      </c>
      <c r="P407" s="1"/>
      <c r="Q407" s="11" t="b">
        <f>O407=P407</f>
        <v>0</v>
      </c>
      <c r="R407" s="30">
        <v>30041083</v>
      </c>
      <c r="S407" s="1"/>
      <c r="T407" s="11" t="b">
        <f>R407=S407</f>
        <v>0</v>
      </c>
      <c r="U407" s="10" t="s">
        <v>16</v>
      </c>
      <c r="V407" s="1"/>
      <c r="W407" s="11" t="b">
        <f>U407=V407</f>
        <v>0</v>
      </c>
      <c r="X407" s="13" t="s">
        <v>15</v>
      </c>
      <c r="Y407" s="1"/>
      <c r="Z407" s="1"/>
      <c r="AA407" s="10">
        <v>22002830</v>
      </c>
      <c r="AB407" s="10" t="s">
        <v>1409</v>
      </c>
      <c r="AD407" s="11" t="b">
        <f>AB407=AC407</f>
        <v>0</v>
      </c>
      <c r="AE407" s="10" t="s">
        <v>765</v>
      </c>
      <c r="AF407" s="1"/>
      <c r="AG407" s="11" t="b">
        <f>AE407=AF407</f>
        <v>0</v>
      </c>
      <c r="AH407" s="1">
        <v>14</v>
      </c>
      <c r="AI407" s="1">
        <v>8.59</v>
      </c>
      <c r="AJ407" s="16">
        <f>AI407*220/30*30.4375</f>
        <v>1917.3595833333334</v>
      </c>
      <c r="AK407" s="18">
        <v>1917.36</v>
      </c>
      <c r="AL407" s="71" t="s">
        <v>674</v>
      </c>
      <c r="AM407" s="19" t="b">
        <f>AL407=O407</f>
        <v>1</v>
      </c>
      <c r="AN407" s="7">
        <f>VLOOKUP(A407,'base ZITRHR129'!$G$1:$H$628,2,0)</f>
        <v>30041083</v>
      </c>
      <c r="AO407" s="7" t="b">
        <f>AN407=R407</f>
        <v>1</v>
      </c>
      <c r="AP407" s="7">
        <f>VLOOKUP(A407,'base ZITRHR129'!G225:W851,17,0)</f>
        <v>1917.36</v>
      </c>
      <c r="AQ407" s="7" t="b">
        <f>AP407=AK407</f>
        <v>1</v>
      </c>
      <c r="AR407" s="78"/>
    </row>
    <row r="408" spans="1:44" s="7" customFormat="1" x14ac:dyDescent="0.25">
      <c r="A408" s="7">
        <v>10053320</v>
      </c>
      <c r="B408" s="8" t="s">
        <v>431</v>
      </c>
      <c r="C408" s="8" t="s">
        <v>711</v>
      </c>
      <c r="D408" s="8" t="s">
        <v>717</v>
      </c>
      <c r="E408" s="8" t="s">
        <v>737</v>
      </c>
      <c r="F408" s="8" t="s">
        <v>1406</v>
      </c>
      <c r="G408" s="8" t="s">
        <v>765</v>
      </c>
      <c r="H408" s="9">
        <v>14</v>
      </c>
      <c r="I408" s="8" t="s">
        <v>675</v>
      </c>
      <c r="J408" s="8" t="s">
        <v>1179</v>
      </c>
      <c r="K408" s="8" t="s">
        <v>16</v>
      </c>
      <c r="L408" s="8" t="s">
        <v>17</v>
      </c>
      <c r="M408" s="10" t="s">
        <v>711</v>
      </c>
      <c r="N408" s="10" t="s">
        <v>717</v>
      </c>
      <c r="O408" s="10" t="s">
        <v>675</v>
      </c>
      <c r="P408" s="1"/>
      <c r="Q408" s="11" t="b">
        <f>O408=P408</f>
        <v>0</v>
      </c>
      <c r="R408" s="30">
        <v>30041084</v>
      </c>
      <c r="S408" s="1"/>
      <c r="T408" s="11" t="b">
        <f>R408=S408</f>
        <v>0</v>
      </c>
      <c r="U408" s="10" t="s">
        <v>16</v>
      </c>
      <c r="V408" s="1"/>
      <c r="W408" s="11" t="b">
        <f>U408=V408</f>
        <v>0</v>
      </c>
      <c r="X408" s="13" t="s">
        <v>15</v>
      </c>
      <c r="Y408" s="1"/>
      <c r="Z408" s="1"/>
      <c r="AA408" s="10">
        <v>22002830</v>
      </c>
      <c r="AB408" s="10" t="s">
        <v>1409</v>
      </c>
      <c r="AD408" s="11" t="b">
        <f>AB408=AC408</f>
        <v>0</v>
      </c>
      <c r="AE408" s="10" t="s">
        <v>765</v>
      </c>
      <c r="AF408" s="1"/>
      <c r="AG408" s="11" t="b">
        <f>AE408=AF408</f>
        <v>0</v>
      </c>
      <c r="AH408" s="1">
        <v>14</v>
      </c>
      <c r="AI408" s="1">
        <v>8.59</v>
      </c>
      <c r="AJ408" s="16">
        <f>AI408*220/30*30.4375</f>
        <v>1917.3595833333334</v>
      </c>
      <c r="AK408" s="18">
        <v>1917.36</v>
      </c>
      <c r="AL408" s="71" t="s">
        <v>675</v>
      </c>
      <c r="AM408" s="19" t="b">
        <f>AL408=O408</f>
        <v>1</v>
      </c>
      <c r="AN408" s="7">
        <f>VLOOKUP(A408,'base ZITRHR129'!$G$1:$H$628,2,0)</f>
        <v>30041084</v>
      </c>
      <c r="AO408" s="7" t="b">
        <f>AN408=R408</f>
        <v>1</v>
      </c>
      <c r="AP408" s="7">
        <f>VLOOKUP(A408,'base ZITRHR129'!G224:W850,17,0)</f>
        <v>1917.36</v>
      </c>
      <c r="AQ408" s="7" t="b">
        <f>AP408=AK408</f>
        <v>1</v>
      </c>
      <c r="AR408" s="78"/>
    </row>
    <row r="409" spans="1:44" s="7" customFormat="1" x14ac:dyDescent="0.25">
      <c r="A409" s="7">
        <v>10053332</v>
      </c>
      <c r="B409" s="8" t="s">
        <v>432</v>
      </c>
      <c r="C409" s="8" t="s">
        <v>701</v>
      </c>
      <c r="D409" s="8" t="s">
        <v>717</v>
      </c>
      <c r="E409" s="8" t="s">
        <v>742</v>
      </c>
      <c r="F409" s="8" t="s">
        <v>1406</v>
      </c>
      <c r="G409" s="8" t="s">
        <v>769</v>
      </c>
      <c r="H409" s="9">
        <v>15</v>
      </c>
      <c r="I409" s="8" t="s">
        <v>668</v>
      </c>
      <c r="J409" s="8" t="s">
        <v>1180</v>
      </c>
      <c r="K409" s="8" t="s">
        <v>16</v>
      </c>
      <c r="L409" s="8" t="s">
        <v>17</v>
      </c>
      <c r="M409" s="10" t="s">
        <v>701</v>
      </c>
      <c r="N409" s="10" t="s">
        <v>717</v>
      </c>
      <c r="O409" s="10" t="s">
        <v>668</v>
      </c>
      <c r="P409" s="1"/>
      <c r="Q409" s="11" t="b">
        <f>O409=P409</f>
        <v>0</v>
      </c>
      <c r="R409" s="30">
        <v>30041085</v>
      </c>
      <c r="S409" s="1"/>
      <c r="T409" s="11" t="b">
        <f>R409=S409</f>
        <v>0</v>
      </c>
      <c r="U409" s="10" t="s">
        <v>16</v>
      </c>
      <c r="V409" s="1"/>
      <c r="W409" s="11" t="b">
        <f>U409=V409</f>
        <v>0</v>
      </c>
      <c r="X409" s="13" t="s">
        <v>15</v>
      </c>
      <c r="Y409" s="1"/>
      <c r="Z409" s="1"/>
      <c r="AA409" s="60">
        <v>22001389</v>
      </c>
      <c r="AB409" s="10" t="s">
        <v>1409</v>
      </c>
      <c r="AD409" s="11" t="b">
        <f>AB409=AC409</f>
        <v>0</v>
      </c>
      <c r="AE409" s="10" t="s">
        <v>769</v>
      </c>
      <c r="AF409" s="1"/>
      <c r="AG409" s="11" t="b">
        <f>AE409=AF409</f>
        <v>0</v>
      </c>
      <c r="AH409" s="1">
        <v>15</v>
      </c>
      <c r="AI409" s="1">
        <v>8.59</v>
      </c>
      <c r="AJ409" s="16">
        <f>AI409*220/30*30.4375</f>
        <v>1917.3595833333334</v>
      </c>
      <c r="AK409" s="18">
        <v>1917.36</v>
      </c>
      <c r="AL409" s="71" t="s">
        <v>668</v>
      </c>
      <c r="AM409" s="19" t="b">
        <f>AL409=O409</f>
        <v>1</v>
      </c>
      <c r="AN409" s="7">
        <f>VLOOKUP(A409,'base ZITRHR129'!$G$1:$H$628,2,0)</f>
        <v>30041085</v>
      </c>
      <c r="AO409" s="7" t="b">
        <f>AN409=R409</f>
        <v>1</v>
      </c>
      <c r="AP409" s="7">
        <f>VLOOKUP(A409,'base ZITRHR129'!G223:W849,17,0)</f>
        <v>1917.36</v>
      </c>
      <c r="AQ409" s="7" t="b">
        <f>AP409=AK409</f>
        <v>1</v>
      </c>
      <c r="AR409" s="78"/>
    </row>
    <row r="410" spans="1:44" s="7" customFormat="1" x14ac:dyDescent="0.25">
      <c r="A410" s="7">
        <v>10053517</v>
      </c>
      <c r="B410" s="8" t="s">
        <v>433</v>
      </c>
      <c r="C410" s="8" t="s">
        <v>711</v>
      </c>
      <c r="D410" s="8" t="s">
        <v>717</v>
      </c>
      <c r="E410" s="8" t="s">
        <v>737</v>
      </c>
      <c r="F410" s="8" t="s">
        <v>1406</v>
      </c>
      <c r="G410" s="8" t="s">
        <v>765</v>
      </c>
      <c r="H410" s="9">
        <v>14</v>
      </c>
      <c r="I410" s="8" t="s">
        <v>675</v>
      </c>
      <c r="J410" s="8" t="s">
        <v>1181</v>
      </c>
      <c r="K410" s="8" t="s">
        <v>16</v>
      </c>
      <c r="L410" s="8" t="s">
        <v>17</v>
      </c>
      <c r="M410" s="10" t="s">
        <v>711</v>
      </c>
      <c r="N410" s="10" t="s">
        <v>717</v>
      </c>
      <c r="O410" s="10" t="s">
        <v>675</v>
      </c>
      <c r="P410" s="1"/>
      <c r="Q410" s="11" t="b">
        <f>O410=P410</f>
        <v>0</v>
      </c>
      <c r="R410" s="30">
        <v>30041086</v>
      </c>
      <c r="S410" s="1"/>
      <c r="T410" s="11" t="b">
        <f>R410=S410</f>
        <v>0</v>
      </c>
      <c r="U410" s="10" t="s">
        <v>16</v>
      </c>
      <c r="V410" s="1"/>
      <c r="W410" s="11" t="b">
        <f>U410=V410</f>
        <v>0</v>
      </c>
      <c r="X410" s="13" t="s">
        <v>15</v>
      </c>
      <c r="Y410" s="1"/>
      <c r="Z410" s="1"/>
      <c r="AA410" s="10">
        <v>22002830</v>
      </c>
      <c r="AB410" s="10" t="s">
        <v>1409</v>
      </c>
      <c r="AD410" s="11" t="b">
        <f>AB410=AC410</f>
        <v>0</v>
      </c>
      <c r="AE410" s="10" t="s">
        <v>765</v>
      </c>
      <c r="AF410" s="1"/>
      <c r="AG410" s="11" t="b">
        <f>AE410=AF410</f>
        <v>0</v>
      </c>
      <c r="AH410" s="1">
        <v>14</v>
      </c>
      <c r="AI410" s="1">
        <v>8.59</v>
      </c>
      <c r="AJ410" s="16">
        <f>AI410*220/30*30.4375</f>
        <v>1917.3595833333334</v>
      </c>
      <c r="AK410" s="18">
        <v>1917.36</v>
      </c>
      <c r="AL410" s="71" t="s">
        <v>675</v>
      </c>
      <c r="AM410" s="19" t="b">
        <f>AL410=O410</f>
        <v>1</v>
      </c>
      <c r="AN410" s="7">
        <f>VLOOKUP(A410,'base ZITRHR129'!$G$1:$H$628,2,0)</f>
        <v>30041086</v>
      </c>
      <c r="AO410" s="7" t="b">
        <f>AN410=R410</f>
        <v>1</v>
      </c>
      <c r="AP410" s="7">
        <f>VLOOKUP(A410,'base ZITRHR129'!G222:W848,17,0)</f>
        <v>1917.36</v>
      </c>
      <c r="AQ410" s="7" t="b">
        <f>AP410=AK410</f>
        <v>1</v>
      </c>
      <c r="AR410" s="78"/>
    </row>
    <row r="411" spans="1:44" s="7" customFormat="1" x14ac:dyDescent="0.25">
      <c r="A411" s="7">
        <v>10053616</v>
      </c>
      <c r="B411" s="8" t="s">
        <v>434</v>
      </c>
      <c r="C411" s="8" t="s">
        <v>695</v>
      </c>
      <c r="D411" s="8" t="s">
        <v>717</v>
      </c>
      <c r="E411" s="8" t="s">
        <v>724</v>
      </c>
      <c r="F411" s="8" t="s">
        <v>1406</v>
      </c>
      <c r="G411" s="8" t="s">
        <v>21</v>
      </c>
      <c r="H411" s="9">
        <v>16</v>
      </c>
      <c r="I411" s="8" t="s">
        <v>660</v>
      </c>
      <c r="J411" s="8" t="s">
        <v>1182</v>
      </c>
      <c r="K411" s="8" t="s">
        <v>16</v>
      </c>
      <c r="L411" s="8" t="s">
        <v>17</v>
      </c>
      <c r="M411" s="10" t="s">
        <v>695</v>
      </c>
      <c r="N411" s="10" t="s">
        <v>717</v>
      </c>
      <c r="O411" s="10" t="s">
        <v>660</v>
      </c>
      <c r="P411" s="1"/>
      <c r="Q411" s="11" t="b">
        <f>O411=P411</f>
        <v>0</v>
      </c>
      <c r="R411" s="30">
        <v>30041087</v>
      </c>
      <c r="S411" s="1"/>
      <c r="T411" s="11" t="b">
        <f>R411=S411</f>
        <v>0</v>
      </c>
      <c r="U411" s="10" t="s">
        <v>16</v>
      </c>
      <c r="V411" s="1"/>
      <c r="W411" s="11" t="b">
        <f>U411=V411</f>
        <v>0</v>
      </c>
      <c r="X411" s="13" t="s">
        <v>15</v>
      </c>
      <c r="Y411" s="1"/>
      <c r="Z411" s="1"/>
      <c r="AA411" s="63">
        <v>22002616</v>
      </c>
      <c r="AB411" s="10" t="s">
        <v>1409</v>
      </c>
      <c r="AD411" s="11" t="b">
        <f>AB411=AC411</f>
        <v>0</v>
      </c>
      <c r="AE411" s="10" t="s">
        <v>21</v>
      </c>
      <c r="AF411" s="1"/>
      <c r="AG411" s="11" t="b">
        <f>AE411=AF411</f>
        <v>0</v>
      </c>
      <c r="AH411" s="1">
        <v>16</v>
      </c>
      <c r="AI411" s="1">
        <v>10.55</v>
      </c>
      <c r="AJ411" s="16">
        <f>AI411*220/30*30.4375</f>
        <v>2354.8479166666666</v>
      </c>
      <c r="AK411" s="18">
        <v>2354.85</v>
      </c>
      <c r="AL411" s="71" t="s">
        <v>660</v>
      </c>
      <c r="AM411" s="19" t="b">
        <f>AL411=O411</f>
        <v>1</v>
      </c>
      <c r="AN411" s="7">
        <f>VLOOKUP(A411,'base ZITRHR129'!$G$1:$H$628,2,0)</f>
        <v>30041087</v>
      </c>
      <c r="AO411" s="7" t="b">
        <f>AN411=R411</f>
        <v>1</v>
      </c>
      <c r="AP411" s="7">
        <f>VLOOKUP(A411,'base ZITRHR129'!G221:W847,17,0)</f>
        <v>2354.85</v>
      </c>
      <c r="AQ411" s="7" t="b">
        <f>AP411=AK411</f>
        <v>1</v>
      </c>
      <c r="AR411" s="78"/>
    </row>
    <row r="412" spans="1:44" s="7" customFormat="1" ht="12" x14ac:dyDescent="0.2">
      <c r="A412" s="7">
        <v>10053625</v>
      </c>
      <c r="B412" s="8" t="s">
        <v>435</v>
      </c>
      <c r="C412" s="8" t="s">
        <v>681</v>
      </c>
      <c r="D412" s="8" t="s">
        <v>717</v>
      </c>
      <c r="E412" s="8" t="s">
        <v>745</v>
      </c>
      <c r="F412" s="8" t="s">
        <v>1406</v>
      </c>
      <c r="G412" s="8" t="s">
        <v>772</v>
      </c>
      <c r="H412" s="9">
        <v>15</v>
      </c>
      <c r="I412" s="8" t="s">
        <v>658</v>
      </c>
      <c r="J412" s="8" t="s">
        <v>1183</v>
      </c>
      <c r="K412" s="8" t="s">
        <v>6</v>
      </c>
      <c r="L412" s="8" t="s">
        <v>17</v>
      </c>
      <c r="M412" s="10" t="s">
        <v>681</v>
      </c>
      <c r="N412" s="10" t="s">
        <v>717</v>
      </c>
      <c r="O412" s="10" t="s">
        <v>658</v>
      </c>
      <c r="P412" s="1"/>
      <c r="Q412" s="11" t="b">
        <f>O412=P412</f>
        <v>0</v>
      </c>
      <c r="R412" s="30">
        <v>30041088</v>
      </c>
      <c r="S412" s="1"/>
      <c r="T412" s="11" t="b">
        <f>R412=S412</f>
        <v>0</v>
      </c>
      <c r="U412" s="10" t="s">
        <v>6</v>
      </c>
      <c r="V412" s="1"/>
      <c r="W412" s="11" t="b">
        <f>U412=V412</f>
        <v>0</v>
      </c>
      <c r="X412" s="13" t="s">
        <v>15</v>
      </c>
      <c r="Y412" s="1"/>
      <c r="Z412" s="1"/>
      <c r="AA412" s="10">
        <v>22003020</v>
      </c>
      <c r="AB412" s="10" t="s">
        <v>1409</v>
      </c>
      <c r="AD412" s="11" t="b">
        <f>AB412=AC412</f>
        <v>0</v>
      </c>
      <c r="AE412" s="10" t="s">
        <v>772</v>
      </c>
      <c r="AF412" s="1"/>
      <c r="AG412" s="11" t="b">
        <f>AE412=AF412</f>
        <v>0</v>
      </c>
      <c r="AH412" s="1">
        <v>15</v>
      </c>
      <c r="AI412" s="1">
        <v>8.59</v>
      </c>
      <c r="AJ412" s="16">
        <f>AI412*220/30*30.4375</f>
        <v>1917.3595833333334</v>
      </c>
      <c r="AK412" s="18">
        <v>1917.36</v>
      </c>
      <c r="AL412" s="72" t="s">
        <v>653</v>
      </c>
      <c r="AM412" s="48" t="b">
        <f>AL412=O412</f>
        <v>0</v>
      </c>
      <c r="AN412" s="7">
        <f>VLOOKUP(A412,'base ZITRHR129'!$G$1:$H$628,2,0)</f>
        <v>30041088</v>
      </c>
      <c r="AO412" s="7" t="b">
        <f>AN412=R412</f>
        <v>1</v>
      </c>
      <c r="AP412" s="7">
        <f>VLOOKUP(A412,'base ZITRHR129'!G220:W846,17,0)</f>
        <v>1917.36</v>
      </c>
      <c r="AQ412" s="7" t="b">
        <f>AP412=AK412</f>
        <v>1</v>
      </c>
      <c r="AR412" s="69" t="s">
        <v>1517</v>
      </c>
    </row>
    <row r="413" spans="1:44" s="7" customFormat="1" x14ac:dyDescent="0.25">
      <c r="A413" s="7">
        <v>10053645</v>
      </c>
      <c r="B413" s="8" t="s">
        <v>436</v>
      </c>
      <c r="C413" s="8" t="s">
        <v>689</v>
      </c>
      <c r="D413" s="8" t="s">
        <v>717</v>
      </c>
      <c r="E413" s="8" t="s">
        <v>730</v>
      </c>
      <c r="F413" s="8" t="s">
        <v>1406</v>
      </c>
      <c r="G413" s="8" t="s">
        <v>759</v>
      </c>
      <c r="H413" s="9">
        <v>17</v>
      </c>
      <c r="I413" s="8" t="s">
        <v>662</v>
      </c>
      <c r="J413" s="8" t="s">
        <v>1184</v>
      </c>
      <c r="K413" s="8" t="s">
        <v>16</v>
      </c>
      <c r="L413" s="8" t="s">
        <v>17</v>
      </c>
      <c r="M413" s="10" t="s">
        <v>689</v>
      </c>
      <c r="N413" s="10" t="s">
        <v>717</v>
      </c>
      <c r="O413" s="10" t="s">
        <v>662</v>
      </c>
      <c r="P413" s="1"/>
      <c r="Q413" s="11" t="b">
        <f>O413=P413</f>
        <v>0</v>
      </c>
      <c r="R413" s="30">
        <v>30041089</v>
      </c>
      <c r="S413" s="1"/>
      <c r="T413" s="11" t="b">
        <f>R413=S413</f>
        <v>0</v>
      </c>
      <c r="U413" s="10" t="s">
        <v>16</v>
      </c>
      <c r="V413" s="1"/>
      <c r="W413" s="11" t="b">
        <f>U413=V413</f>
        <v>0</v>
      </c>
      <c r="X413" s="13" t="s">
        <v>15</v>
      </c>
      <c r="Y413" s="1"/>
      <c r="Z413" s="1"/>
      <c r="AA413" s="10">
        <v>22002605</v>
      </c>
      <c r="AB413" s="10" t="s">
        <v>1409</v>
      </c>
      <c r="AD413" s="11" t="b">
        <f>AB413=AC413</f>
        <v>0</v>
      </c>
      <c r="AE413" s="10" t="s">
        <v>759</v>
      </c>
      <c r="AF413" s="1"/>
      <c r="AG413" s="11" t="b">
        <f>AE413=AF413</f>
        <v>0</v>
      </c>
      <c r="AH413" s="1">
        <v>17</v>
      </c>
      <c r="AI413" s="1">
        <v>9.4499999999999993</v>
      </c>
      <c r="AJ413" s="16">
        <f>AI413*220/30*30.4375</f>
        <v>2109.3187499999999</v>
      </c>
      <c r="AK413" s="18">
        <v>2109.3200000000002</v>
      </c>
      <c r="AL413" s="71" t="s">
        <v>662</v>
      </c>
      <c r="AM413" s="19" t="b">
        <f>AL413=O413</f>
        <v>1</v>
      </c>
      <c r="AN413" s="7">
        <f>VLOOKUP(A413,'base ZITRHR129'!$G$1:$H$628,2,0)</f>
        <v>30041089</v>
      </c>
      <c r="AO413" s="7" t="b">
        <f>AN413=R413</f>
        <v>1</v>
      </c>
      <c r="AP413" s="7">
        <f>VLOOKUP(A413,'base ZITRHR129'!G219:W845,17,0)</f>
        <v>2109.3200000000002</v>
      </c>
      <c r="AQ413" s="7" t="b">
        <f>AP413=AK413</f>
        <v>1</v>
      </c>
      <c r="AR413" s="78"/>
    </row>
    <row r="414" spans="1:44" s="7" customFormat="1" x14ac:dyDescent="0.25">
      <c r="A414" s="7">
        <v>10053667</v>
      </c>
      <c r="B414" s="8" t="s">
        <v>437</v>
      </c>
      <c r="C414" s="8" t="s">
        <v>701</v>
      </c>
      <c r="D414" s="8" t="s">
        <v>717</v>
      </c>
      <c r="E414" s="8" t="s">
        <v>742</v>
      </c>
      <c r="F414" s="8" t="s">
        <v>1406</v>
      </c>
      <c r="G414" s="8" t="s">
        <v>769</v>
      </c>
      <c r="H414" s="9">
        <v>15</v>
      </c>
      <c r="I414" s="8" t="s">
        <v>668</v>
      </c>
      <c r="J414" s="8" t="s">
        <v>1185</v>
      </c>
      <c r="K414" s="8" t="s">
        <v>16</v>
      </c>
      <c r="L414" s="8" t="s">
        <v>17</v>
      </c>
      <c r="M414" s="10" t="s">
        <v>701</v>
      </c>
      <c r="N414" s="10" t="s">
        <v>717</v>
      </c>
      <c r="O414" s="10" t="s">
        <v>668</v>
      </c>
      <c r="P414" s="1"/>
      <c r="Q414" s="11" t="b">
        <f>O414=P414</f>
        <v>0</v>
      </c>
      <c r="R414" s="30">
        <v>30041090</v>
      </c>
      <c r="S414" s="1"/>
      <c r="T414" s="11" t="b">
        <f>R414=S414</f>
        <v>0</v>
      </c>
      <c r="U414" s="10" t="s">
        <v>16</v>
      </c>
      <c r="V414" s="1"/>
      <c r="W414" s="11" t="b">
        <f>U414=V414</f>
        <v>0</v>
      </c>
      <c r="X414" s="13" t="s">
        <v>15</v>
      </c>
      <c r="Y414" s="1"/>
      <c r="Z414" s="1"/>
      <c r="AA414" s="60">
        <v>22001389</v>
      </c>
      <c r="AB414" s="10" t="s">
        <v>1409</v>
      </c>
      <c r="AD414" s="11" t="b">
        <f>AB414=AC414</f>
        <v>0</v>
      </c>
      <c r="AE414" s="10" t="s">
        <v>769</v>
      </c>
      <c r="AF414" s="1"/>
      <c r="AG414" s="11" t="b">
        <f>AE414=AF414</f>
        <v>0</v>
      </c>
      <c r="AH414" s="1">
        <v>15</v>
      </c>
      <c r="AI414" s="1">
        <v>8.59</v>
      </c>
      <c r="AJ414" s="16">
        <f>AI414*220/30*30.4375</f>
        <v>1917.3595833333334</v>
      </c>
      <c r="AK414" s="18">
        <v>1917.36</v>
      </c>
      <c r="AL414" s="71" t="s">
        <v>668</v>
      </c>
      <c r="AM414" s="19" t="b">
        <f>AL414=O414</f>
        <v>1</v>
      </c>
      <c r="AN414" s="7">
        <f>VLOOKUP(A414,'base ZITRHR129'!$G$1:$H$628,2,0)</f>
        <v>30041090</v>
      </c>
      <c r="AO414" s="7" t="b">
        <f>AN414=R414</f>
        <v>1</v>
      </c>
      <c r="AP414" s="7">
        <f>VLOOKUP(A414,'base ZITRHR129'!G218:W844,17,0)</f>
        <v>1917.36</v>
      </c>
      <c r="AQ414" s="7" t="b">
        <f>AP414=AK414</f>
        <v>1</v>
      </c>
      <c r="AR414" s="78"/>
    </row>
    <row r="415" spans="1:44" s="7" customFormat="1" x14ac:dyDescent="0.25">
      <c r="A415" s="7">
        <v>10053671</v>
      </c>
      <c r="B415" s="8" t="s">
        <v>438</v>
      </c>
      <c r="C415" s="8" t="s">
        <v>684</v>
      </c>
      <c r="D415" s="8" t="s">
        <v>717</v>
      </c>
      <c r="E415" s="8" t="s">
        <v>742</v>
      </c>
      <c r="F415" s="8" t="s">
        <v>1406</v>
      </c>
      <c r="G415" s="8" t="s">
        <v>769</v>
      </c>
      <c r="H415" s="9">
        <v>15</v>
      </c>
      <c r="I415" s="8" t="s">
        <v>657</v>
      </c>
      <c r="J415" s="8" t="s">
        <v>1186</v>
      </c>
      <c r="K415" s="8" t="s">
        <v>16</v>
      </c>
      <c r="L415" s="8" t="s">
        <v>17</v>
      </c>
      <c r="M415" s="10" t="s">
        <v>684</v>
      </c>
      <c r="N415" s="10" t="s">
        <v>717</v>
      </c>
      <c r="O415" s="10" t="s">
        <v>657</v>
      </c>
      <c r="P415" s="1"/>
      <c r="Q415" s="11" t="b">
        <f>O415=P415</f>
        <v>0</v>
      </c>
      <c r="R415" s="30">
        <v>30041091</v>
      </c>
      <c r="S415" s="1"/>
      <c r="T415" s="11" t="b">
        <f>R415=S415</f>
        <v>0</v>
      </c>
      <c r="U415" s="10" t="s">
        <v>16</v>
      </c>
      <c r="V415" s="1"/>
      <c r="W415" s="11" t="b">
        <f>U415=V415</f>
        <v>0</v>
      </c>
      <c r="X415" s="13" t="s">
        <v>15</v>
      </c>
      <c r="Y415" s="1"/>
      <c r="Z415" s="1"/>
      <c r="AA415" s="60">
        <v>22001389</v>
      </c>
      <c r="AB415" s="10" t="s">
        <v>1409</v>
      </c>
      <c r="AD415" s="11" t="b">
        <f>AB415=AC415</f>
        <v>0</v>
      </c>
      <c r="AE415" s="10" t="s">
        <v>769</v>
      </c>
      <c r="AF415" s="1"/>
      <c r="AG415" s="11" t="b">
        <f>AE415=AF415</f>
        <v>0</v>
      </c>
      <c r="AH415" s="1">
        <v>15</v>
      </c>
      <c r="AI415" s="1">
        <v>8.59</v>
      </c>
      <c r="AJ415" s="16">
        <f>AI415*220/30*30.4375</f>
        <v>1917.3595833333334</v>
      </c>
      <c r="AK415" s="18">
        <v>1917.36</v>
      </c>
      <c r="AL415" s="71" t="s">
        <v>657</v>
      </c>
      <c r="AM415" s="19" t="b">
        <f>AL415=O415</f>
        <v>1</v>
      </c>
      <c r="AN415" s="7">
        <f>VLOOKUP(A415,'base ZITRHR129'!$G$1:$H$628,2,0)</f>
        <v>30041091</v>
      </c>
      <c r="AO415" s="7" t="b">
        <f>AN415=R415</f>
        <v>1</v>
      </c>
      <c r="AP415" s="7">
        <f>VLOOKUP(A415,'base ZITRHR129'!G217:W843,17,0)</f>
        <v>1917.36</v>
      </c>
      <c r="AQ415" s="7" t="b">
        <f>AP415=AK415</f>
        <v>1</v>
      </c>
      <c r="AR415" s="78"/>
    </row>
    <row r="416" spans="1:44" s="7" customFormat="1" x14ac:dyDescent="0.25">
      <c r="A416" s="7">
        <v>10053907</v>
      </c>
      <c r="B416" s="8" t="s">
        <v>439</v>
      </c>
      <c r="C416" s="8" t="s">
        <v>704</v>
      </c>
      <c r="D416" s="8" t="s">
        <v>717</v>
      </c>
      <c r="E416" s="8" t="s">
        <v>737</v>
      </c>
      <c r="F416" s="8" t="s">
        <v>1406</v>
      </c>
      <c r="G416" s="8" t="s">
        <v>765</v>
      </c>
      <c r="H416" s="9">
        <v>14</v>
      </c>
      <c r="I416" s="8" t="s">
        <v>669</v>
      </c>
      <c r="J416" s="8" t="s">
        <v>1187</v>
      </c>
      <c r="K416" s="8" t="s">
        <v>16</v>
      </c>
      <c r="L416" s="8" t="s">
        <v>17</v>
      </c>
      <c r="M416" s="10" t="s">
        <v>704</v>
      </c>
      <c r="N416" s="10" t="s">
        <v>717</v>
      </c>
      <c r="O416" s="10" t="s">
        <v>669</v>
      </c>
      <c r="P416" s="1"/>
      <c r="Q416" s="11" t="b">
        <f>O416=P416</f>
        <v>0</v>
      </c>
      <c r="R416" s="30">
        <v>30041092</v>
      </c>
      <c r="S416" s="1"/>
      <c r="T416" s="11" t="b">
        <f>R416=S416</f>
        <v>0</v>
      </c>
      <c r="U416" s="10" t="s">
        <v>16</v>
      </c>
      <c r="V416" s="1"/>
      <c r="W416" s="11" t="b">
        <f>U416=V416</f>
        <v>0</v>
      </c>
      <c r="X416" s="13" t="s">
        <v>15</v>
      </c>
      <c r="Y416" s="1"/>
      <c r="Z416" s="1"/>
      <c r="AA416" s="63">
        <v>22002830</v>
      </c>
      <c r="AB416" s="10" t="s">
        <v>1409</v>
      </c>
      <c r="AD416" s="11" t="b">
        <f>AB416=AC416</f>
        <v>0</v>
      </c>
      <c r="AE416" s="10" t="s">
        <v>765</v>
      </c>
      <c r="AF416" s="1"/>
      <c r="AG416" s="11" t="b">
        <f>AE416=AF416</f>
        <v>0</v>
      </c>
      <c r="AH416" s="1">
        <v>14</v>
      </c>
      <c r="AI416" s="1">
        <v>8.59</v>
      </c>
      <c r="AJ416" s="16">
        <f>AI416*220/30*30.4375</f>
        <v>1917.3595833333334</v>
      </c>
      <c r="AK416" s="18">
        <v>1917.36</v>
      </c>
      <c r="AL416" s="71" t="s">
        <v>669</v>
      </c>
      <c r="AM416" s="19" t="b">
        <f>AL416=O416</f>
        <v>1</v>
      </c>
      <c r="AN416" s="7">
        <f>VLOOKUP(A416,'base ZITRHR129'!$G$1:$H$628,2,0)</f>
        <v>30041092</v>
      </c>
      <c r="AO416" s="7" t="b">
        <f>AN416=R416</f>
        <v>1</v>
      </c>
      <c r="AP416" s="7">
        <f>VLOOKUP(A416,'base ZITRHR129'!G216:W842,17,0)</f>
        <v>1917.36</v>
      </c>
      <c r="AQ416" s="7" t="b">
        <f>AP416=AK416</f>
        <v>1</v>
      </c>
      <c r="AR416" s="78"/>
    </row>
    <row r="417" spans="1:44" s="7" customFormat="1" x14ac:dyDescent="0.25">
      <c r="A417" s="7">
        <v>10053908</v>
      </c>
      <c r="B417" s="8" t="s">
        <v>440</v>
      </c>
      <c r="C417" s="8" t="s">
        <v>704</v>
      </c>
      <c r="D417" s="8" t="s">
        <v>717</v>
      </c>
      <c r="E417" s="8" t="s">
        <v>737</v>
      </c>
      <c r="F417" s="8" t="s">
        <v>1406</v>
      </c>
      <c r="G417" s="8" t="s">
        <v>765</v>
      </c>
      <c r="H417" s="9">
        <v>14</v>
      </c>
      <c r="I417" s="8" t="s">
        <v>669</v>
      </c>
      <c r="J417" s="8" t="s">
        <v>1188</v>
      </c>
      <c r="K417" s="8" t="s">
        <v>16</v>
      </c>
      <c r="L417" s="8" t="s">
        <v>17</v>
      </c>
      <c r="M417" s="10" t="s">
        <v>704</v>
      </c>
      <c r="N417" s="10" t="s">
        <v>717</v>
      </c>
      <c r="O417" s="10" t="s">
        <v>669</v>
      </c>
      <c r="P417" s="1"/>
      <c r="Q417" s="11" t="b">
        <f>O417=P417</f>
        <v>0</v>
      </c>
      <c r="R417" s="30">
        <v>30041093</v>
      </c>
      <c r="S417" s="1"/>
      <c r="T417" s="11" t="b">
        <f>R417=S417</f>
        <v>0</v>
      </c>
      <c r="U417" s="10" t="s">
        <v>16</v>
      </c>
      <c r="V417" s="1"/>
      <c r="W417" s="11" t="b">
        <f>U417=V417</f>
        <v>0</v>
      </c>
      <c r="X417" s="13" t="s">
        <v>15</v>
      </c>
      <c r="Y417" s="1"/>
      <c r="Z417" s="1"/>
      <c r="AA417" s="59">
        <v>22002830</v>
      </c>
      <c r="AB417" s="10" t="s">
        <v>1409</v>
      </c>
      <c r="AD417" s="11" t="b">
        <f>AB417=AC417</f>
        <v>0</v>
      </c>
      <c r="AE417" s="10" t="s">
        <v>765</v>
      </c>
      <c r="AF417" s="1"/>
      <c r="AG417" s="11" t="b">
        <f>AE417=AF417</f>
        <v>0</v>
      </c>
      <c r="AH417" s="1">
        <v>14</v>
      </c>
      <c r="AI417" s="1">
        <v>8.59</v>
      </c>
      <c r="AJ417" s="16">
        <f>AI417*220/30*30.4375</f>
        <v>1917.3595833333334</v>
      </c>
      <c r="AK417" s="18">
        <v>1917.36</v>
      </c>
      <c r="AL417" s="71" t="s">
        <v>669</v>
      </c>
      <c r="AM417" s="19" t="b">
        <f>AL417=O417</f>
        <v>1</v>
      </c>
      <c r="AN417" s="7">
        <f>VLOOKUP(A417,'base ZITRHR129'!$G$1:$H$628,2,0)</f>
        <v>30041093</v>
      </c>
      <c r="AO417" s="7" t="b">
        <f>AN417=R417</f>
        <v>1</v>
      </c>
      <c r="AP417" s="7">
        <f>VLOOKUP(A417,'base ZITRHR129'!G215:W841,17,0)</f>
        <v>1917.36</v>
      </c>
      <c r="AQ417" s="7" t="b">
        <f>AP417=AK417</f>
        <v>1</v>
      </c>
      <c r="AR417" s="78"/>
    </row>
    <row r="418" spans="1:44" s="7" customFormat="1" x14ac:dyDescent="0.25">
      <c r="A418" s="7">
        <v>10053911</v>
      </c>
      <c r="B418" s="8" t="s">
        <v>441</v>
      </c>
      <c r="C418" s="8" t="s">
        <v>711</v>
      </c>
      <c r="D418" s="8" t="s">
        <v>717</v>
      </c>
      <c r="E418" s="8" t="s">
        <v>737</v>
      </c>
      <c r="F418" s="8" t="s">
        <v>1406</v>
      </c>
      <c r="G418" s="8" t="s">
        <v>765</v>
      </c>
      <c r="H418" s="9">
        <v>14</v>
      </c>
      <c r="I418" s="8" t="s">
        <v>675</v>
      </c>
      <c r="J418" s="8" t="s">
        <v>1189</v>
      </c>
      <c r="K418" s="8" t="s">
        <v>16</v>
      </c>
      <c r="L418" s="8" t="s">
        <v>17</v>
      </c>
      <c r="M418" s="10" t="s">
        <v>711</v>
      </c>
      <c r="N418" s="10" t="s">
        <v>717</v>
      </c>
      <c r="O418" s="10" t="s">
        <v>675</v>
      </c>
      <c r="P418" s="1"/>
      <c r="Q418" s="11" t="b">
        <f>O418=P418</f>
        <v>0</v>
      </c>
      <c r="R418" s="30">
        <v>30041094</v>
      </c>
      <c r="S418" s="1"/>
      <c r="T418" s="11" t="b">
        <f>R418=S418</f>
        <v>0</v>
      </c>
      <c r="U418" s="10" t="s">
        <v>16</v>
      </c>
      <c r="V418" s="1"/>
      <c r="W418" s="11" t="b">
        <f>U418=V418</f>
        <v>0</v>
      </c>
      <c r="X418" s="13" t="s">
        <v>15</v>
      </c>
      <c r="Y418" s="1"/>
      <c r="Z418" s="1"/>
      <c r="AA418" s="10">
        <v>22002830</v>
      </c>
      <c r="AB418" s="10" t="s">
        <v>1409</v>
      </c>
      <c r="AD418" s="11" t="b">
        <f>AB418=AC418</f>
        <v>0</v>
      </c>
      <c r="AE418" s="10" t="s">
        <v>765</v>
      </c>
      <c r="AF418" s="1"/>
      <c r="AG418" s="11" t="b">
        <f>AE418=AF418</f>
        <v>0</v>
      </c>
      <c r="AH418" s="1">
        <v>14</v>
      </c>
      <c r="AI418" s="1">
        <v>8.59</v>
      </c>
      <c r="AJ418" s="16">
        <f>AI418*220/30*30.4375</f>
        <v>1917.3595833333334</v>
      </c>
      <c r="AK418" s="18">
        <v>1917.36</v>
      </c>
      <c r="AL418" s="71" t="s">
        <v>675</v>
      </c>
      <c r="AM418" s="19" t="b">
        <f>AL418=O418</f>
        <v>1</v>
      </c>
      <c r="AN418" s="7">
        <f>VLOOKUP(A418,'base ZITRHR129'!$G$1:$H$628,2,0)</f>
        <v>30041094</v>
      </c>
      <c r="AO418" s="7" t="b">
        <f>AN418=R418</f>
        <v>1</v>
      </c>
      <c r="AP418" s="7">
        <f>VLOOKUP(A418,'base ZITRHR129'!G214:W840,17,0)</f>
        <v>1917.36</v>
      </c>
      <c r="AQ418" s="7" t="b">
        <f>AP418=AK418</f>
        <v>1</v>
      </c>
      <c r="AR418" s="78"/>
    </row>
    <row r="419" spans="1:44" s="7" customFormat="1" x14ac:dyDescent="0.25">
      <c r="A419" s="7">
        <v>10059019</v>
      </c>
      <c r="B419" s="8" t="s">
        <v>442</v>
      </c>
      <c r="C419" s="8" t="s">
        <v>704</v>
      </c>
      <c r="D419" s="8" t="s">
        <v>717</v>
      </c>
      <c r="E419" s="8" t="s">
        <v>737</v>
      </c>
      <c r="F419" s="8" t="s">
        <v>1406</v>
      </c>
      <c r="G419" s="8" t="s">
        <v>765</v>
      </c>
      <c r="H419" s="9">
        <v>14</v>
      </c>
      <c r="I419" s="8" t="s">
        <v>669</v>
      </c>
      <c r="J419" s="8" t="s">
        <v>1190</v>
      </c>
      <c r="K419" s="8" t="s">
        <v>16</v>
      </c>
      <c r="L419" s="8" t="s">
        <v>17</v>
      </c>
      <c r="M419" s="10" t="s">
        <v>704</v>
      </c>
      <c r="N419" s="10" t="s">
        <v>717</v>
      </c>
      <c r="O419" s="10" t="s">
        <v>669</v>
      </c>
      <c r="P419" s="1"/>
      <c r="Q419" s="11" t="b">
        <f>O419=P419</f>
        <v>0</v>
      </c>
      <c r="R419" s="30">
        <v>30041095</v>
      </c>
      <c r="S419" s="1"/>
      <c r="T419" s="11" t="b">
        <f>R419=S419</f>
        <v>0</v>
      </c>
      <c r="U419" s="10" t="s">
        <v>16</v>
      </c>
      <c r="V419" s="1"/>
      <c r="W419" s="11" t="b">
        <f>U419=V419</f>
        <v>0</v>
      </c>
      <c r="X419" s="13" t="s">
        <v>15</v>
      </c>
      <c r="Y419" s="1"/>
      <c r="Z419" s="1"/>
      <c r="AA419" s="10">
        <v>22002830</v>
      </c>
      <c r="AB419" s="10" t="s">
        <v>1409</v>
      </c>
      <c r="AD419" s="11" t="b">
        <f>AB419=AC419</f>
        <v>0</v>
      </c>
      <c r="AE419" s="10" t="s">
        <v>765</v>
      </c>
      <c r="AF419" s="1"/>
      <c r="AG419" s="11" t="b">
        <f>AE419=AF419</f>
        <v>0</v>
      </c>
      <c r="AH419" s="1">
        <v>14</v>
      </c>
      <c r="AI419" s="1">
        <v>8.59</v>
      </c>
      <c r="AJ419" s="16">
        <f>AI419*220/30*30.4375</f>
        <v>1917.3595833333334</v>
      </c>
      <c r="AK419" s="18">
        <v>1917.36</v>
      </c>
      <c r="AL419" s="71" t="s">
        <v>669</v>
      </c>
      <c r="AM419" s="19" t="b">
        <f>AL419=O419</f>
        <v>1</v>
      </c>
      <c r="AN419" s="7">
        <f>VLOOKUP(A419,'base ZITRHR129'!$G$1:$H$628,2,0)</f>
        <v>30041095</v>
      </c>
      <c r="AO419" s="7" t="b">
        <f>AN419=R419</f>
        <v>1</v>
      </c>
      <c r="AP419" s="7">
        <f>VLOOKUP(A419,'base ZITRHR129'!G213:W839,17,0)</f>
        <v>1917.36</v>
      </c>
      <c r="AQ419" s="7" t="b">
        <f>AP419=AK419</f>
        <v>1</v>
      </c>
      <c r="AR419" s="78"/>
    </row>
    <row r="420" spans="1:44" s="7" customFormat="1" x14ac:dyDescent="0.25">
      <c r="A420" s="7">
        <v>10059022</v>
      </c>
      <c r="B420" s="8" t="s">
        <v>443</v>
      </c>
      <c r="C420" s="8" t="s">
        <v>708</v>
      </c>
      <c r="D420" s="8" t="s">
        <v>717</v>
      </c>
      <c r="E420" s="8" t="s">
        <v>737</v>
      </c>
      <c r="F420" s="8" t="s">
        <v>1406</v>
      </c>
      <c r="G420" s="8" t="s">
        <v>765</v>
      </c>
      <c r="H420" s="9">
        <v>14</v>
      </c>
      <c r="I420" s="8" t="s">
        <v>672</v>
      </c>
      <c r="J420" s="8" t="s">
        <v>1191</v>
      </c>
      <c r="K420" s="8" t="s">
        <v>16</v>
      </c>
      <c r="L420" s="8" t="s">
        <v>17</v>
      </c>
      <c r="M420" s="10" t="s">
        <v>708</v>
      </c>
      <c r="N420" s="10" t="s">
        <v>717</v>
      </c>
      <c r="O420" s="10" t="s">
        <v>672</v>
      </c>
      <c r="P420" s="1"/>
      <c r="Q420" s="11" t="b">
        <f>O420=P420</f>
        <v>0</v>
      </c>
      <c r="R420" s="30">
        <v>30041096</v>
      </c>
      <c r="S420" s="1"/>
      <c r="T420" s="11" t="b">
        <f>R420=S420</f>
        <v>0</v>
      </c>
      <c r="U420" s="10" t="s">
        <v>16</v>
      </c>
      <c r="V420" s="1"/>
      <c r="W420" s="11" t="b">
        <f>U420=V420</f>
        <v>0</v>
      </c>
      <c r="X420" s="13" t="s">
        <v>15</v>
      </c>
      <c r="Y420" s="1"/>
      <c r="Z420" s="1"/>
      <c r="AA420" s="59">
        <v>22002830</v>
      </c>
      <c r="AB420" s="10" t="s">
        <v>1409</v>
      </c>
      <c r="AD420" s="11" t="b">
        <f>AB420=AC420</f>
        <v>0</v>
      </c>
      <c r="AE420" s="10" t="s">
        <v>765</v>
      </c>
      <c r="AF420" s="1"/>
      <c r="AG420" s="11" t="b">
        <f>AE420=AF420</f>
        <v>0</v>
      </c>
      <c r="AH420" s="1">
        <v>14</v>
      </c>
      <c r="AI420" s="1">
        <v>8.59</v>
      </c>
      <c r="AJ420" s="16">
        <f>AI420*220/30*30.4375</f>
        <v>1917.3595833333334</v>
      </c>
      <c r="AK420" s="18">
        <v>1917.36</v>
      </c>
      <c r="AL420" s="71" t="s">
        <v>672</v>
      </c>
      <c r="AM420" s="19" t="b">
        <f>AL420=O420</f>
        <v>1</v>
      </c>
      <c r="AN420" s="7">
        <f>VLOOKUP(A420,'base ZITRHR129'!$G$1:$H$628,2,0)</f>
        <v>30041096</v>
      </c>
      <c r="AO420" s="7" t="b">
        <f>AN420=R420</f>
        <v>1</v>
      </c>
      <c r="AP420" s="7">
        <f>VLOOKUP(A420,'base ZITRHR129'!G212:W838,17,0)</f>
        <v>1917.36</v>
      </c>
      <c r="AQ420" s="7" t="b">
        <f>AP420=AK420</f>
        <v>1</v>
      </c>
      <c r="AR420" s="78"/>
    </row>
    <row r="421" spans="1:44" s="7" customFormat="1" x14ac:dyDescent="0.25">
      <c r="A421" s="7">
        <v>10059215</v>
      </c>
      <c r="B421" s="8" t="s">
        <v>444</v>
      </c>
      <c r="C421" s="8" t="s">
        <v>700</v>
      </c>
      <c r="D421" s="8" t="s">
        <v>717</v>
      </c>
      <c r="E421" s="8" t="s">
        <v>732</v>
      </c>
      <c r="F421" s="8" t="s">
        <v>1407</v>
      </c>
      <c r="G421" s="8" t="s">
        <v>761</v>
      </c>
      <c r="H421" s="9">
        <v>15</v>
      </c>
      <c r="I421" s="8" t="s">
        <v>666</v>
      </c>
      <c r="J421" s="8" t="s">
        <v>1192</v>
      </c>
      <c r="K421" s="8" t="s">
        <v>16</v>
      </c>
      <c r="L421" s="8" t="s">
        <v>17</v>
      </c>
      <c r="M421" s="10" t="s">
        <v>700</v>
      </c>
      <c r="N421" s="10" t="s">
        <v>717</v>
      </c>
      <c r="O421" s="10" t="s">
        <v>666</v>
      </c>
      <c r="P421" s="1"/>
      <c r="Q421" s="11" t="b">
        <f>O421=P421</f>
        <v>0</v>
      </c>
      <c r="R421" s="30">
        <v>30041343</v>
      </c>
      <c r="S421" s="1"/>
      <c r="T421" s="11" t="b">
        <f>R421=S421</f>
        <v>0</v>
      </c>
      <c r="U421" s="10" t="s">
        <v>16</v>
      </c>
      <c r="V421" s="1"/>
      <c r="W421" s="11" t="b">
        <f>U421=V421</f>
        <v>0</v>
      </c>
      <c r="X421" s="13" t="s">
        <v>15</v>
      </c>
      <c r="Y421" s="1"/>
      <c r="Z421" s="1"/>
      <c r="AA421" s="61">
        <v>22003423</v>
      </c>
      <c r="AB421" s="10" t="s">
        <v>1410</v>
      </c>
      <c r="AD421" s="11" t="b">
        <f>AB421=AC421</f>
        <v>0</v>
      </c>
      <c r="AE421" s="10" t="s">
        <v>761</v>
      </c>
      <c r="AF421" s="1"/>
      <c r="AG421" s="11" t="b">
        <f>AE421=AF421</f>
        <v>0</v>
      </c>
      <c r="AH421" s="1">
        <v>15</v>
      </c>
      <c r="AI421" s="1">
        <v>11.71</v>
      </c>
      <c r="AJ421" s="16">
        <f>AI421*180/30*30.4375</f>
        <v>2138.5387500000002</v>
      </c>
      <c r="AK421" s="18">
        <v>2138.54</v>
      </c>
      <c r="AL421" s="71" t="s">
        <v>666</v>
      </c>
      <c r="AM421" s="19" t="b">
        <f>AL421=O421</f>
        <v>1</v>
      </c>
      <c r="AN421" s="7">
        <f>VLOOKUP(A421,'base ZITRHR129'!$G$1:$H$628,2,0)</f>
        <v>30041343</v>
      </c>
      <c r="AO421" s="7" t="b">
        <f>AN421=R421</f>
        <v>1</v>
      </c>
      <c r="AP421" s="7">
        <f>VLOOKUP(A421,'base ZITRHR129'!G211:W837,17,0)</f>
        <v>2138.54</v>
      </c>
      <c r="AQ421" s="7" t="b">
        <f>AP421=AK421</f>
        <v>1</v>
      </c>
      <c r="AR421" s="78"/>
    </row>
    <row r="422" spans="1:44" s="7" customFormat="1" x14ac:dyDescent="0.25">
      <c r="A422" s="7">
        <v>10059697</v>
      </c>
      <c r="B422" s="8" t="s">
        <v>445</v>
      </c>
      <c r="C422" s="8" t="s">
        <v>687</v>
      </c>
      <c r="D422" s="8" t="s">
        <v>717</v>
      </c>
      <c r="E422" s="8" t="s">
        <v>737</v>
      </c>
      <c r="F422" s="8" t="s">
        <v>1406</v>
      </c>
      <c r="G422" s="8" t="s">
        <v>765</v>
      </c>
      <c r="H422" s="9">
        <v>14</v>
      </c>
      <c r="I422" s="8" t="s">
        <v>660</v>
      </c>
      <c r="J422" s="8" t="s">
        <v>1193</v>
      </c>
      <c r="K422" s="8" t="s">
        <v>16</v>
      </c>
      <c r="L422" s="8" t="s">
        <v>17</v>
      </c>
      <c r="M422" s="10" t="s">
        <v>687</v>
      </c>
      <c r="N422" s="10" t="s">
        <v>717</v>
      </c>
      <c r="O422" s="10" t="s">
        <v>660</v>
      </c>
      <c r="P422" s="1"/>
      <c r="Q422" s="11" t="b">
        <f>O422=P422</f>
        <v>0</v>
      </c>
      <c r="R422" s="30">
        <v>30041098</v>
      </c>
      <c r="S422" s="1"/>
      <c r="T422" s="11" t="b">
        <f>R422=S422</f>
        <v>0</v>
      </c>
      <c r="U422" s="10" t="s">
        <v>16</v>
      </c>
      <c r="V422" s="1"/>
      <c r="W422" s="11" t="b">
        <f>U422=V422</f>
        <v>0</v>
      </c>
      <c r="X422" s="13" t="s">
        <v>15</v>
      </c>
      <c r="Y422" s="1"/>
      <c r="Z422" s="1"/>
      <c r="AA422" s="10">
        <v>22002830</v>
      </c>
      <c r="AB422" s="10" t="s">
        <v>1409</v>
      </c>
      <c r="AD422" s="11" t="b">
        <f>AB422=AC422</f>
        <v>0</v>
      </c>
      <c r="AE422" s="10" t="s">
        <v>765</v>
      </c>
      <c r="AF422" s="1"/>
      <c r="AG422" s="11" t="b">
        <f>AE422=AF422</f>
        <v>0</v>
      </c>
      <c r="AH422" s="1">
        <v>14</v>
      </c>
      <c r="AI422" s="1">
        <v>8.59</v>
      </c>
      <c r="AJ422" s="16">
        <f>AI422*220/30*30.4375</f>
        <v>1917.3595833333334</v>
      </c>
      <c r="AK422" s="18">
        <v>1917.36</v>
      </c>
      <c r="AL422" s="71" t="s">
        <v>660</v>
      </c>
      <c r="AM422" s="19" t="b">
        <f>AL422=O422</f>
        <v>1</v>
      </c>
      <c r="AN422" s="7">
        <f>VLOOKUP(A422,'base ZITRHR129'!$G$1:$H$628,2,0)</f>
        <v>30041098</v>
      </c>
      <c r="AO422" s="7" t="b">
        <f>AN422=R422</f>
        <v>1</v>
      </c>
      <c r="AP422" s="7">
        <f>VLOOKUP(A422,'base ZITRHR129'!G210:W836,17,0)</f>
        <v>1917.36</v>
      </c>
      <c r="AQ422" s="7" t="b">
        <f>AP422=AK422</f>
        <v>1</v>
      </c>
      <c r="AR422" s="78"/>
    </row>
    <row r="423" spans="1:44" s="7" customFormat="1" x14ac:dyDescent="0.25">
      <c r="A423" s="7">
        <v>10060043</v>
      </c>
      <c r="B423" s="8" t="s">
        <v>446</v>
      </c>
      <c r="C423" s="8" t="s">
        <v>683</v>
      </c>
      <c r="D423" s="8" t="s">
        <v>717</v>
      </c>
      <c r="E423" s="8" t="s">
        <v>722</v>
      </c>
      <c r="F423" s="8" t="s">
        <v>1406</v>
      </c>
      <c r="G423" s="8" t="s">
        <v>753</v>
      </c>
      <c r="H423" s="9">
        <v>19</v>
      </c>
      <c r="I423" s="8" t="s">
        <v>656</v>
      </c>
      <c r="J423" s="8" t="s">
        <v>1194</v>
      </c>
      <c r="K423" s="8" t="s">
        <v>6</v>
      </c>
      <c r="L423" s="8" t="s">
        <v>17</v>
      </c>
      <c r="M423" s="10" t="s">
        <v>683</v>
      </c>
      <c r="N423" s="10" t="s">
        <v>717</v>
      </c>
      <c r="O423" s="10" t="s">
        <v>656</v>
      </c>
      <c r="P423" s="1"/>
      <c r="Q423" s="11" t="b">
        <f>O423=P423</f>
        <v>0</v>
      </c>
      <c r="R423" s="30">
        <v>30041099</v>
      </c>
      <c r="S423" s="1"/>
      <c r="T423" s="11" t="b">
        <f>R423=S423</f>
        <v>0</v>
      </c>
      <c r="U423" s="10" t="s">
        <v>6</v>
      </c>
      <c r="V423" s="1"/>
      <c r="W423" s="11" t="b">
        <f>U423=V423</f>
        <v>0</v>
      </c>
      <c r="X423" s="13" t="s">
        <v>15</v>
      </c>
      <c r="Y423" s="1"/>
      <c r="Z423" s="1"/>
      <c r="AA423" s="10">
        <v>22002695</v>
      </c>
      <c r="AB423" s="10" t="s">
        <v>1409</v>
      </c>
      <c r="AD423" s="11" t="b">
        <f>AB423=AC423</f>
        <v>0</v>
      </c>
      <c r="AE423" s="10" t="s">
        <v>753</v>
      </c>
      <c r="AF423" s="1"/>
      <c r="AG423" s="11" t="b">
        <f>AE423=AF423</f>
        <v>0</v>
      </c>
      <c r="AH423" s="1">
        <v>19</v>
      </c>
      <c r="AI423" s="1">
        <v>17.170000000000002</v>
      </c>
      <c r="AJ423" s="16">
        <f>AI423*220/30*30.4375</f>
        <v>3832.4870833333339</v>
      </c>
      <c r="AK423" s="18">
        <v>3832.49</v>
      </c>
      <c r="AL423" s="71" t="s">
        <v>656</v>
      </c>
      <c r="AM423" s="19" t="b">
        <f>AL423=O423</f>
        <v>1</v>
      </c>
      <c r="AN423" s="7">
        <f>VLOOKUP(A423,'base ZITRHR129'!$G$1:$H$628,2,0)</f>
        <v>30041099</v>
      </c>
      <c r="AO423" s="7" t="b">
        <f>AN423=R423</f>
        <v>1</v>
      </c>
      <c r="AP423" s="7">
        <f>VLOOKUP(A423,'base ZITRHR129'!G209:W835,17,0)</f>
        <v>3832.49</v>
      </c>
      <c r="AQ423" s="7" t="b">
        <f>AP423=AK423</f>
        <v>1</v>
      </c>
      <c r="AR423" s="78"/>
    </row>
    <row r="424" spans="1:44" s="7" customFormat="1" x14ac:dyDescent="0.25">
      <c r="A424" s="7">
        <v>10061186</v>
      </c>
      <c r="B424" s="8" t="s">
        <v>447</v>
      </c>
      <c r="C424" s="8" t="s">
        <v>686</v>
      </c>
      <c r="D424" s="8" t="s">
        <v>717</v>
      </c>
      <c r="E424" s="8" t="s">
        <v>739</v>
      </c>
      <c r="F424" s="8" t="s">
        <v>1406</v>
      </c>
      <c r="G424" s="8" t="s">
        <v>766</v>
      </c>
      <c r="H424" s="9">
        <v>14</v>
      </c>
      <c r="I424" s="8" t="s">
        <v>659</v>
      </c>
      <c r="J424" s="8" t="s">
        <v>1195</v>
      </c>
      <c r="K424" s="8" t="s">
        <v>6</v>
      </c>
      <c r="L424" s="8" t="s">
        <v>17</v>
      </c>
      <c r="M424" s="10" t="s">
        <v>686</v>
      </c>
      <c r="N424" s="10" t="s">
        <v>717</v>
      </c>
      <c r="O424" s="10" t="s">
        <v>659</v>
      </c>
      <c r="P424" s="1"/>
      <c r="Q424" s="11" t="b">
        <f>O424=P424</f>
        <v>0</v>
      </c>
      <c r="R424" s="30">
        <v>30041100</v>
      </c>
      <c r="S424" s="1"/>
      <c r="T424" s="11" t="b">
        <f>R424=S424</f>
        <v>0</v>
      </c>
      <c r="U424" s="10" t="s">
        <v>6</v>
      </c>
      <c r="V424" s="1"/>
      <c r="W424" s="11" t="b">
        <f>U424=V424</f>
        <v>0</v>
      </c>
      <c r="X424" s="13" t="s">
        <v>15</v>
      </c>
      <c r="Y424" s="1"/>
      <c r="Z424" s="1"/>
      <c r="AA424" s="10">
        <v>22001415</v>
      </c>
      <c r="AB424" s="10" t="s">
        <v>1409</v>
      </c>
      <c r="AD424" s="11" t="b">
        <f>AB424=AC424</f>
        <v>0</v>
      </c>
      <c r="AE424" s="10" t="s">
        <v>766</v>
      </c>
      <c r="AF424" s="1"/>
      <c r="AG424" s="11" t="b">
        <f>AE424=AF424</f>
        <v>0</v>
      </c>
      <c r="AH424" s="1">
        <v>14</v>
      </c>
      <c r="AI424" s="1">
        <v>8.26</v>
      </c>
      <c r="AJ424" s="16">
        <f>AI424*220/30*30.4375</f>
        <v>1843.7008333333335</v>
      </c>
      <c r="AK424" s="18">
        <v>1843.7</v>
      </c>
      <c r="AL424" s="71" t="s">
        <v>659</v>
      </c>
      <c r="AM424" s="19" t="b">
        <f>AL424=O424</f>
        <v>1</v>
      </c>
      <c r="AN424" s="7">
        <f>VLOOKUP(A424,'base ZITRHR129'!$G$1:$H$628,2,0)</f>
        <v>30041100</v>
      </c>
      <c r="AO424" s="7" t="b">
        <f>AN424=R424</f>
        <v>1</v>
      </c>
      <c r="AP424" s="7">
        <f>VLOOKUP(A424,'base ZITRHR129'!G208:W834,17,0)</f>
        <v>1843.7</v>
      </c>
      <c r="AQ424" s="7" t="b">
        <f>AP424=AK424</f>
        <v>1</v>
      </c>
      <c r="AR424" s="78"/>
    </row>
    <row r="425" spans="1:44" s="7" customFormat="1" x14ac:dyDescent="0.25">
      <c r="A425" s="7">
        <v>10061331</v>
      </c>
      <c r="B425" s="8" t="s">
        <v>448</v>
      </c>
      <c r="C425" s="8" t="s">
        <v>689</v>
      </c>
      <c r="D425" s="8" t="s">
        <v>717</v>
      </c>
      <c r="E425" s="8" t="s">
        <v>730</v>
      </c>
      <c r="F425" s="8" t="s">
        <v>1406</v>
      </c>
      <c r="G425" s="8" t="s">
        <v>759</v>
      </c>
      <c r="H425" s="9">
        <v>17</v>
      </c>
      <c r="I425" s="8" t="s">
        <v>662</v>
      </c>
      <c r="J425" s="8" t="s">
        <v>1196</v>
      </c>
      <c r="K425" s="8" t="s">
        <v>16</v>
      </c>
      <c r="L425" s="8" t="s">
        <v>17</v>
      </c>
      <c r="M425" s="10" t="s">
        <v>689</v>
      </c>
      <c r="N425" s="10" t="s">
        <v>717</v>
      </c>
      <c r="O425" s="10" t="s">
        <v>662</v>
      </c>
      <c r="P425" s="1"/>
      <c r="Q425" s="11" t="b">
        <f>O425=P425</f>
        <v>0</v>
      </c>
      <c r="R425" s="30">
        <v>30041101</v>
      </c>
      <c r="S425" s="1"/>
      <c r="T425" s="11" t="b">
        <f>R425=S425</f>
        <v>0</v>
      </c>
      <c r="U425" s="10" t="s">
        <v>16</v>
      </c>
      <c r="V425" s="1"/>
      <c r="W425" s="11" t="b">
        <f>U425=V425</f>
        <v>0</v>
      </c>
      <c r="X425" s="13" t="s">
        <v>15</v>
      </c>
      <c r="Y425" s="1"/>
      <c r="Z425" s="1"/>
      <c r="AA425" s="10">
        <v>22002605</v>
      </c>
      <c r="AB425" s="10" t="s">
        <v>1409</v>
      </c>
      <c r="AD425" s="11" t="b">
        <f>AB425=AC425</f>
        <v>0</v>
      </c>
      <c r="AE425" s="10" t="s">
        <v>759</v>
      </c>
      <c r="AF425" s="1"/>
      <c r="AG425" s="11" t="b">
        <f>AE425=AF425</f>
        <v>0</v>
      </c>
      <c r="AH425" s="1">
        <v>17</v>
      </c>
      <c r="AI425" s="1">
        <v>11.4</v>
      </c>
      <c r="AJ425" s="16">
        <f>AI425*220/30*30.4375</f>
        <v>2544.5749999999998</v>
      </c>
      <c r="AK425" s="18">
        <v>2544.58</v>
      </c>
      <c r="AL425" s="71" t="s">
        <v>662</v>
      </c>
      <c r="AM425" s="19" t="b">
        <f>AL425=O425</f>
        <v>1</v>
      </c>
      <c r="AN425" s="7">
        <f>VLOOKUP(A425,'base ZITRHR129'!$G$1:$H$628,2,0)</f>
        <v>30041101</v>
      </c>
      <c r="AO425" s="7" t="b">
        <f>AN425=R425</f>
        <v>1</v>
      </c>
      <c r="AP425" s="7">
        <f>VLOOKUP(A425,'base ZITRHR129'!G207:W833,17,0)</f>
        <v>2544.58</v>
      </c>
      <c r="AQ425" s="7" t="b">
        <f>AP425=AK425</f>
        <v>1</v>
      </c>
      <c r="AR425" s="78"/>
    </row>
    <row r="426" spans="1:44" s="7" customFormat="1" x14ac:dyDescent="0.25">
      <c r="A426" s="7">
        <v>10061538</v>
      </c>
      <c r="B426" s="8" t="s">
        <v>449</v>
      </c>
      <c r="C426" s="8" t="s">
        <v>690</v>
      </c>
      <c r="D426" s="8" t="s">
        <v>717</v>
      </c>
      <c r="E426" s="8" t="s">
        <v>726</v>
      </c>
      <c r="F426" s="8" t="s">
        <v>1406</v>
      </c>
      <c r="G426" s="8" t="s">
        <v>755</v>
      </c>
      <c r="H426" s="9">
        <v>15</v>
      </c>
      <c r="I426" s="8" t="s">
        <v>663</v>
      </c>
      <c r="J426" s="8" t="s">
        <v>1197</v>
      </c>
      <c r="K426" s="8" t="s">
        <v>16</v>
      </c>
      <c r="L426" s="8" t="s">
        <v>17</v>
      </c>
      <c r="M426" s="10" t="s">
        <v>690</v>
      </c>
      <c r="N426" s="10" t="s">
        <v>717</v>
      </c>
      <c r="O426" s="10" t="s">
        <v>663</v>
      </c>
      <c r="P426" s="1"/>
      <c r="Q426" s="11" t="b">
        <f>O426=P426</f>
        <v>0</v>
      </c>
      <c r="R426" s="30">
        <v>30041102</v>
      </c>
      <c r="S426" s="1"/>
      <c r="T426" s="11" t="b">
        <f>R426=S426</f>
        <v>0</v>
      </c>
      <c r="U426" s="10" t="s">
        <v>16</v>
      </c>
      <c r="V426" s="1"/>
      <c r="W426" s="11" t="b">
        <f>U426=V426</f>
        <v>0</v>
      </c>
      <c r="X426" s="13" t="s">
        <v>15</v>
      </c>
      <c r="Y426" s="1"/>
      <c r="Z426" s="1"/>
      <c r="AA426" s="59">
        <v>22002617</v>
      </c>
      <c r="AB426" s="10" t="s">
        <v>1409</v>
      </c>
      <c r="AD426" s="11" t="b">
        <f>AB426=AC426</f>
        <v>0</v>
      </c>
      <c r="AE426" s="10" t="s">
        <v>755</v>
      </c>
      <c r="AF426" s="1"/>
      <c r="AG426" s="11" t="b">
        <f>AE426=AF426</f>
        <v>0</v>
      </c>
      <c r="AH426" s="1">
        <v>15</v>
      </c>
      <c r="AI426" s="1">
        <v>11.02</v>
      </c>
      <c r="AJ426" s="16">
        <f>AI426*220/30*30.4375</f>
        <v>2459.7558333333332</v>
      </c>
      <c r="AK426" s="18">
        <v>2459.7600000000002</v>
      </c>
      <c r="AL426" s="71" t="s">
        <v>663</v>
      </c>
      <c r="AM426" s="19" t="b">
        <f>AL426=O426</f>
        <v>1</v>
      </c>
      <c r="AN426" s="7">
        <f>VLOOKUP(A426,'base ZITRHR129'!$G$1:$H$628,2,0)</f>
        <v>30041102</v>
      </c>
      <c r="AO426" s="7" t="b">
        <f>AN426=R426</f>
        <v>1</v>
      </c>
      <c r="AP426" s="7">
        <f>VLOOKUP(A426,'base ZITRHR129'!G206:W832,17,0)</f>
        <v>2459.7600000000002</v>
      </c>
      <c r="AQ426" s="7" t="b">
        <f>AP426=AK426</f>
        <v>1</v>
      </c>
      <c r="AR426" s="78"/>
    </row>
    <row r="427" spans="1:44" s="7" customFormat="1" x14ac:dyDescent="0.25">
      <c r="A427" s="7">
        <v>10061540</v>
      </c>
      <c r="B427" s="8" t="s">
        <v>450</v>
      </c>
      <c r="C427" s="8" t="s">
        <v>701</v>
      </c>
      <c r="D427" s="8" t="s">
        <v>717</v>
      </c>
      <c r="E427" s="8" t="s">
        <v>742</v>
      </c>
      <c r="F427" s="8" t="s">
        <v>1406</v>
      </c>
      <c r="G427" s="8" t="s">
        <v>769</v>
      </c>
      <c r="H427" s="9">
        <v>15</v>
      </c>
      <c r="I427" s="8" t="s">
        <v>668</v>
      </c>
      <c r="J427" s="8" t="s">
        <v>1198</v>
      </c>
      <c r="K427" s="8" t="s">
        <v>16</v>
      </c>
      <c r="L427" s="8" t="s">
        <v>17</v>
      </c>
      <c r="M427" s="10" t="s">
        <v>701</v>
      </c>
      <c r="N427" s="10" t="s">
        <v>717</v>
      </c>
      <c r="O427" s="10" t="s">
        <v>668</v>
      </c>
      <c r="P427" s="1"/>
      <c r="Q427" s="11" t="b">
        <f>O427=P427</f>
        <v>0</v>
      </c>
      <c r="R427" s="30">
        <v>30041103</v>
      </c>
      <c r="S427" s="1"/>
      <c r="T427" s="11" t="b">
        <f>R427=S427</f>
        <v>0</v>
      </c>
      <c r="U427" s="10" t="s">
        <v>16</v>
      </c>
      <c r="V427" s="1"/>
      <c r="W427" s="11" t="b">
        <f>U427=V427</f>
        <v>0</v>
      </c>
      <c r="X427" s="13" t="s">
        <v>15</v>
      </c>
      <c r="Y427" s="1"/>
      <c r="Z427" s="1"/>
      <c r="AA427" s="60">
        <v>22001389</v>
      </c>
      <c r="AB427" s="10" t="s">
        <v>1409</v>
      </c>
      <c r="AD427" s="11" t="b">
        <f>AB427=AC427</f>
        <v>0</v>
      </c>
      <c r="AE427" s="10" t="s">
        <v>769</v>
      </c>
      <c r="AF427" s="1"/>
      <c r="AG427" s="11" t="b">
        <f>AE427=AF427</f>
        <v>0</v>
      </c>
      <c r="AH427" s="1">
        <v>15</v>
      </c>
      <c r="AI427" s="1">
        <v>8.59</v>
      </c>
      <c r="AJ427" s="16">
        <f>AI427*220/30*30.4375</f>
        <v>1917.3595833333334</v>
      </c>
      <c r="AK427" s="18">
        <v>1917.36</v>
      </c>
      <c r="AL427" s="71" t="s">
        <v>668</v>
      </c>
      <c r="AM427" s="19" t="b">
        <f>AL427=O427</f>
        <v>1</v>
      </c>
      <c r="AN427" s="7">
        <f>VLOOKUP(A427,'base ZITRHR129'!$G$1:$H$628,2,0)</f>
        <v>30041103</v>
      </c>
      <c r="AO427" s="7" t="b">
        <f>AN427=R427</f>
        <v>1</v>
      </c>
      <c r="AP427" s="7">
        <f>VLOOKUP(A427,'base ZITRHR129'!G205:W831,17,0)</f>
        <v>1917.36</v>
      </c>
      <c r="AQ427" s="7" t="b">
        <f>AP427=AK427</f>
        <v>1</v>
      </c>
      <c r="AR427" s="78"/>
    </row>
    <row r="428" spans="1:44" s="7" customFormat="1" x14ac:dyDescent="0.25">
      <c r="A428" s="7">
        <v>10061541</v>
      </c>
      <c r="B428" s="8" t="s">
        <v>451</v>
      </c>
      <c r="C428" s="8" t="s">
        <v>701</v>
      </c>
      <c r="D428" s="8" t="s">
        <v>717</v>
      </c>
      <c r="E428" s="8" t="s">
        <v>742</v>
      </c>
      <c r="F428" s="8" t="s">
        <v>1406</v>
      </c>
      <c r="G428" s="8" t="s">
        <v>769</v>
      </c>
      <c r="H428" s="9">
        <v>15</v>
      </c>
      <c r="I428" s="8" t="s">
        <v>668</v>
      </c>
      <c r="J428" s="8" t="s">
        <v>1199</v>
      </c>
      <c r="K428" s="8" t="s">
        <v>16</v>
      </c>
      <c r="L428" s="8" t="s">
        <v>17</v>
      </c>
      <c r="M428" s="10" t="s">
        <v>701</v>
      </c>
      <c r="N428" s="10" t="s">
        <v>717</v>
      </c>
      <c r="O428" s="10" t="s">
        <v>668</v>
      </c>
      <c r="P428" s="1"/>
      <c r="Q428" s="11" t="b">
        <f>O428=P428</f>
        <v>0</v>
      </c>
      <c r="R428" s="30">
        <v>30041104</v>
      </c>
      <c r="S428" s="1"/>
      <c r="T428" s="11" t="b">
        <f>R428=S428</f>
        <v>0</v>
      </c>
      <c r="U428" s="10" t="s">
        <v>16</v>
      </c>
      <c r="V428" s="1"/>
      <c r="W428" s="11" t="b">
        <f>U428=V428</f>
        <v>0</v>
      </c>
      <c r="X428" s="13" t="s">
        <v>15</v>
      </c>
      <c r="Y428" s="1"/>
      <c r="Z428" s="1"/>
      <c r="AA428" s="60">
        <v>22001389</v>
      </c>
      <c r="AB428" s="10" t="s">
        <v>1409</v>
      </c>
      <c r="AD428" s="11" t="b">
        <f>AB428=AC428</f>
        <v>0</v>
      </c>
      <c r="AE428" s="10" t="s">
        <v>769</v>
      </c>
      <c r="AF428" s="1"/>
      <c r="AG428" s="11" t="b">
        <f>AE428=AF428</f>
        <v>0</v>
      </c>
      <c r="AH428" s="1">
        <v>15</v>
      </c>
      <c r="AI428" s="1">
        <v>8.59</v>
      </c>
      <c r="AJ428" s="16">
        <f>AI428*220/30*30.4375</f>
        <v>1917.3595833333334</v>
      </c>
      <c r="AK428" s="18">
        <v>1917.36</v>
      </c>
      <c r="AL428" s="71" t="s">
        <v>668</v>
      </c>
      <c r="AM428" s="19" t="b">
        <f>AL428=O428</f>
        <v>1</v>
      </c>
      <c r="AN428" s="7">
        <f>VLOOKUP(A428,'base ZITRHR129'!$G$1:$H$628,2,0)</f>
        <v>30041104</v>
      </c>
      <c r="AO428" s="7" t="b">
        <f>AN428=R428</f>
        <v>1</v>
      </c>
      <c r="AP428" s="7">
        <f>VLOOKUP(A428,'base ZITRHR129'!G204:W830,17,0)</f>
        <v>1917.36</v>
      </c>
      <c r="AQ428" s="7" t="b">
        <f>AP428=AK428</f>
        <v>1</v>
      </c>
      <c r="AR428" s="78"/>
    </row>
    <row r="429" spans="1:44" s="7" customFormat="1" x14ac:dyDescent="0.25">
      <c r="A429" s="7">
        <v>10061689</v>
      </c>
      <c r="B429" s="8" t="s">
        <v>452</v>
      </c>
      <c r="C429" s="8" t="s">
        <v>686</v>
      </c>
      <c r="D429" s="8" t="s">
        <v>717</v>
      </c>
      <c r="E429" s="8" t="s">
        <v>723</v>
      </c>
      <c r="F429" s="8" t="s">
        <v>1406</v>
      </c>
      <c r="G429" s="8" t="s">
        <v>19</v>
      </c>
      <c r="H429" s="9">
        <v>16</v>
      </c>
      <c r="I429" s="8" t="s">
        <v>659</v>
      </c>
      <c r="J429" s="8" t="s">
        <v>1200</v>
      </c>
      <c r="K429" s="8" t="s">
        <v>6</v>
      </c>
      <c r="L429" s="8" t="s">
        <v>17</v>
      </c>
      <c r="M429" s="10" t="s">
        <v>686</v>
      </c>
      <c r="N429" s="10" t="s">
        <v>717</v>
      </c>
      <c r="O429" s="10" t="s">
        <v>659</v>
      </c>
      <c r="P429" s="1"/>
      <c r="Q429" s="11" t="b">
        <f>O429=P429</f>
        <v>0</v>
      </c>
      <c r="R429" s="30">
        <v>30041105</v>
      </c>
      <c r="S429" s="1"/>
      <c r="T429" s="11" t="b">
        <f>R429=S429</f>
        <v>0</v>
      </c>
      <c r="U429" s="10" t="s">
        <v>6</v>
      </c>
      <c r="V429" s="1"/>
      <c r="W429" s="11" t="b">
        <f>U429=V429</f>
        <v>0</v>
      </c>
      <c r="X429" s="13" t="s">
        <v>15</v>
      </c>
      <c r="Y429" s="1"/>
      <c r="Z429" s="1"/>
      <c r="AA429" s="10">
        <v>22002460</v>
      </c>
      <c r="AB429" s="10" t="s">
        <v>1409</v>
      </c>
      <c r="AD429" s="11" t="b">
        <f>AB429=AC429</f>
        <v>0</v>
      </c>
      <c r="AE429" s="10" t="s">
        <v>19</v>
      </c>
      <c r="AF429" s="1"/>
      <c r="AG429" s="11" t="b">
        <f>AE429=AF429</f>
        <v>0</v>
      </c>
      <c r="AH429" s="1">
        <v>16</v>
      </c>
      <c r="AI429" s="1">
        <v>10.26</v>
      </c>
      <c r="AJ429" s="16">
        <f>AI429*220/30*30.4375</f>
        <v>2290.1174999999998</v>
      </c>
      <c r="AK429" s="18">
        <v>2290.12</v>
      </c>
      <c r="AL429" s="71" t="s">
        <v>659</v>
      </c>
      <c r="AM429" s="19" t="b">
        <f>AL429=O429</f>
        <v>1</v>
      </c>
      <c r="AN429" s="7">
        <f>VLOOKUP(A429,'base ZITRHR129'!$G$1:$H$628,2,0)</f>
        <v>30041105</v>
      </c>
      <c r="AO429" s="7" t="b">
        <f>AN429=R429</f>
        <v>1</v>
      </c>
      <c r="AP429" s="7">
        <f>VLOOKUP(A429,'base ZITRHR129'!G203:W829,17,0)</f>
        <v>2290.12</v>
      </c>
      <c r="AQ429" s="7" t="b">
        <f>AP429=AK429</f>
        <v>1</v>
      </c>
      <c r="AR429" s="78"/>
    </row>
    <row r="430" spans="1:44" s="7" customFormat="1" x14ac:dyDescent="0.25">
      <c r="A430" s="7">
        <v>10061711</v>
      </c>
      <c r="B430" s="8" t="s">
        <v>453</v>
      </c>
      <c r="C430" s="8" t="s">
        <v>706</v>
      </c>
      <c r="D430" s="8" t="s">
        <v>717</v>
      </c>
      <c r="E430" s="8" t="s">
        <v>737</v>
      </c>
      <c r="F430" s="8" t="s">
        <v>1406</v>
      </c>
      <c r="G430" s="8" t="s">
        <v>765</v>
      </c>
      <c r="H430" s="9">
        <v>14</v>
      </c>
      <c r="I430" s="8" t="s">
        <v>660</v>
      </c>
      <c r="J430" s="8" t="s">
        <v>1201</v>
      </c>
      <c r="K430" s="8" t="s">
        <v>16</v>
      </c>
      <c r="L430" s="8" t="s">
        <v>17</v>
      </c>
      <c r="M430" s="10" t="s">
        <v>706</v>
      </c>
      <c r="N430" s="10" t="s">
        <v>717</v>
      </c>
      <c r="O430" s="10" t="s">
        <v>660</v>
      </c>
      <c r="P430" s="1"/>
      <c r="Q430" s="11" t="b">
        <f>O430=P430</f>
        <v>0</v>
      </c>
      <c r="R430" s="30">
        <v>30041106</v>
      </c>
      <c r="S430" s="1"/>
      <c r="T430" s="11" t="b">
        <f>R430=S430</f>
        <v>0</v>
      </c>
      <c r="U430" s="10" t="s">
        <v>16</v>
      </c>
      <c r="V430" s="1"/>
      <c r="W430" s="11" t="b">
        <f>U430=V430</f>
        <v>0</v>
      </c>
      <c r="X430" s="13" t="s">
        <v>15</v>
      </c>
      <c r="Y430" s="1"/>
      <c r="Z430" s="1"/>
      <c r="AA430" s="10">
        <v>22002830</v>
      </c>
      <c r="AB430" s="10" t="s">
        <v>1409</v>
      </c>
      <c r="AD430" s="11" t="b">
        <f>AB430=AC430</f>
        <v>0</v>
      </c>
      <c r="AE430" s="10" t="s">
        <v>765</v>
      </c>
      <c r="AF430" s="1"/>
      <c r="AG430" s="11" t="b">
        <f>AE430=AF430</f>
        <v>0</v>
      </c>
      <c r="AH430" s="1">
        <v>14</v>
      </c>
      <c r="AI430" s="1">
        <v>8.59</v>
      </c>
      <c r="AJ430" s="16">
        <f>AI430*220/30*30.4375</f>
        <v>1917.3595833333334</v>
      </c>
      <c r="AK430" s="18">
        <v>1917.36</v>
      </c>
      <c r="AL430" s="71" t="s">
        <v>660</v>
      </c>
      <c r="AM430" s="19" t="b">
        <f>AL430=O430</f>
        <v>1</v>
      </c>
      <c r="AN430" s="7">
        <f>VLOOKUP(A430,'base ZITRHR129'!$G$1:$H$628,2,0)</f>
        <v>30041106</v>
      </c>
      <c r="AO430" s="7" t="b">
        <f>AN430=R430</f>
        <v>1</v>
      </c>
      <c r="AP430" s="7">
        <f>VLOOKUP(A430,'base ZITRHR129'!G202:W828,17,0)</f>
        <v>1917.36</v>
      </c>
      <c r="AQ430" s="7" t="b">
        <f>AP430=AK430</f>
        <v>1</v>
      </c>
      <c r="AR430" s="78"/>
    </row>
    <row r="431" spans="1:44" s="7" customFormat="1" x14ac:dyDescent="0.25">
      <c r="A431" s="7">
        <v>10061717</v>
      </c>
      <c r="B431" s="8" t="s">
        <v>454</v>
      </c>
      <c r="C431" s="8" t="s">
        <v>695</v>
      </c>
      <c r="D431" s="8" t="s">
        <v>717</v>
      </c>
      <c r="E431" s="8" t="s">
        <v>728</v>
      </c>
      <c r="F431" s="8" t="s">
        <v>1406</v>
      </c>
      <c r="G431" s="8" t="s">
        <v>757</v>
      </c>
      <c r="H431" s="9">
        <v>13</v>
      </c>
      <c r="I431" s="8" t="s">
        <v>660</v>
      </c>
      <c r="J431" s="8" t="s">
        <v>1202</v>
      </c>
      <c r="K431" s="8" t="s">
        <v>16</v>
      </c>
      <c r="L431" s="8" t="s">
        <v>17</v>
      </c>
      <c r="M431" s="10" t="s">
        <v>695</v>
      </c>
      <c r="N431" s="10" t="s">
        <v>717</v>
      </c>
      <c r="O431" s="10" t="s">
        <v>660</v>
      </c>
      <c r="P431" s="1"/>
      <c r="Q431" s="11" t="b">
        <f>O431=P431</f>
        <v>0</v>
      </c>
      <c r="R431" s="30">
        <v>30041107</v>
      </c>
      <c r="S431" s="1"/>
      <c r="T431" s="11" t="b">
        <f>R431=S431</f>
        <v>0</v>
      </c>
      <c r="U431" s="10" t="s">
        <v>16</v>
      </c>
      <c r="V431" s="1"/>
      <c r="W431" s="11" t="b">
        <f>U431=V431</f>
        <v>0</v>
      </c>
      <c r="X431" s="13" t="s">
        <v>15</v>
      </c>
      <c r="Y431" s="1"/>
      <c r="Z431" s="1"/>
      <c r="AA431" s="60">
        <v>22000878</v>
      </c>
      <c r="AB431" s="10" t="s">
        <v>1409</v>
      </c>
      <c r="AD431" s="11" t="b">
        <f>AB431=AC431</f>
        <v>0</v>
      </c>
      <c r="AE431" s="10" t="s">
        <v>757</v>
      </c>
      <c r="AF431" s="1"/>
      <c r="AG431" s="11" t="b">
        <f>AE431=AF431</f>
        <v>0</v>
      </c>
      <c r="AH431" s="1">
        <v>13</v>
      </c>
      <c r="AI431" s="1">
        <v>7.37</v>
      </c>
      <c r="AJ431" s="16">
        <f>AI431*220/30*30.4375</f>
        <v>1645.0454166666666</v>
      </c>
      <c r="AK431" s="18">
        <v>1645.05</v>
      </c>
      <c r="AL431" s="71" t="s">
        <v>660</v>
      </c>
      <c r="AM431" s="19" t="b">
        <f>AL431=O431</f>
        <v>1</v>
      </c>
      <c r="AN431" s="7">
        <f>VLOOKUP(A431,'base ZITRHR129'!$G$1:$H$628,2,0)</f>
        <v>30041107</v>
      </c>
      <c r="AO431" s="7" t="b">
        <f>AN431=R431</f>
        <v>1</v>
      </c>
      <c r="AP431" s="7">
        <f>VLOOKUP(A431,'base ZITRHR129'!G201:W827,17,0)</f>
        <v>1645.05</v>
      </c>
      <c r="AQ431" s="7" t="b">
        <f>AP431=AK431</f>
        <v>1</v>
      </c>
      <c r="AR431" s="78"/>
    </row>
    <row r="432" spans="1:44" s="7" customFormat="1" x14ac:dyDescent="0.25">
      <c r="A432" s="7">
        <v>10061766</v>
      </c>
      <c r="B432" s="8" t="s">
        <v>455</v>
      </c>
      <c r="C432" s="8" t="s">
        <v>706</v>
      </c>
      <c r="D432" s="8" t="s">
        <v>717</v>
      </c>
      <c r="E432" s="8" t="s">
        <v>737</v>
      </c>
      <c r="F432" s="8" t="s">
        <v>1406</v>
      </c>
      <c r="G432" s="8" t="s">
        <v>765</v>
      </c>
      <c r="H432" s="9">
        <v>14</v>
      </c>
      <c r="I432" s="8" t="s">
        <v>660</v>
      </c>
      <c r="J432" s="8" t="s">
        <v>1203</v>
      </c>
      <c r="K432" s="8" t="s">
        <v>16</v>
      </c>
      <c r="L432" s="8" t="s">
        <v>17</v>
      </c>
      <c r="M432" s="10" t="s">
        <v>706</v>
      </c>
      <c r="N432" s="10" t="s">
        <v>717</v>
      </c>
      <c r="O432" s="10" t="s">
        <v>660</v>
      </c>
      <c r="P432" s="1"/>
      <c r="Q432" s="11" t="b">
        <f>O432=P432</f>
        <v>0</v>
      </c>
      <c r="R432" s="30">
        <v>30041108</v>
      </c>
      <c r="S432" s="1"/>
      <c r="T432" s="11" t="b">
        <f>R432=S432</f>
        <v>0</v>
      </c>
      <c r="U432" s="10" t="s">
        <v>16</v>
      </c>
      <c r="V432" s="1"/>
      <c r="W432" s="11" t="b">
        <f>U432=V432</f>
        <v>0</v>
      </c>
      <c r="X432" s="13" t="s">
        <v>15</v>
      </c>
      <c r="Y432" s="1"/>
      <c r="Z432" s="1"/>
      <c r="AA432" s="10">
        <v>22002830</v>
      </c>
      <c r="AB432" s="10" t="s">
        <v>1409</v>
      </c>
      <c r="AD432" s="11" t="b">
        <f>AB432=AC432</f>
        <v>0</v>
      </c>
      <c r="AE432" s="10" t="s">
        <v>765</v>
      </c>
      <c r="AF432" s="1"/>
      <c r="AG432" s="11" t="b">
        <f>AE432=AF432</f>
        <v>0</v>
      </c>
      <c r="AH432" s="1">
        <v>14</v>
      </c>
      <c r="AI432" s="1">
        <v>8.59</v>
      </c>
      <c r="AJ432" s="16">
        <f>AI432*220/30*30.4375</f>
        <v>1917.3595833333334</v>
      </c>
      <c r="AK432" s="18">
        <v>1917.36</v>
      </c>
      <c r="AL432" s="71" t="s">
        <v>660</v>
      </c>
      <c r="AM432" s="19" t="b">
        <f>AL432=O432</f>
        <v>1</v>
      </c>
      <c r="AN432" s="7">
        <f>VLOOKUP(A432,'base ZITRHR129'!$G$1:$H$628,2,0)</f>
        <v>30041108</v>
      </c>
      <c r="AO432" s="7" t="b">
        <f>AN432=R432</f>
        <v>1</v>
      </c>
      <c r="AP432" s="7">
        <f>VLOOKUP(A432,'base ZITRHR129'!G200:W826,17,0)</f>
        <v>1917.36</v>
      </c>
      <c r="AQ432" s="7" t="b">
        <f>AP432=AK432</f>
        <v>1</v>
      </c>
      <c r="AR432" s="78"/>
    </row>
    <row r="433" spans="1:44" s="7" customFormat="1" x14ac:dyDescent="0.25">
      <c r="A433" s="7">
        <v>10061768</v>
      </c>
      <c r="B433" s="8" t="s">
        <v>456</v>
      </c>
      <c r="C433" s="8" t="s">
        <v>706</v>
      </c>
      <c r="D433" s="8" t="s">
        <v>717</v>
      </c>
      <c r="E433" s="8" t="s">
        <v>737</v>
      </c>
      <c r="F433" s="8" t="s">
        <v>1406</v>
      </c>
      <c r="G433" s="8" t="s">
        <v>765</v>
      </c>
      <c r="H433" s="9">
        <v>14</v>
      </c>
      <c r="I433" s="8" t="s">
        <v>660</v>
      </c>
      <c r="J433" s="8" t="s">
        <v>1204</v>
      </c>
      <c r="K433" s="8" t="s">
        <v>16</v>
      </c>
      <c r="L433" s="8" t="s">
        <v>17</v>
      </c>
      <c r="M433" s="10" t="s">
        <v>706</v>
      </c>
      <c r="N433" s="10" t="s">
        <v>717</v>
      </c>
      <c r="O433" s="10" t="s">
        <v>660</v>
      </c>
      <c r="P433" s="1"/>
      <c r="Q433" s="11" t="b">
        <f>O433=P433</f>
        <v>0</v>
      </c>
      <c r="R433" s="30">
        <v>30041109</v>
      </c>
      <c r="S433" s="1"/>
      <c r="T433" s="11" t="b">
        <f>R433=S433</f>
        <v>0</v>
      </c>
      <c r="U433" s="10" t="s">
        <v>16</v>
      </c>
      <c r="V433" s="1"/>
      <c r="W433" s="11" t="b">
        <f>U433=V433</f>
        <v>0</v>
      </c>
      <c r="X433" s="13" t="s">
        <v>15</v>
      </c>
      <c r="Y433" s="1"/>
      <c r="Z433" s="1"/>
      <c r="AA433" s="63">
        <v>22002830</v>
      </c>
      <c r="AB433" s="10" t="s">
        <v>1409</v>
      </c>
      <c r="AD433" s="11" t="b">
        <f>AB433=AC433</f>
        <v>0</v>
      </c>
      <c r="AE433" s="10" t="s">
        <v>765</v>
      </c>
      <c r="AF433" s="1"/>
      <c r="AG433" s="11" t="b">
        <f>AE433=AF433</f>
        <v>0</v>
      </c>
      <c r="AH433" s="1">
        <v>14</v>
      </c>
      <c r="AI433" s="1">
        <v>8.59</v>
      </c>
      <c r="AJ433" s="16">
        <f>AI433*220/30*30.4375</f>
        <v>1917.3595833333334</v>
      </c>
      <c r="AK433" s="18">
        <v>1917.36</v>
      </c>
      <c r="AL433" s="71" t="s">
        <v>660</v>
      </c>
      <c r="AM433" s="19" t="b">
        <f>AL433=O433</f>
        <v>1</v>
      </c>
      <c r="AN433" s="7">
        <f>VLOOKUP(A433,'base ZITRHR129'!$G$1:$H$628,2,0)</f>
        <v>30041109</v>
      </c>
      <c r="AO433" s="7" t="b">
        <f>AN433=R433</f>
        <v>1</v>
      </c>
      <c r="AP433" s="7">
        <f>VLOOKUP(A433,'base ZITRHR129'!G199:W825,17,0)</f>
        <v>1917.36</v>
      </c>
      <c r="AQ433" s="7" t="b">
        <f>AP433=AK433</f>
        <v>1</v>
      </c>
      <c r="AR433" s="78"/>
    </row>
    <row r="434" spans="1:44" s="7" customFormat="1" x14ac:dyDescent="0.25">
      <c r="A434" s="7">
        <v>10061793</v>
      </c>
      <c r="B434" s="8" t="s">
        <v>457</v>
      </c>
      <c r="C434" s="8" t="s">
        <v>695</v>
      </c>
      <c r="D434" s="8" t="s">
        <v>717</v>
      </c>
      <c r="E434" s="8" t="s">
        <v>724</v>
      </c>
      <c r="F434" s="8" t="s">
        <v>1406</v>
      </c>
      <c r="G434" s="8" t="s">
        <v>21</v>
      </c>
      <c r="H434" s="9">
        <v>16</v>
      </c>
      <c r="I434" s="8" t="s">
        <v>660</v>
      </c>
      <c r="J434" s="8" t="s">
        <v>1205</v>
      </c>
      <c r="K434" s="8" t="s">
        <v>16</v>
      </c>
      <c r="L434" s="8" t="s">
        <v>17</v>
      </c>
      <c r="M434" s="10" t="s">
        <v>695</v>
      </c>
      <c r="N434" s="10" t="s">
        <v>717</v>
      </c>
      <c r="O434" s="10" t="s">
        <v>660</v>
      </c>
      <c r="P434" s="1"/>
      <c r="Q434" s="11" t="b">
        <f>O434=P434</f>
        <v>0</v>
      </c>
      <c r="R434" s="30">
        <v>30041110</v>
      </c>
      <c r="S434" s="1"/>
      <c r="T434" s="11" t="b">
        <f>R434=S434</f>
        <v>0</v>
      </c>
      <c r="U434" s="10" t="s">
        <v>16</v>
      </c>
      <c r="V434" s="1"/>
      <c r="W434" s="11" t="b">
        <f>U434=V434</f>
        <v>0</v>
      </c>
      <c r="X434" s="13" t="s">
        <v>15</v>
      </c>
      <c r="Y434" s="1"/>
      <c r="Z434" s="1"/>
      <c r="AA434" s="63">
        <v>22002616</v>
      </c>
      <c r="AB434" s="10" t="s">
        <v>1409</v>
      </c>
      <c r="AD434" s="11" t="b">
        <f>AB434=AC434</f>
        <v>0</v>
      </c>
      <c r="AE434" s="10" t="s">
        <v>21</v>
      </c>
      <c r="AF434" s="1"/>
      <c r="AG434" s="11" t="b">
        <f>AE434=AF434</f>
        <v>0</v>
      </c>
      <c r="AH434" s="1">
        <v>16</v>
      </c>
      <c r="AI434" s="1">
        <v>10.31</v>
      </c>
      <c r="AJ434" s="16">
        <f>AI434*220/30*30.4375</f>
        <v>2301.2779166666669</v>
      </c>
      <c r="AK434" s="18">
        <v>2301.2800000000002</v>
      </c>
      <c r="AL434" s="71" t="s">
        <v>660</v>
      </c>
      <c r="AM434" s="19" t="b">
        <f>AL434=O434</f>
        <v>1</v>
      </c>
      <c r="AN434" s="7">
        <f>VLOOKUP(A434,'base ZITRHR129'!$G$1:$H$628,2,0)</f>
        <v>30041110</v>
      </c>
      <c r="AO434" s="7" t="b">
        <f>AN434=R434</f>
        <v>1</v>
      </c>
      <c r="AP434" s="7">
        <f>VLOOKUP(A434,'base ZITRHR129'!G198:W824,17,0)</f>
        <v>2301.2800000000002</v>
      </c>
      <c r="AQ434" s="7" t="b">
        <f>AP434=AK434</f>
        <v>1</v>
      </c>
      <c r="AR434" s="78"/>
    </row>
    <row r="435" spans="1:44" s="7" customFormat="1" x14ac:dyDescent="0.25">
      <c r="A435" s="7">
        <v>10071295</v>
      </c>
      <c r="B435" s="8" t="s">
        <v>458</v>
      </c>
      <c r="C435" s="8" t="s">
        <v>708</v>
      </c>
      <c r="D435" s="8" t="s">
        <v>717</v>
      </c>
      <c r="E435" s="8" t="s">
        <v>737</v>
      </c>
      <c r="F435" s="8" t="s">
        <v>1406</v>
      </c>
      <c r="G435" s="8" t="s">
        <v>765</v>
      </c>
      <c r="H435" s="9">
        <v>14</v>
      </c>
      <c r="I435" s="8" t="s">
        <v>672</v>
      </c>
      <c r="J435" s="8" t="s">
        <v>1206</v>
      </c>
      <c r="K435" s="8" t="s">
        <v>16</v>
      </c>
      <c r="L435" s="8" t="s">
        <v>17</v>
      </c>
      <c r="M435" s="10" t="s">
        <v>708</v>
      </c>
      <c r="N435" s="10" t="s">
        <v>717</v>
      </c>
      <c r="O435" s="10" t="s">
        <v>672</v>
      </c>
      <c r="P435" s="1"/>
      <c r="Q435" s="11" t="b">
        <f>O435=P435</f>
        <v>0</v>
      </c>
      <c r="R435" s="30">
        <v>30041111</v>
      </c>
      <c r="S435" s="1"/>
      <c r="T435" s="11" t="b">
        <f>R435=S435</f>
        <v>0</v>
      </c>
      <c r="U435" s="10" t="s">
        <v>16</v>
      </c>
      <c r="V435" s="1"/>
      <c r="W435" s="11" t="b">
        <f>U435=V435</f>
        <v>0</v>
      </c>
      <c r="X435" s="13" t="s">
        <v>15</v>
      </c>
      <c r="Y435" s="1"/>
      <c r="Z435" s="1"/>
      <c r="AA435" s="10">
        <v>22002830</v>
      </c>
      <c r="AB435" s="10" t="s">
        <v>1409</v>
      </c>
      <c r="AD435" s="11" t="b">
        <f>AB435=AC435</f>
        <v>0</v>
      </c>
      <c r="AE435" s="10" t="s">
        <v>765</v>
      </c>
      <c r="AF435" s="1"/>
      <c r="AG435" s="11" t="b">
        <f>AE435=AF435</f>
        <v>0</v>
      </c>
      <c r="AH435" s="1">
        <v>14</v>
      </c>
      <c r="AI435" s="1">
        <v>8.59</v>
      </c>
      <c r="AJ435" s="16">
        <f>AI435*220/30*30.4375</f>
        <v>1917.3595833333334</v>
      </c>
      <c r="AK435" s="18">
        <v>1917.36</v>
      </c>
      <c r="AL435" s="71" t="s">
        <v>672</v>
      </c>
      <c r="AM435" s="19" t="b">
        <f>AL435=O435</f>
        <v>1</v>
      </c>
      <c r="AN435" s="7">
        <f>VLOOKUP(A435,'base ZITRHR129'!$G$1:$H$628,2,0)</f>
        <v>30041111</v>
      </c>
      <c r="AO435" s="7" t="b">
        <f>AN435=R435</f>
        <v>1</v>
      </c>
      <c r="AP435" s="7">
        <f>VLOOKUP(A435,'base ZITRHR129'!G197:W823,17,0)</f>
        <v>1917.36</v>
      </c>
      <c r="AQ435" s="7" t="b">
        <f>AP435=AK435</f>
        <v>1</v>
      </c>
      <c r="AR435" s="78"/>
    </row>
    <row r="436" spans="1:44" s="7" customFormat="1" x14ac:dyDescent="0.25">
      <c r="A436" s="7">
        <v>10071298</v>
      </c>
      <c r="B436" s="8" t="s">
        <v>459</v>
      </c>
      <c r="C436" s="8" t="s">
        <v>684</v>
      </c>
      <c r="D436" s="8" t="s">
        <v>717</v>
      </c>
      <c r="E436" s="8" t="s">
        <v>742</v>
      </c>
      <c r="F436" s="8" t="s">
        <v>1406</v>
      </c>
      <c r="G436" s="8" t="s">
        <v>769</v>
      </c>
      <c r="H436" s="9">
        <v>15</v>
      </c>
      <c r="I436" s="8" t="s">
        <v>657</v>
      </c>
      <c r="J436" s="8" t="s">
        <v>1207</v>
      </c>
      <c r="K436" s="8" t="s">
        <v>16</v>
      </c>
      <c r="L436" s="8" t="s">
        <v>17</v>
      </c>
      <c r="M436" s="10" t="s">
        <v>684</v>
      </c>
      <c r="N436" s="10" t="s">
        <v>717</v>
      </c>
      <c r="O436" s="10" t="s">
        <v>657</v>
      </c>
      <c r="P436" s="1"/>
      <c r="Q436" s="11" t="b">
        <f>O436=P436</f>
        <v>0</v>
      </c>
      <c r="R436" s="30">
        <v>30041112</v>
      </c>
      <c r="S436" s="1"/>
      <c r="T436" s="11" t="b">
        <f>R436=S436</f>
        <v>0</v>
      </c>
      <c r="U436" s="10" t="s">
        <v>16</v>
      </c>
      <c r="V436" s="1"/>
      <c r="W436" s="11" t="b">
        <f>U436=V436</f>
        <v>0</v>
      </c>
      <c r="X436" s="13" t="s">
        <v>15</v>
      </c>
      <c r="Y436" s="1"/>
      <c r="Z436" s="1"/>
      <c r="AA436" s="14">
        <v>22001389</v>
      </c>
      <c r="AB436" s="10" t="s">
        <v>1409</v>
      </c>
      <c r="AD436" s="11" t="b">
        <f>AB436=AC436</f>
        <v>0</v>
      </c>
      <c r="AE436" s="10" t="s">
        <v>769</v>
      </c>
      <c r="AF436" s="1"/>
      <c r="AG436" s="11" t="b">
        <f>AE436=AF436</f>
        <v>0</v>
      </c>
      <c r="AH436" s="1">
        <v>15</v>
      </c>
      <c r="AI436" s="1">
        <v>8.59</v>
      </c>
      <c r="AJ436" s="16">
        <f>AI436*220/30*30.4375</f>
        <v>1917.3595833333334</v>
      </c>
      <c r="AK436" s="18">
        <v>1917.36</v>
      </c>
      <c r="AL436" s="71" t="s">
        <v>657</v>
      </c>
      <c r="AM436" s="19" t="b">
        <f>AL436=O436</f>
        <v>1</v>
      </c>
      <c r="AN436" s="7">
        <f>VLOOKUP(A436,'base ZITRHR129'!$G$1:$H$628,2,0)</f>
        <v>30041112</v>
      </c>
      <c r="AO436" s="7" t="b">
        <f>AN436=R436</f>
        <v>1</v>
      </c>
      <c r="AP436" s="7">
        <f>VLOOKUP(A436,'base ZITRHR129'!G196:W822,17,0)</f>
        <v>1917.36</v>
      </c>
      <c r="AQ436" s="7" t="b">
        <f>AP436=AK436</f>
        <v>1</v>
      </c>
      <c r="AR436" s="78"/>
    </row>
    <row r="437" spans="1:44" s="7" customFormat="1" x14ac:dyDescent="0.25">
      <c r="A437" s="7">
        <v>10071301</v>
      </c>
      <c r="B437" s="8" t="s">
        <v>460</v>
      </c>
      <c r="C437" s="8" t="s">
        <v>686</v>
      </c>
      <c r="D437" s="8" t="s">
        <v>717</v>
      </c>
      <c r="E437" s="8" t="s">
        <v>723</v>
      </c>
      <c r="F437" s="8" t="s">
        <v>1406</v>
      </c>
      <c r="G437" s="8" t="s">
        <v>19</v>
      </c>
      <c r="H437" s="9">
        <v>16</v>
      </c>
      <c r="I437" s="8" t="s">
        <v>659</v>
      </c>
      <c r="J437" s="8" t="s">
        <v>1208</v>
      </c>
      <c r="K437" s="8" t="s">
        <v>6</v>
      </c>
      <c r="L437" s="8" t="s">
        <v>17</v>
      </c>
      <c r="M437" s="10" t="s">
        <v>686</v>
      </c>
      <c r="N437" s="10" t="s">
        <v>717</v>
      </c>
      <c r="O437" s="10" t="s">
        <v>659</v>
      </c>
      <c r="P437" s="1"/>
      <c r="Q437" s="11" t="b">
        <f>O437=P437</f>
        <v>0</v>
      </c>
      <c r="R437" s="30">
        <v>30041113</v>
      </c>
      <c r="S437" s="1"/>
      <c r="T437" s="11" t="b">
        <f>R437=S437</f>
        <v>0</v>
      </c>
      <c r="U437" s="10" t="s">
        <v>6</v>
      </c>
      <c r="V437" s="1"/>
      <c r="W437" s="11" t="b">
        <f>U437=V437</f>
        <v>0</v>
      </c>
      <c r="X437" s="13" t="s">
        <v>15</v>
      </c>
      <c r="Y437" s="1"/>
      <c r="Z437" s="1"/>
      <c r="AA437" s="63">
        <v>22002460</v>
      </c>
      <c r="AB437" s="10" t="s">
        <v>1409</v>
      </c>
      <c r="AD437" s="11" t="b">
        <f>AB437=AC437</f>
        <v>0</v>
      </c>
      <c r="AE437" s="10" t="s">
        <v>19</v>
      </c>
      <c r="AF437" s="1"/>
      <c r="AG437" s="11" t="b">
        <f>AE437=AF437</f>
        <v>0</v>
      </c>
      <c r="AH437" s="1">
        <v>16</v>
      </c>
      <c r="AI437" s="1">
        <v>10.26</v>
      </c>
      <c r="AJ437" s="16">
        <f>AI437*220/30*30.4375</f>
        <v>2290.1174999999998</v>
      </c>
      <c r="AK437" s="18">
        <v>2290.12</v>
      </c>
      <c r="AL437" s="71" t="s">
        <v>659</v>
      </c>
      <c r="AM437" s="19" t="b">
        <f>AL437=O437</f>
        <v>1</v>
      </c>
      <c r="AN437" s="7">
        <f>VLOOKUP(A437,'base ZITRHR129'!$G$1:$H$628,2,0)</f>
        <v>30041113</v>
      </c>
      <c r="AO437" s="7" t="b">
        <f>AN437=R437</f>
        <v>1</v>
      </c>
      <c r="AP437" s="7">
        <f>VLOOKUP(A437,'base ZITRHR129'!G195:W821,17,0)</f>
        <v>2290.12</v>
      </c>
      <c r="AQ437" s="7" t="b">
        <f>AP437=AK437</f>
        <v>1</v>
      </c>
      <c r="AR437" s="78"/>
    </row>
    <row r="438" spans="1:44" s="7" customFormat="1" x14ac:dyDescent="0.25">
      <c r="A438" s="7">
        <v>10071302</v>
      </c>
      <c r="B438" s="8" t="s">
        <v>461</v>
      </c>
      <c r="C438" s="8" t="s">
        <v>695</v>
      </c>
      <c r="D438" s="8" t="s">
        <v>717</v>
      </c>
      <c r="E438" s="8" t="s">
        <v>737</v>
      </c>
      <c r="F438" s="8" t="s">
        <v>1406</v>
      </c>
      <c r="G438" s="8" t="s">
        <v>765</v>
      </c>
      <c r="H438" s="9">
        <v>14</v>
      </c>
      <c r="I438" s="8" t="s">
        <v>660</v>
      </c>
      <c r="J438" s="8" t="s">
        <v>1209</v>
      </c>
      <c r="K438" s="8" t="s">
        <v>16</v>
      </c>
      <c r="L438" s="8" t="s">
        <v>17</v>
      </c>
      <c r="M438" s="10" t="s">
        <v>695</v>
      </c>
      <c r="N438" s="10" t="s">
        <v>717</v>
      </c>
      <c r="O438" s="10" t="s">
        <v>660</v>
      </c>
      <c r="P438" s="1"/>
      <c r="Q438" s="11" t="b">
        <f>O438=P438</f>
        <v>0</v>
      </c>
      <c r="R438" s="30">
        <v>30041114</v>
      </c>
      <c r="S438" s="1"/>
      <c r="T438" s="11" t="b">
        <f>R438=S438</f>
        <v>0</v>
      </c>
      <c r="U438" s="10" t="s">
        <v>16</v>
      </c>
      <c r="V438" s="1"/>
      <c r="W438" s="11" t="b">
        <f>U438=V438</f>
        <v>0</v>
      </c>
      <c r="X438" s="13" t="s">
        <v>15</v>
      </c>
      <c r="Y438" s="1"/>
      <c r="Z438" s="1"/>
      <c r="AA438" s="10">
        <v>22002830</v>
      </c>
      <c r="AB438" s="10" t="s">
        <v>1409</v>
      </c>
      <c r="AD438" s="11" t="b">
        <f>AB438=AC438</f>
        <v>0</v>
      </c>
      <c r="AE438" s="10" t="s">
        <v>765</v>
      </c>
      <c r="AF438" s="1"/>
      <c r="AG438" s="11" t="b">
        <f>AE438=AF438</f>
        <v>0</v>
      </c>
      <c r="AH438" s="1">
        <v>14</v>
      </c>
      <c r="AI438" s="1">
        <v>8.59</v>
      </c>
      <c r="AJ438" s="16">
        <f>AI438*220/30*30.4375</f>
        <v>1917.3595833333334</v>
      </c>
      <c r="AK438" s="18">
        <v>1917.36</v>
      </c>
      <c r="AL438" s="71" t="s">
        <v>660</v>
      </c>
      <c r="AM438" s="19" t="b">
        <f>AL438=O438</f>
        <v>1</v>
      </c>
      <c r="AN438" s="7">
        <f>VLOOKUP(A438,'base ZITRHR129'!$G$1:$H$628,2,0)</f>
        <v>30041114</v>
      </c>
      <c r="AO438" s="7" t="b">
        <f>AN438=R438</f>
        <v>1</v>
      </c>
      <c r="AP438" s="7">
        <f>VLOOKUP(A438,'base ZITRHR129'!G194:W820,17,0)</f>
        <v>1917.36</v>
      </c>
      <c r="AQ438" s="7" t="b">
        <f>AP438=AK438</f>
        <v>1</v>
      </c>
      <c r="AR438" s="78"/>
    </row>
    <row r="439" spans="1:44" s="7" customFormat="1" x14ac:dyDescent="0.25">
      <c r="A439" s="7">
        <v>10071305</v>
      </c>
      <c r="B439" s="8" t="s">
        <v>462</v>
      </c>
      <c r="C439" s="8" t="s">
        <v>695</v>
      </c>
      <c r="D439" s="8" t="s">
        <v>717</v>
      </c>
      <c r="E439" s="8" t="s">
        <v>737</v>
      </c>
      <c r="F439" s="8" t="s">
        <v>1406</v>
      </c>
      <c r="G439" s="8" t="s">
        <v>765</v>
      </c>
      <c r="H439" s="9">
        <v>14</v>
      </c>
      <c r="I439" s="8" t="s">
        <v>660</v>
      </c>
      <c r="J439" s="8" t="s">
        <v>1210</v>
      </c>
      <c r="K439" s="8" t="s">
        <v>16</v>
      </c>
      <c r="L439" s="8" t="s">
        <v>17</v>
      </c>
      <c r="M439" s="10" t="s">
        <v>695</v>
      </c>
      <c r="N439" s="10" t="s">
        <v>717</v>
      </c>
      <c r="O439" s="10" t="s">
        <v>660</v>
      </c>
      <c r="P439" s="1"/>
      <c r="Q439" s="11" t="b">
        <f>O439=P439</f>
        <v>0</v>
      </c>
      <c r="R439" s="30">
        <v>30041115</v>
      </c>
      <c r="S439" s="1"/>
      <c r="T439" s="11" t="b">
        <f>R439=S439</f>
        <v>0</v>
      </c>
      <c r="U439" s="10" t="s">
        <v>16</v>
      </c>
      <c r="V439" s="1"/>
      <c r="W439" s="11" t="b">
        <f>U439=V439</f>
        <v>0</v>
      </c>
      <c r="X439" s="13" t="s">
        <v>15</v>
      </c>
      <c r="Y439" s="1"/>
      <c r="Z439" s="1"/>
      <c r="AA439" s="10">
        <v>22002830</v>
      </c>
      <c r="AB439" s="10" t="s">
        <v>1409</v>
      </c>
      <c r="AD439" s="11" t="b">
        <f>AB439=AC439</f>
        <v>0</v>
      </c>
      <c r="AE439" s="10" t="s">
        <v>765</v>
      </c>
      <c r="AF439" s="1"/>
      <c r="AG439" s="11" t="b">
        <f>AE439=AF439</f>
        <v>0</v>
      </c>
      <c r="AH439" s="1">
        <v>14</v>
      </c>
      <c r="AI439" s="1">
        <v>8.59</v>
      </c>
      <c r="AJ439" s="16">
        <f>AI439*220/30*30.4375</f>
        <v>1917.3595833333334</v>
      </c>
      <c r="AK439" s="18">
        <v>1917.36</v>
      </c>
      <c r="AL439" s="71" t="s">
        <v>660</v>
      </c>
      <c r="AM439" s="19" t="b">
        <f>AL439=O439</f>
        <v>1</v>
      </c>
      <c r="AN439" s="7">
        <f>VLOOKUP(A439,'base ZITRHR129'!$G$1:$H$628,2,0)</f>
        <v>30041115</v>
      </c>
      <c r="AO439" s="7" t="b">
        <f>AN439=R439</f>
        <v>1</v>
      </c>
      <c r="AP439" s="7">
        <f>VLOOKUP(A439,'base ZITRHR129'!G193:W819,17,0)</f>
        <v>1917.36</v>
      </c>
      <c r="AQ439" s="7" t="b">
        <f>AP439=AK439</f>
        <v>1</v>
      </c>
      <c r="AR439" s="78"/>
    </row>
    <row r="440" spans="1:44" s="7" customFormat="1" x14ac:dyDescent="0.25">
      <c r="A440" s="7">
        <v>10071307</v>
      </c>
      <c r="B440" s="8" t="s">
        <v>463</v>
      </c>
      <c r="C440" s="8" t="s">
        <v>706</v>
      </c>
      <c r="D440" s="8" t="s">
        <v>717</v>
      </c>
      <c r="E440" s="8" t="s">
        <v>737</v>
      </c>
      <c r="F440" s="8" t="s">
        <v>1406</v>
      </c>
      <c r="G440" s="8" t="s">
        <v>765</v>
      </c>
      <c r="H440" s="9">
        <v>14</v>
      </c>
      <c r="I440" s="8" t="s">
        <v>660</v>
      </c>
      <c r="J440" s="8" t="s">
        <v>1211</v>
      </c>
      <c r="K440" s="8" t="s">
        <v>16</v>
      </c>
      <c r="L440" s="8" t="s">
        <v>17</v>
      </c>
      <c r="M440" s="10" t="s">
        <v>706</v>
      </c>
      <c r="N440" s="10" t="s">
        <v>717</v>
      </c>
      <c r="O440" s="10" t="s">
        <v>660</v>
      </c>
      <c r="P440" s="1"/>
      <c r="Q440" s="11" t="b">
        <f>O440=P440</f>
        <v>0</v>
      </c>
      <c r="R440" s="30">
        <v>30041116</v>
      </c>
      <c r="S440" s="1"/>
      <c r="T440" s="11" t="b">
        <f>R440=S440</f>
        <v>0</v>
      </c>
      <c r="U440" s="10" t="s">
        <v>16</v>
      </c>
      <c r="V440" s="1"/>
      <c r="W440" s="11" t="b">
        <f>U440=V440</f>
        <v>0</v>
      </c>
      <c r="X440" s="13" t="s">
        <v>15</v>
      </c>
      <c r="Y440" s="1"/>
      <c r="Z440" s="1"/>
      <c r="AA440" s="10">
        <v>22002830</v>
      </c>
      <c r="AB440" s="10" t="s">
        <v>1409</v>
      </c>
      <c r="AD440" s="11" t="b">
        <f>AB440=AC440</f>
        <v>0</v>
      </c>
      <c r="AE440" s="10" t="s">
        <v>765</v>
      </c>
      <c r="AF440" s="1"/>
      <c r="AG440" s="11" t="b">
        <f>AE440=AF440</f>
        <v>0</v>
      </c>
      <c r="AH440" s="1">
        <v>14</v>
      </c>
      <c r="AI440" s="1">
        <v>8.59</v>
      </c>
      <c r="AJ440" s="16">
        <f>AI440*220/30*30.4375</f>
        <v>1917.3595833333334</v>
      </c>
      <c r="AK440" s="18">
        <v>1917.36</v>
      </c>
      <c r="AL440" s="71" t="s">
        <v>660</v>
      </c>
      <c r="AM440" s="19" t="b">
        <f>AL440=O440</f>
        <v>1</v>
      </c>
      <c r="AN440" s="7">
        <f>VLOOKUP(A440,'base ZITRHR129'!$G$1:$H$628,2,0)</f>
        <v>30041116</v>
      </c>
      <c r="AO440" s="7" t="b">
        <f>AN440=R440</f>
        <v>1</v>
      </c>
      <c r="AP440" s="7">
        <f>VLOOKUP(A440,'base ZITRHR129'!G192:W818,17,0)</f>
        <v>1917.36</v>
      </c>
      <c r="AQ440" s="7" t="b">
        <f>AP440=AK440</f>
        <v>1</v>
      </c>
      <c r="AR440" s="78"/>
    </row>
    <row r="441" spans="1:44" s="7" customFormat="1" x14ac:dyDescent="0.25">
      <c r="A441" s="7">
        <v>10071310</v>
      </c>
      <c r="B441" s="8" t="s">
        <v>464</v>
      </c>
      <c r="C441" s="8" t="s">
        <v>690</v>
      </c>
      <c r="D441" s="8" t="s">
        <v>717</v>
      </c>
      <c r="E441" s="8" t="s">
        <v>726</v>
      </c>
      <c r="F441" s="8" t="s">
        <v>1406</v>
      </c>
      <c r="G441" s="8" t="s">
        <v>755</v>
      </c>
      <c r="H441" s="9">
        <v>15</v>
      </c>
      <c r="I441" s="8" t="s">
        <v>663</v>
      </c>
      <c r="J441" s="8" t="s">
        <v>1212</v>
      </c>
      <c r="K441" s="8" t="s">
        <v>16</v>
      </c>
      <c r="L441" s="8" t="s">
        <v>17</v>
      </c>
      <c r="M441" s="10" t="s">
        <v>690</v>
      </c>
      <c r="N441" s="10" t="s">
        <v>717</v>
      </c>
      <c r="O441" s="10" t="s">
        <v>663</v>
      </c>
      <c r="P441" s="1"/>
      <c r="Q441" s="11" t="b">
        <f>O441=P441</f>
        <v>0</v>
      </c>
      <c r="R441" s="30">
        <v>30041117</v>
      </c>
      <c r="S441" s="1"/>
      <c r="T441" s="11" t="b">
        <f>R441=S441</f>
        <v>0</v>
      </c>
      <c r="U441" s="10" t="s">
        <v>16</v>
      </c>
      <c r="V441" s="1"/>
      <c r="W441" s="11" t="b">
        <f>U441=V441</f>
        <v>0</v>
      </c>
      <c r="X441" s="13" t="s">
        <v>15</v>
      </c>
      <c r="Y441" s="1"/>
      <c r="Z441" s="1"/>
      <c r="AA441" s="10">
        <v>22002617</v>
      </c>
      <c r="AB441" s="10" t="s">
        <v>1409</v>
      </c>
      <c r="AD441" s="11" t="b">
        <f>AB441=AC441</f>
        <v>0</v>
      </c>
      <c r="AE441" s="10" t="s">
        <v>755</v>
      </c>
      <c r="AF441" s="1"/>
      <c r="AG441" s="11" t="b">
        <f>AE441=AF441</f>
        <v>0</v>
      </c>
      <c r="AH441" s="1">
        <v>15</v>
      </c>
      <c r="AI441" s="1">
        <v>9.4499999999999993</v>
      </c>
      <c r="AJ441" s="16">
        <f>AI441*220/30*30.4375</f>
        <v>2109.3187499999999</v>
      </c>
      <c r="AK441" s="18">
        <v>2109.3200000000002</v>
      </c>
      <c r="AL441" s="71" t="s">
        <v>663</v>
      </c>
      <c r="AM441" s="19" t="b">
        <f>AL441=O441</f>
        <v>1</v>
      </c>
      <c r="AN441" s="7">
        <f>VLOOKUP(A441,'base ZITRHR129'!$G$1:$H$628,2,0)</f>
        <v>30041117</v>
      </c>
      <c r="AO441" s="7" t="b">
        <f>AN441=R441</f>
        <v>1</v>
      </c>
      <c r="AP441" s="7">
        <f>VLOOKUP(A441,'base ZITRHR129'!G191:W817,17,0)</f>
        <v>2109.3200000000002</v>
      </c>
      <c r="AQ441" s="7" t="b">
        <f>AP441=AK441</f>
        <v>1</v>
      </c>
      <c r="AR441" s="78"/>
    </row>
    <row r="442" spans="1:44" s="7" customFormat="1" x14ac:dyDescent="0.25">
      <c r="A442" s="7">
        <v>10071311</v>
      </c>
      <c r="B442" s="8" t="s">
        <v>465</v>
      </c>
      <c r="C442" s="8" t="s">
        <v>686</v>
      </c>
      <c r="D442" s="8" t="s">
        <v>717</v>
      </c>
      <c r="E442" s="8" t="s">
        <v>739</v>
      </c>
      <c r="F442" s="8" t="s">
        <v>1406</v>
      </c>
      <c r="G442" s="8" t="s">
        <v>766</v>
      </c>
      <c r="H442" s="9">
        <v>14</v>
      </c>
      <c r="I442" s="8" t="s">
        <v>659</v>
      </c>
      <c r="J442" s="8" t="s">
        <v>1213</v>
      </c>
      <c r="K442" s="8" t="s">
        <v>6</v>
      </c>
      <c r="L442" s="8" t="s">
        <v>17</v>
      </c>
      <c r="M442" s="10" t="s">
        <v>686</v>
      </c>
      <c r="N442" s="10" t="s">
        <v>717</v>
      </c>
      <c r="O442" s="10" t="s">
        <v>659</v>
      </c>
      <c r="P442" s="1"/>
      <c r="Q442" s="11" t="b">
        <f>O442=P442</f>
        <v>0</v>
      </c>
      <c r="R442" s="30">
        <v>30041118</v>
      </c>
      <c r="S442" s="1"/>
      <c r="T442" s="11" t="b">
        <f>R442=S442</f>
        <v>0</v>
      </c>
      <c r="U442" s="10" t="s">
        <v>6</v>
      </c>
      <c r="V442" s="1"/>
      <c r="W442" s="11" t="b">
        <f>U442=V442</f>
        <v>0</v>
      </c>
      <c r="X442" s="13" t="s">
        <v>15</v>
      </c>
      <c r="Y442" s="1"/>
      <c r="Z442" s="1"/>
      <c r="AA442" s="63">
        <v>22001415</v>
      </c>
      <c r="AB442" s="10" t="s">
        <v>1409</v>
      </c>
      <c r="AD442" s="11" t="b">
        <f>AB442=AC442</f>
        <v>0</v>
      </c>
      <c r="AE442" s="10" t="s">
        <v>766</v>
      </c>
      <c r="AF442" s="1"/>
      <c r="AG442" s="11" t="b">
        <f>AE442=AF442</f>
        <v>0</v>
      </c>
      <c r="AH442" s="1">
        <v>14</v>
      </c>
      <c r="AI442" s="1">
        <v>8.26</v>
      </c>
      <c r="AJ442" s="16">
        <f>AI442*220/30*30.4375</f>
        <v>1843.7008333333335</v>
      </c>
      <c r="AK442" s="18">
        <v>1843.7</v>
      </c>
      <c r="AL442" s="71" t="s">
        <v>659</v>
      </c>
      <c r="AM442" s="19" t="b">
        <f>AL442=O442</f>
        <v>1</v>
      </c>
      <c r="AN442" s="7">
        <f>VLOOKUP(A442,'base ZITRHR129'!$G$1:$H$628,2,0)</f>
        <v>30041118</v>
      </c>
      <c r="AO442" s="7" t="b">
        <f>AN442=R442</f>
        <v>1</v>
      </c>
      <c r="AP442" s="7">
        <f>VLOOKUP(A442,'base ZITRHR129'!G190:W816,17,0)</f>
        <v>1843.7</v>
      </c>
      <c r="AQ442" s="7" t="b">
        <f>AP442=AK442</f>
        <v>1</v>
      </c>
      <c r="AR442" s="78"/>
    </row>
    <row r="443" spans="1:44" s="7" customFormat="1" x14ac:dyDescent="0.25">
      <c r="A443" s="7">
        <v>10071314</v>
      </c>
      <c r="B443" s="8" t="s">
        <v>466</v>
      </c>
      <c r="C443" s="8" t="s">
        <v>713</v>
      </c>
      <c r="D443" s="8" t="s">
        <v>717</v>
      </c>
      <c r="E443" s="8" t="s">
        <v>723</v>
      </c>
      <c r="F443" s="8" t="s">
        <v>1406</v>
      </c>
      <c r="G443" s="8" t="s">
        <v>19</v>
      </c>
      <c r="H443" s="9">
        <v>16</v>
      </c>
      <c r="I443" s="8" t="s">
        <v>659</v>
      </c>
      <c r="J443" s="8" t="s">
        <v>1214</v>
      </c>
      <c r="K443" s="8" t="s">
        <v>6</v>
      </c>
      <c r="L443" s="8" t="s">
        <v>17</v>
      </c>
      <c r="M443" s="10" t="s">
        <v>713</v>
      </c>
      <c r="N443" s="10" t="s">
        <v>717</v>
      </c>
      <c r="O443" s="10" t="s">
        <v>659</v>
      </c>
      <c r="P443" s="1"/>
      <c r="Q443" s="11" t="b">
        <f>O443=P443</f>
        <v>0</v>
      </c>
      <c r="R443" s="30">
        <v>30041119</v>
      </c>
      <c r="S443" s="1"/>
      <c r="T443" s="11" t="b">
        <f>R443=S443</f>
        <v>0</v>
      </c>
      <c r="U443" s="10" t="s">
        <v>6</v>
      </c>
      <c r="V443" s="1"/>
      <c r="W443" s="11" t="b">
        <f>U443=V443</f>
        <v>0</v>
      </c>
      <c r="X443" s="13" t="s">
        <v>15</v>
      </c>
      <c r="Y443" s="1"/>
      <c r="Z443" s="1"/>
      <c r="AA443" s="10">
        <v>22002460</v>
      </c>
      <c r="AB443" s="10" t="s">
        <v>1409</v>
      </c>
      <c r="AD443" s="11" t="b">
        <f>AB443=AC443</f>
        <v>0</v>
      </c>
      <c r="AE443" s="10" t="s">
        <v>19</v>
      </c>
      <c r="AF443" s="1"/>
      <c r="AG443" s="11" t="b">
        <f>AE443=AF443</f>
        <v>0</v>
      </c>
      <c r="AH443" s="1">
        <v>16</v>
      </c>
      <c r="AI443" s="1">
        <v>10.26</v>
      </c>
      <c r="AJ443" s="16">
        <f>AI443*220/30*30.4375</f>
        <v>2290.1174999999998</v>
      </c>
      <c r="AK443" s="18">
        <v>2290.12</v>
      </c>
      <c r="AL443" s="71" t="s">
        <v>659</v>
      </c>
      <c r="AM443" s="19" t="b">
        <f>AL443=O443</f>
        <v>1</v>
      </c>
      <c r="AN443" s="7">
        <f>VLOOKUP(A443,'base ZITRHR129'!$G$1:$H$628,2,0)</f>
        <v>30041119</v>
      </c>
      <c r="AO443" s="7" t="b">
        <f>AN443=R443</f>
        <v>1</v>
      </c>
      <c r="AP443" s="7">
        <f>VLOOKUP(A443,'base ZITRHR129'!G189:W815,17,0)</f>
        <v>2290.12</v>
      </c>
      <c r="AQ443" s="7" t="b">
        <f>AP443=AK443</f>
        <v>1</v>
      </c>
      <c r="AR443" s="78"/>
    </row>
    <row r="444" spans="1:44" s="7" customFormat="1" x14ac:dyDescent="0.25">
      <c r="A444" s="7">
        <v>10071443</v>
      </c>
      <c r="B444" s="8" t="s">
        <v>467</v>
      </c>
      <c r="C444" s="8" t="s">
        <v>686</v>
      </c>
      <c r="D444" s="8" t="s">
        <v>717</v>
      </c>
      <c r="E444" s="8" t="s">
        <v>739</v>
      </c>
      <c r="F444" s="8" t="s">
        <v>1406</v>
      </c>
      <c r="G444" s="8" t="s">
        <v>766</v>
      </c>
      <c r="H444" s="9">
        <v>14</v>
      </c>
      <c r="I444" s="8" t="s">
        <v>659</v>
      </c>
      <c r="J444" s="8" t="s">
        <v>1215</v>
      </c>
      <c r="K444" s="8" t="s">
        <v>6</v>
      </c>
      <c r="L444" s="8" t="s">
        <v>17</v>
      </c>
      <c r="M444" s="10" t="s">
        <v>686</v>
      </c>
      <c r="N444" s="10" t="s">
        <v>717</v>
      </c>
      <c r="O444" s="10" t="s">
        <v>659</v>
      </c>
      <c r="P444" s="1"/>
      <c r="Q444" s="11" t="b">
        <f>O444=P444</f>
        <v>0</v>
      </c>
      <c r="R444" s="30">
        <v>30041120</v>
      </c>
      <c r="S444" s="1"/>
      <c r="T444" s="11" t="b">
        <f>R444=S444</f>
        <v>0</v>
      </c>
      <c r="U444" s="10" t="s">
        <v>6</v>
      </c>
      <c r="V444" s="1"/>
      <c r="W444" s="11" t="b">
        <f>U444=V444</f>
        <v>0</v>
      </c>
      <c r="X444" s="13" t="s">
        <v>15</v>
      </c>
      <c r="Y444" s="1"/>
      <c r="Z444" s="1"/>
      <c r="AA444" s="10">
        <v>22001415</v>
      </c>
      <c r="AB444" s="10" t="s">
        <v>1409</v>
      </c>
      <c r="AD444" s="11" t="b">
        <f>AB444=AC444</f>
        <v>0</v>
      </c>
      <c r="AE444" s="10" t="s">
        <v>766</v>
      </c>
      <c r="AF444" s="1"/>
      <c r="AG444" s="11" t="b">
        <f>AE444=AF444</f>
        <v>0</v>
      </c>
      <c r="AH444" s="1">
        <v>14</v>
      </c>
      <c r="AI444" s="1">
        <v>8.26</v>
      </c>
      <c r="AJ444" s="16">
        <f>AI444*220/30*30.4375</f>
        <v>1843.7008333333335</v>
      </c>
      <c r="AK444" s="18">
        <v>1843.7</v>
      </c>
      <c r="AL444" s="71" t="s">
        <v>659</v>
      </c>
      <c r="AM444" s="19" t="b">
        <f>AL444=O444</f>
        <v>1</v>
      </c>
      <c r="AN444" s="7">
        <f>VLOOKUP(A444,'base ZITRHR129'!$G$1:$H$628,2,0)</f>
        <v>30041120</v>
      </c>
      <c r="AO444" s="7" t="b">
        <f>AN444=R444</f>
        <v>1</v>
      </c>
      <c r="AP444" s="7">
        <f>VLOOKUP(A444,'base ZITRHR129'!G188:W814,17,0)</f>
        <v>1843.7</v>
      </c>
      <c r="AQ444" s="7" t="b">
        <f>AP444=AK444</f>
        <v>1</v>
      </c>
      <c r="AR444" s="78"/>
    </row>
    <row r="445" spans="1:44" s="7" customFormat="1" x14ac:dyDescent="0.25">
      <c r="A445" s="7">
        <v>10071455</v>
      </c>
      <c r="B445" s="8" t="s">
        <v>468</v>
      </c>
      <c r="C445" s="8" t="s">
        <v>686</v>
      </c>
      <c r="D445" s="8" t="s">
        <v>717</v>
      </c>
      <c r="E445" s="8" t="s">
        <v>739</v>
      </c>
      <c r="F445" s="8" t="s">
        <v>1406</v>
      </c>
      <c r="G445" s="8" t="s">
        <v>766</v>
      </c>
      <c r="H445" s="9">
        <v>14</v>
      </c>
      <c r="I445" s="8" t="s">
        <v>659</v>
      </c>
      <c r="J445" s="8" t="s">
        <v>1216</v>
      </c>
      <c r="K445" s="8" t="s">
        <v>6</v>
      </c>
      <c r="L445" s="8" t="s">
        <v>17</v>
      </c>
      <c r="M445" s="10" t="s">
        <v>686</v>
      </c>
      <c r="N445" s="10" t="s">
        <v>717</v>
      </c>
      <c r="O445" s="10" t="s">
        <v>659</v>
      </c>
      <c r="P445" s="1"/>
      <c r="Q445" s="11" t="b">
        <f>O445=P445</f>
        <v>0</v>
      </c>
      <c r="R445" s="30">
        <v>30041121</v>
      </c>
      <c r="S445" s="1"/>
      <c r="T445" s="11" t="b">
        <f>R445=S445</f>
        <v>0</v>
      </c>
      <c r="U445" s="10" t="s">
        <v>6</v>
      </c>
      <c r="V445" s="1"/>
      <c r="W445" s="11" t="b">
        <f>U445=V445</f>
        <v>0</v>
      </c>
      <c r="X445" s="13" t="s">
        <v>15</v>
      </c>
      <c r="Y445" s="1"/>
      <c r="Z445" s="1"/>
      <c r="AA445" s="10">
        <v>22001415</v>
      </c>
      <c r="AB445" s="10" t="s">
        <v>1409</v>
      </c>
      <c r="AD445" s="11" t="b">
        <f>AB445=AC445</f>
        <v>0</v>
      </c>
      <c r="AE445" s="10" t="s">
        <v>766</v>
      </c>
      <c r="AF445" s="1"/>
      <c r="AG445" s="11" t="b">
        <f>AE445=AF445</f>
        <v>0</v>
      </c>
      <c r="AH445" s="1">
        <v>14</v>
      </c>
      <c r="AI445" s="1">
        <v>8.26</v>
      </c>
      <c r="AJ445" s="16">
        <f>AI445*220/30*30.4375</f>
        <v>1843.7008333333335</v>
      </c>
      <c r="AK445" s="18">
        <v>1843.7</v>
      </c>
      <c r="AL445" s="71" t="s">
        <v>659</v>
      </c>
      <c r="AM445" s="19" t="b">
        <f>AL445=O445</f>
        <v>1</v>
      </c>
      <c r="AN445" s="7">
        <f>VLOOKUP(A445,'base ZITRHR129'!$G$1:$H$628,2,0)</f>
        <v>30041121</v>
      </c>
      <c r="AO445" s="7" t="b">
        <f>AN445=R445</f>
        <v>1</v>
      </c>
      <c r="AP445" s="7">
        <f>VLOOKUP(A445,'base ZITRHR129'!G187:W813,17,0)</f>
        <v>1843.7</v>
      </c>
      <c r="AQ445" s="7" t="b">
        <f>AP445=AK445</f>
        <v>1</v>
      </c>
      <c r="AR445" s="78"/>
    </row>
    <row r="446" spans="1:44" s="7" customFormat="1" x14ac:dyDescent="0.25">
      <c r="A446" s="7">
        <v>10071471</v>
      </c>
      <c r="B446" s="8" t="s">
        <v>469</v>
      </c>
      <c r="C446" s="8" t="s">
        <v>713</v>
      </c>
      <c r="D446" s="8" t="s">
        <v>717</v>
      </c>
      <c r="E446" s="8" t="s">
        <v>739</v>
      </c>
      <c r="F446" s="8" t="s">
        <v>1406</v>
      </c>
      <c r="G446" s="8" t="s">
        <v>766</v>
      </c>
      <c r="H446" s="9">
        <v>14</v>
      </c>
      <c r="I446" s="8" t="s">
        <v>659</v>
      </c>
      <c r="J446" s="8" t="s">
        <v>1217</v>
      </c>
      <c r="K446" s="8" t="s">
        <v>6</v>
      </c>
      <c r="L446" s="8" t="s">
        <v>17</v>
      </c>
      <c r="M446" s="10" t="s">
        <v>713</v>
      </c>
      <c r="N446" s="10" t="s">
        <v>717</v>
      </c>
      <c r="O446" s="10" t="s">
        <v>659</v>
      </c>
      <c r="P446" s="1"/>
      <c r="Q446" s="11" t="b">
        <f>O446=P446</f>
        <v>0</v>
      </c>
      <c r="R446" s="30">
        <v>30041122</v>
      </c>
      <c r="S446" s="1"/>
      <c r="T446" s="11" t="b">
        <f>R446=S446</f>
        <v>0</v>
      </c>
      <c r="U446" s="10" t="s">
        <v>6</v>
      </c>
      <c r="V446" s="1"/>
      <c r="W446" s="11" t="b">
        <f>U446=V446</f>
        <v>0</v>
      </c>
      <c r="X446" s="13" t="s">
        <v>15</v>
      </c>
      <c r="Y446" s="1"/>
      <c r="Z446" s="1"/>
      <c r="AA446" s="10">
        <v>22001415</v>
      </c>
      <c r="AB446" s="10" t="s">
        <v>1409</v>
      </c>
      <c r="AD446" s="11" t="b">
        <f>AB446=AC446</f>
        <v>0</v>
      </c>
      <c r="AE446" s="10" t="s">
        <v>766</v>
      </c>
      <c r="AF446" s="1"/>
      <c r="AG446" s="11" t="b">
        <f>AE446=AF446</f>
        <v>0</v>
      </c>
      <c r="AH446" s="1">
        <v>14</v>
      </c>
      <c r="AI446" s="1">
        <v>8.26</v>
      </c>
      <c r="AJ446" s="16">
        <f>AI446*220/30*30.4375</f>
        <v>1843.7008333333335</v>
      </c>
      <c r="AK446" s="18">
        <v>1843.7</v>
      </c>
      <c r="AL446" s="71" t="s">
        <v>659</v>
      </c>
      <c r="AM446" s="19" t="b">
        <f>AL446=O446</f>
        <v>1</v>
      </c>
      <c r="AN446" s="7">
        <f>VLOOKUP(A446,'base ZITRHR129'!$G$1:$H$628,2,0)</f>
        <v>30041122</v>
      </c>
      <c r="AO446" s="7" t="b">
        <f>AN446=R446</f>
        <v>1</v>
      </c>
      <c r="AP446" s="7">
        <f>VLOOKUP(A446,'base ZITRHR129'!G186:W812,17,0)</f>
        <v>1843.7</v>
      </c>
      <c r="AQ446" s="7" t="b">
        <f>AP446=AK446</f>
        <v>1</v>
      </c>
      <c r="AR446" s="78"/>
    </row>
    <row r="447" spans="1:44" s="7" customFormat="1" x14ac:dyDescent="0.25">
      <c r="A447" s="7">
        <v>10071653</v>
      </c>
      <c r="B447" s="8" t="s">
        <v>470</v>
      </c>
      <c r="C447" s="8" t="s">
        <v>711</v>
      </c>
      <c r="D447" s="8" t="s">
        <v>717</v>
      </c>
      <c r="E447" s="8" t="s">
        <v>737</v>
      </c>
      <c r="F447" s="8" t="s">
        <v>1406</v>
      </c>
      <c r="G447" s="8" t="s">
        <v>765</v>
      </c>
      <c r="H447" s="9">
        <v>14</v>
      </c>
      <c r="I447" s="8" t="s">
        <v>675</v>
      </c>
      <c r="J447" s="8" t="s">
        <v>1218</v>
      </c>
      <c r="K447" s="8" t="s">
        <v>16</v>
      </c>
      <c r="L447" s="8" t="s">
        <v>17</v>
      </c>
      <c r="M447" s="10" t="s">
        <v>711</v>
      </c>
      <c r="N447" s="10" t="s">
        <v>717</v>
      </c>
      <c r="O447" s="10" t="s">
        <v>675</v>
      </c>
      <c r="P447" s="1"/>
      <c r="Q447" s="11" t="b">
        <f>O447=P447</f>
        <v>0</v>
      </c>
      <c r="R447" s="30">
        <v>30041123</v>
      </c>
      <c r="S447" s="1"/>
      <c r="T447" s="11" t="b">
        <f>R447=S447</f>
        <v>0</v>
      </c>
      <c r="U447" s="10" t="s">
        <v>16</v>
      </c>
      <c r="V447" s="1"/>
      <c r="W447" s="11" t="b">
        <f>U447=V447</f>
        <v>0</v>
      </c>
      <c r="X447" s="13" t="s">
        <v>15</v>
      </c>
      <c r="Y447" s="1"/>
      <c r="Z447" s="1"/>
      <c r="AA447" s="10">
        <v>22002830</v>
      </c>
      <c r="AB447" s="10" t="s">
        <v>1409</v>
      </c>
      <c r="AD447" s="11" t="b">
        <f>AB447=AC447</f>
        <v>0</v>
      </c>
      <c r="AE447" s="10" t="s">
        <v>765</v>
      </c>
      <c r="AF447" s="1"/>
      <c r="AG447" s="11" t="b">
        <f>AE447=AF447</f>
        <v>0</v>
      </c>
      <c r="AH447" s="1">
        <v>14</v>
      </c>
      <c r="AI447" s="1">
        <v>8.59</v>
      </c>
      <c r="AJ447" s="16">
        <f>AI447*220/30*30.4375</f>
        <v>1917.3595833333334</v>
      </c>
      <c r="AK447" s="18">
        <v>1917.36</v>
      </c>
      <c r="AL447" s="71" t="s">
        <v>675</v>
      </c>
      <c r="AM447" s="19" t="b">
        <f>AL447=O447</f>
        <v>1</v>
      </c>
      <c r="AN447" s="7">
        <f>VLOOKUP(A447,'base ZITRHR129'!$G$1:$H$628,2,0)</f>
        <v>30041123</v>
      </c>
      <c r="AO447" s="7" t="b">
        <f>AN447=R447</f>
        <v>1</v>
      </c>
      <c r="AP447" s="7">
        <f>VLOOKUP(A447,'base ZITRHR129'!G185:W811,17,0)</f>
        <v>1917.36</v>
      </c>
      <c r="AQ447" s="7" t="b">
        <f>AP447=AK447</f>
        <v>1</v>
      </c>
      <c r="AR447" s="78"/>
    </row>
    <row r="448" spans="1:44" s="7" customFormat="1" x14ac:dyDescent="0.25">
      <c r="A448" s="7">
        <v>10071661</v>
      </c>
      <c r="B448" s="8" t="s">
        <v>471</v>
      </c>
      <c r="C448" s="8" t="s">
        <v>686</v>
      </c>
      <c r="D448" s="8" t="s">
        <v>717</v>
      </c>
      <c r="E448" s="8" t="s">
        <v>739</v>
      </c>
      <c r="F448" s="8" t="s">
        <v>1406</v>
      </c>
      <c r="G448" s="8" t="s">
        <v>766</v>
      </c>
      <c r="H448" s="9">
        <v>14</v>
      </c>
      <c r="I448" s="8" t="s">
        <v>659</v>
      </c>
      <c r="J448" s="8" t="s">
        <v>1219</v>
      </c>
      <c r="K448" s="8" t="s">
        <v>6</v>
      </c>
      <c r="L448" s="8" t="s">
        <v>17</v>
      </c>
      <c r="M448" s="10" t="s">
        <v>686</v>
      </c>
      <c r="N448" s="10" t="s">
        <v>717</v>
      </c>
      <c r="O448" s="10" t="s">
        <v>659</v>
      </c>
      <c r="P448" s="1"/>
      <c r="Q448" s="11" t="b">
        <f>O448=P448</f>
        <v>0</v>
      </c>
      <c r="R448" s="30">
        <v>30041124</v>
      </c>
      <c r="S448" s="1"/>
      <c r="T448" s="11" t="b">
        <f>R448=S448</f>
        <v>0</v>
      </c>
      <c r="U448" s="10" t="s">
        <v>6</v>
      </c>
      <c r="V448" s="1"/>
      <c r="W448" s="11" t="b">
        <f>U448=V448</f>
        <v>0</v>
      </c>
      <c r="X448" s="13" t="s">
        <v>15</v>
      </c>
      <c r="Y448" s="1"/>
      <c r="Z448" s="1"/>
      <c r="AA448" s="10">
        <v>22001415</v>
      </c>
      <c r="AB448" s="10" t="s">
        <v>1409</v>
      </c>
      <c r="AD448" s="11" t="b">
        <f>AB448=AC448</f>
        <v>0</v>
      </c>
      <c r="AE448" s="10" t="s">
        <v>766</v>
      </c>
      <c r="AF448" s="1"/>
      <c r="AG448" s="11" t="b">
        <f>AE448=AF448</f>
        <v>0</v>
      </c>
      <c r="AH448" s="1">
        <v>14</v>
      </c>
      <c r="AI448" s="1">
        <v>8.26</v>
      </c>
      <c r="AJ448" s="16">
        <f>AI448*220/30*30.4375</f>
        <v>1843.7008333333335</v>
      </c>
      <c r="AK448" s="18">
        <v>1843.7</v>
      </c>
      <c r="AL448" s="71" t="s">
        <v>659</v>
      </c>
      <c r="AM448" s="19" t="b">
        <f>AL448=O448</f>
        <v>1</v>
      </c>
      <c r="AN448" s="7">
        <f>VLOOKUP(A448,'base ZITRHR129'!$G$1:$H$628,2,0)</f>
        <v>30041124</v>
      </c>
      <c r="AO448" s="7" t="b">
        <f>AN448=R448</f>
        <v>1</v>
      </c>
      <c r="AP448" s="7">
        <f>VLOOKUP(A448,'base ZITRHR129'!G184:W810,17,0)</f>
        <v>1843.7</v>
      </c>
      <c r="AQ448" s="7" t="b">
        <f>AP448=AK448</f>
        <v>1</v>
      </c>
      <c r="AR448" s="78"/>
    </row>
    <row r="449" spans="1:44" s="7" customFormat="1" ht="12" x14ac:dyDescent="0.2">
      <c r="A449" s="20">
        <v>10071971</v>
      </c>
      <c r="B449" s="21" t="s">
        <v>472</v>
      </c>
      <c r="C449" s="21" t="s">
        <v>700</v>
      </c>
      <c r="D449" s="21" t="s">
        <v>717</v>
      </c>
      <c r="E449" s="21" t="s">
        <v>746</v>
      </c>
      <c r="F449" s="21" t="s">
        <v>1407</v>
      </c>
      <c r="G449" s="21" t="s">
        <v>757</v>
      </c>
      <c r="H449" s="22">
        <v>13</v>
      </c>
      <c r="I449" s="21" t="s">
        <v>666</v>
      </c>
      <c r="J449" s="21" t="s">
        <v>1220</v>
      </c>
      <c r="K449" s="21" t="s">
        <v>16</v>
      </c>
      <c r="L449" s="21" t="s">
        <v>17</v>
      </c>
      <c r="M449" s="21" t="s">
        <v>700</v>
      </c>
      <c r="N449" s="21" t="s">
        <v>717</v>
      </c>
      <c r="O449" s="21" t="s">
        <v>666</v>
      </c>
      <c r="P449" s="23"/>
      <c r="Q449" s="24" t="b">
        <f>O449=P449</f>
        <v>0</v>
      </c>
      <c r="R449" s="31">
        <v>30041125</v>
      </c>
      <c r="S449" s="23"/>
      <c r="T449" s="24" t="b">
        <f>R449=S449</f>
        <v>0</v>
      </c>
      <c r="U449" s="21" t="s">
        <v>16</v>
      </c>
      <c r="V449" s="23"/>
      <c r="W449" s="24" t="b">
        <f>U449=V449</f>
        <v>0</v>
      </c>
      <c r="X449" s="25" t="s">
        <v>15</v>
      </c>
      <c r="Y449" s="23"/>
      <c r="Z449" s="23"/>
      <c r="AA449" s="64">
        <v>22000018</v>
      </c>
      <c r="AB449" s="21" t="s">
        <v>1410</v>
      </c>
      <c r="AC449" s="20"/>
      <c r="AD449" s="24" t="b">
        <f>AB449=AC449</f>
        <v>0</v>
      </c>
      <c r="AE449" s="21" t="s">
        <v>757</v>
      </c>
      <c r="AF449" s="23"/>
      <c r="AG449" s="24" t="b">
        <f>AE449=AF449</f>
        <v>0</v>
      </c>
      <c r="AH449" s="23">
        <v>13</v>
      </c>
      <c r="AI449" s="23">
        <v>9.01</v>
      </c>
      <c r="AJ449" s="26">
        <f>AI449*180/30*30.4375</f>
        <v>1645.4512499999998</v>
      </c>
      <c r="AK449" s="27">
        <v>1645.45</v>
      </c>
      <c r="AL449" s="73" t="s">
        <v>666</v>
      </c>
      <c r="AM449" s="28" t="b">
        <f>AL449=O449</f>
        <v>1</v>
      </c>
      <c r="AN449" s="20">
        <f>VLOOKUP(A449,'base ZITRHR129'!$G$1:$H$628,2,0)</f>
        <v>30041125</v>
      </c>
      <c r="AO449" s="20" t="b">
        <f>AN449=R449</f>
        <v>1</v>
      </c>
      <c r="AP449" s="20">
        <f>VLOOKUP(A449,'base ZITRHR129'!G183:W809,17,0)</f>
        <v>9.01</v>
      </c>
      <c r="AQ449" s="20" t="b">
        <f>AP449=AK449</f>
        <v>0</v>
      </c>
      <c r="AR449" s="69" t="s">
        <v>1516</v>
      </c>
    </row>
    <row r="450" spans="1:44" s="7" customFormat="1" x14ac:dyDescent="0.25">
      <c r="A450" s="7">
        <v>10071975</v>
      </c>
      <c r="B450" s="8" t="s">
        <v>473</v>
      </c>
      <c r="C450" s="8" t="s">
        <v>687</v>
      </c>
      <c r="D450" s="8" t="s">
        <v>717</v>
      </c>
      <c r="E450" s="8" t="s">
        <v>737</v>
      </c>
      <c r="F450" s="8" t="s">
        <v>1406</v>
      </c>
      <c r="G450" s="8" t="s">
        <v>765</v>
      </c>
      <c r="H450" s="9">
        <v>14</v>
      </c>
      <c r="I450" s="8" t="s">
        <v>660</v>
      </c>
      <c r="J450" s="8" t="s">
        <v>1221</v>
      </c>
      <c r="K450" s="8" t="s">
        <v>16</v>
      </c>
      <c r="L450" s="8" t="s">
        <v>17</v>
      </c>
      <c r="M450" s="10" t="s">
        <v>687</v>
      </c>
      <c r="N450" s="10" t="s">
        <v>717</v>
      </c>
      <c r="O450" s="10" t="s">
        <v>660</v>
      </c>
      <c r="P450" s="1"/>
      <c r="Q450" s="11" t="b">
        <f>O450=P450</f>
        <v>0</v>
      </c>
      <c r="R450" s="30">
        <v>30041126</v>
      </c>
      <c r="S450" s="1"/>
      <c r="T450" s="11" t="b">
        <f>R450=S450</f>
        <v>0</v>
      </c>
      <c r="U450" s="10" t="s">
        <v>16</v>
      </c>
      <c r="V450" s="1"/>
      <c r="W450" s="11" t="b">
        <f>U450=V450</f>
        <v>0</v>
      </c>
      <c r="X450" s="13" t="s">
        <v>15</v>
      </c>
      <c r="Y450" s="1"/>
      <c r="Z450" s="1"/>
      <c r="AA450" s="10">
        <v>22002830</v>
      </c>
      <c r="AB450" s="10" t="s">
        <v>1409</v>
      </c>
      <c r="AD450" s="11" t="b">
        <f>AB450=AC450</f>
        <v>0</v>
      </c>
      <c r="AE450" s="10" t="s">
        <v>765</v>
      </c>
      <c r="AF450" s="1"/>
      <c r="AG450" s="11" t="b">
        <f>AE450=AF450</f>
        <v>0</v>
      </c>
      <c r="AH450" s="1">
        <v>14</v>
      </c>
      <c r="AI450" s="1">
        <v>8.59</v>
      </c>
      <c r="AJ450" s="16">
        <f>AI450*220/30*30.4375</f>
        <v>1917.3595833333334</v>
      </c>
      <c r="AK450" s="18">
        <v>1917.36</v>
      </c>
      <c r="AL450" s="71" t="s">
        <v>660</v>
      </c>
      <c r="AM450" s="19" t="b">
        <f>AL450=O450</f>
        <v>1</v>
      </c>
      <c r="AN450" s="7">
        <f>VLOOKUP(A450,'base ZITRHR129'!$G$1:$H$628,2,0)</f>
        <v>30041126</v>
      </c>
      <c r="AO450" s="7" t="b">
        <f>AN450=R450</f>
        <v>1</v>
      </c>
      <c r="AP450" s="7">
        <f>VLOOKUP(A450,'base ZITRHR129'!G182:W808,17,0)</f>
        <v>1917.36</v>
      </c>
      <c r="AQ450" s="7" t="b">
        <f>AP450=AK450</f>
        <v>1</v>
      </c>
      <c r="AR450" s="78"/>
    </row>
    <row r="451" spans="1:44" s="7" customFormat="1" ht="12" x14ac:dyDescent="0.2">
      <c r="A451" s="20">
        <v>10072058</v>
      </c>
      <c r="B451" s="21" t="s">
        <v>474</v>
      </c>
      <c r="C451" s="21" t="s">
        <v>700</v>
      </c>
      <c r="D451" s="21" t="s">
        <v>717</v>
      </c>
      <c r="E451" s="21" t="s">
        <v>746</v>
      </c>
      <c r="F451" s="21" t="s">
        <v>1407</v>
      </c>
      <c r="G451" s="21" t="s">
        <v>757</v>
      </c>
      <c r="H451" s="22">
        <v>13</v>
      </c>
      <c r="I451" s="21" t="s">
        <v>666</v>
      </c>
      <c r="J451" s="21" t="s">
        <v>1222</v>
      </c>
      <c r="K451" s="21" t="s">
        <v>16</v>
      </c>
      <c r="L451" s="21" t="s">
        <v>17</v>
      </c>
      <c r="M451" s="21" t="s">
        <v>700</v>
      </c>
      <c r="N451" s="21" t="s">
        <v>717</v>
      </c>
      <c r="O451" s="21" t="s">
        <v>666</v>
      </c>
      <c r="P451" s="23"/>
      <c r="Q451" s="24" t="b">
        <f>O451=P451</f>
        <v>0</v>
      </c>
      <c r="R451" s="31">
        <v>30041127</v>
      </c>
      <c r="S451" s="23"/>
      <c r="T451" s="24" t="b">
        <f>R451=S451</f>
        <v>0</v>
      </c>
      <c r="U451" s="21" t="s">
        <v>16</v>
      </c>
      <c r="V451" s="23"/>
      <c r="W451" s="24" t="b">
        <f>U451=V451</f>
        <v>0</v>
      </c>
      <c r="X451" s="25" t="s">
        <v>15</v>
      </c>
      <c r="Y451" s="23"/>
      <c r="Z451" s="23"/>
      <c r="AA451" s="64">
        <v>22000018</v>
      </c>
      <c r="AB451" s="21" t="s">
        <v>1410</v>
      </c>
      <c r="AC451" s="20"/>
      <c r="AD451" s="24" t="b">
        <f>AB451=AC451</f>
        <v>0</v>
      </c>
      <c r="AE451" s="21" t="s">
        <v>757</v>
      </c>
      <c r="AF451" s="23"/>
      <c r="AG451" s="24" t="b">
        <f>AE451=AF451</f>
        <v>0</v>
      </c>
      <c r="AH451" s="23">
        <v>13</v>
      </c>
      <c r="AI451" s="23">
        <v>9.01</v>
      </c>
      <c r="AJ451" s="26">
        <f>AI451*180/30*30.4375</f>
        <v>1645.4512499999998</v>
      </c>
      <c r="AK451" s="27">
        <v>1645.45</v>
      </c>
      <c r="AL451" s="73" t="s">
        <v>666</v>
      </c>
      <c r="AM451" s="28" t="b">
        <f>AL451=O451</f>
        <v>1</v>
      </c>
      <c r="AN451" s="20">
        <f>VLOOKUP(A451,'base ZITRHR129'!$G$1:$H$628,2,0)</f>
        <v>30041127</v>
      </c>
      <c r="AO451" s="20" t="b">
        <f>AN451=R451</f>
        <v>1</v>
      </c>
      <c r="AP451" s="20">
        <f>VLOOKUP(A451,'base ZITRHR129'!G181:W807,17,0)</f>
        <v>9.01</v>
      </c>
      <c r="AQ451" s="20" t="b">
        <f>AP451=AK451</f>
        <v>0</v>
      </c>
      <c r="AR451" s="69" t="s">
        <v>1516</v>
      </c>
    </row>
    <row r="452" spans="1:44" s="7" customFormat="1" x14ac:dyDescent="0.25">
      <c r="A452" s="7">
        <v>10072547</v>
      </c>
      <c r="B452" s="8" t="s">
        <v>475</v>
      </c>
      <c r="C452" s="8" t="s">
        <v>683</v>
      </c>
      <c r="D452" s="8" t="s">
        <v>717</v>
      </c>
      <c r="E452" s="8" t="s">
        <v>722</v>
      </c>
      <c r="F452" s="8" t="s">
        <v>1406</v>
      </c>
      <c r="G452" s="8" t="s">
        <v>753</v>
      </c>
      <c r="H452" s="9">
        <v>19</v>
      </c>
      <c r="I452" s="8" t="s">
        <v>656</v>
      </c>
      <c r="J452" s="8" t="s">
        <v>1223</v>
      </c>
      <c r="K452" s="8" t="s">
        <v>6</v>
      </c>
      <c r="L452" s="8" t="s">
        <v>17</v>
      </c>
      <c r="M452" s="10" t="s">
        <v>683</v>
      </c>
      <c r="N452" s="10" t="s">
        <v>717</v>
      </c>
      <c r="O452" s="10" t="s">
        <v>656</v>
      </c>
      <c r="P452" s="1"/>
      <c r="Q452" s="11" t="b">
        <f>O452=P452</f>
        <v>0</v>
      </c>
      <c r="R452" s="30">
        <v>30041128</v>
      </c>
      <c r="S452" s="1"/>
      <c r="T452" s="11" t="b">
        <f>R452=S452</f>
        <v>0</v>
      </c>
      <c r="U452" s="10" t="s">
        <v>6</v>
      </c>
      <c r="V452" s="1"/>
      <c r="W452" s="11" t="b">
        <f>U452=V452</f>
        <v>0</v>
      </c>
      <c r="X452" s="13" t="s">
        <v>15</v>
      </c>
      <c r="Y452" s="1"/>
      <c r="Z452" s="1"/>
      <c r="AA452" s="10">
        <v>22002695</v>
      </c>
      <c r="AB452" s="10" t="s">
        <v>1409</v>
      </c>
      <c r="AD452" s="11" t="b">
        <f>AB452=AC452</f>
        <v>0</v>
      </c>
      <c r="AE452" s="10" t="s">
        <v>753</v>
      </c>
      <c r="AF452" s="1"/>
      <c r="AG452" s="11" t="b">
        <f>AE452=AF452</f>
        <v>0</v>
      </c>
      <c r="AH452" s="1">
        <v>19</v>
      </c>
      <c r="AI452" s="1">
        <v>16.68</v>
      </c>
      <c r="AJ452" s="16">
        <f>AI452*220/30*30.4375</f>
        <v>3723.1149999999998</v>
      </c>
      <c r="AK452" s="18">
        <v>3723.12</v>
      </c>
      <c r="AL452" s="71" t="s">
        <v>656</v>
      </c>
      <c r="AM452" s="19" t="b">
        <f>AL452=O452</f>
        <v>1</v>
      </c>
      <c r="AN452" s="7">
        <f>VLOOKUP(A452,'base ZITRHR129'!$G$1:$H$628,2,0)</f>
        <v>30041128</v>
      </c>
      <c r="AO452" s="7" t="b">
        <f>AN452=R452</f>
        <v>1</v>
      </c>
      <c r="AP452" s="7">
        <f>VLOOKUP(A452,'base ZITRHR129'!G180:W806,17,0)</f>
        <v>3723.12</v>
      </c>
      <c r="AQ452" s="7" t="b">
        <f>AP452=AK452</f>
        <v>1</v>
      </c>
      <c r="AR452" s="78"/>
    </row>
    <row r="453" spans="1:44" s="7" customFormat="1" ht="12" x14ac:dyDescent="0.2">
      <c r="A453" s="7">
        <v>10072716</v>
      </c>
      <c r="B453" s="8" t="s">
        <v>476</v>
      </c>
      <c r="C453" s="8" t="s">
        <v>687</v>
      </c>
      <c r="D453" s="8" t="s">
        <v>717</v>
      </c>
      <c r="E453" s="8" t="s">
        <v>728</v>
      </c>
      <c r="F453" s="8" t="s">
        <v>1406</v>
      </c>
      <c r="G453" s="8" t="s">
        <v>757</v>
      </c>
      <c r="H453" s="9">
        <v>13</v>
      </c>
      <c r="I453" s="8" t="s">
        <v>658</v>
      </c>
      <c r="J453" s="8" t="s">
        <v>1224</v>
      </c>
      <c r="K453" s="8" t="s">
        <v>6</v>
      </c>
      <c r="L453" s="8" t="s">
        <v>17</v>
      </c>
      <c r="M453" s="10" t="s">
        <v>687</v>
      </c>
      <c r="N453" s="10" t="s">
        <v>717</v>
      </c>
      <c r="O453" s="10" t="s">
        <v>658</v>
      </c>
      <c r="P453" s="1"/>
      <c r="Q453" s="11" t="b">
        <f>O453=P453</f>
        <v>0</v>
      </c>
      <c r="R453" s="30">
        <v>30041129</v>
      </c>
      <c r="S453" s="1"/>
      <c r="T453" s="11" t="b">
        <f>R453=S453</f>
        <v>0</v>
      </c>
      <c r="U453" s="10" t="s">
        <v>6</v>
      </c>
      <c r="V453" s="1"/>
      <c r="W453" s="11" t="b">
        <f>U453=V453</f>
        <v>0</v>
      </c>
      <c r="X453" s="13" t="s">
        <v>15</v>
      </c>
      <c r="Y453" s="1"/>
      <c r="Z453" s="1"/>
      <c r="AA453" s="60">
        <v>22000878</v>
      </c>
      <c r="AB453" s="10" t="s">
        <v>1409</v>
      </c>
      <c r="AD453" s="11" t="b">
        <f>AB453=AC453</f>
        <v>0</v>
      </c>
      <c r="AE453" s="10" t="s">
        <v>757</v>
      </c>
      <c r="AF453" s="1"/>
      <c r="AG453" s="11" t="b">
        <f>AE453=AF453</f>
        <v>0</v>
      </c>
      <c r="AH453" s="1">
        <v>13</v>
      </c>
      <c r="AI453" s="1">
        <v>7.37</v>
      </c>
      <c r="AJ453" s="16">
        <f>AI453*220/30*30.4375</f>
        <v>1645.0454166666666</v>
      </c>
      <c r="AK453" s="18">
        <v>1645.05</v>
      </c>
      <c r="AL453" s="72" t="s">
        <v>660</v>
      </c>
      <c r="AM453" s="48" t="b">
        <f>AL453=O453</f>
        <v>0</v>
      </c>
      <c r="AN453" s="7">
        <f>VLOOKUP(A453,'base ZITRHR129'!$G$1:$H$628,2,0)</f>
        <v>30041129</v>
      </c>
      <c r="AO453" s="7" t="b">
        <f>AN453=R453</f>
        <v>1</v>
      </c>
      <c r="AP453" s="7">
        <f>VLOOKUP(A453,'base ZITRHR129'!G179:W805,17,0)</f>
        <v>1645.05</v>
      </c>
      <c r="AQ453" s="7" t="b">
        <f>AP453=AK453</f>
        <v>1</v>
      </c>
      <c r="AR453" s="69" t="s">
        <v>1517</v>
      </c>
    </row>
    <row r="454" spans="1:44" s="7" customFormat="1" x14ac:dyDescent="0.25">
      <c r="A454" s="7">
        <v>10072724</v>
      </c>
      <c r="B454" s="8" t="s">
        <v>477</v>
      </c>
      <c r="C454" s="8" t="s">
        <v>710</v>
      </c>
      <c r="D454" s="8" t="s">
        <v>717</v>
      </c>
      <c r="E454" s="8" t="s">
        <v>737</v>
      </c>
      <c r="F454" s="8" t="s">
        <v>1406</v>
      </c>
      <c r="G454" s="8" t="s">
        <v>765</v>
      </c>
      <c r="H454" s="9">
        <v>14</v>
      </c>
      <c r="I454" s="8" t="s">
        <v>674</v>
      </c>
      <c r="J454" s="8" t="s">
        <v>1225</v>
      </c>
      <c r="K454" s="8" t="s">
        <v>16</v>
      </c>
      <c r="L454" s="8" t="s">
        <v>17</v>
      </c>
      <c r="M454" s="10" t="s">
        <v>710</v>
      </c>
      <c r="N454" s="10" t="s">
        <v>717</v>
      </c>
      <c r="O454" s="10" t="s">
        <v>674</v>
      </c>
      <c r="P454" s="1"/>
      <c r="Q454" s="11" t="b">
        <f>O454=P454</f>
        <v>0</v>
      </c>
      <c r="R454" s="30">
        <v>30041130</v>
      </c>
      <c r="S454" s="1"/>
      <c r="T454" s="11" t="b">
        <f>R454=S454</f>
        <v>0</v>
      </c>
      <c r="U454" s="10" t="s">
        <v>16</v>
      </c>
      <c r="V454" s="1"/>
      <c r="W454" s="11" t="b">
        <f>U454=V454</f>
        <v>0</v>
      </c>
      <c r="X454" s="13" t="s">
        <v>15</v>
      </c>
      <c r="Y454" s="1"/>
      <c r="Z454" s="1"/>
      <c r="AA454" s="10">
        <v>22002830</v>
      </c>
      <c r="AB454" s="10" t="s">
        <v>1409</v>
      </c>
      <c r="AD454" s="11" t="b">
        <f>AB454=AC454</f>
        <v>0</v>
      </c>
      <c r="AE454" s="10" t="s">
        <v>765</v>
      </c>
      <c r="AF454" s="1"/>
      <c r="AG454" s="11" t="b">
        <f>AE454=AF454</f>
        <v>0</v>
      </c>
      <c r="AH454" s="1">
        <v>14</v>
      </c>
      <c r="AI454" s="1">
        <v>8.59</v>
      </c>
      <c r="AJ454" s="16">
        <f>AI454*220/30*30.4375</f>
        <v>1917.3595833333334</v>
      </c>
      <c r="AK454" s="18">
        <v>1917.36</v>
      </c>
      <c r="AL454" s="71" t="s">
        <v>674</v>
      </c>
      <c r="AM454" s="19" t="b">
        <f>AL454=O454</f>
        <v>1</v>
      </c>
      <c r="AN454" s="7">
        <f>VLOOKUP(A454,'base ZITRHR129'!$G$1:$H$628,2,0)</f>
        <v>30041130</v>
      </c>
      <c r="AO454" s="7" t="b">
        <f>AN454=R454</f>
        <v>1</v>
      </c>
      <c r="AP454" s="7">
        <f>VLOOKUP(A454,'base ZITRHR129'!G178:W804,17,0)</f>
        <v>1917.36</v>
      </c>
      <c r="AQ454" s="7" t="b">
        <f>AP454=AK454</f>
        <v>1</v>
      </c>
      <c r="AR454" s="78"/>
    </row>
    <row r="455" spans="1:44" s="7" customFormat="1" x14ac:dyDescent="0.25">
      <c r="A455" s="7">
        <v>10073060</v>
      </c>
      <c r="B455" s="8" t="s">
        <v>478</v>
      </c>
      <c r="C455" s="8" t="s">
        <v>709</v>
      </c>
      <c r="D455" s="8" t="s">
        <v>717</v>
      </c>
      <c r="E455" s="8" t="s">
        <v>737</v>
      </c>
      <c r="F455" s="8" t="s">
        <v>1406</v>
      </c>
      <c r="G455" s="8" t="s">
        <v>765</v>
      </c>
      <c r="H455" s="9">
        <v>14</v>
      </c>
      <c r="I455" s="8" t="s">
        <v>673</v>
      </c>
      <c r="J455" s="8" t="s">
        <v>1226</v>
      </c>
      <c r="K455" s="8" t="s">
        <v>16</v>
      </c>
      <c r="L455" s="8" t="s">
        <v>17</v>
      </c>
      <c r="M455" s="10" t="s">
        <v>709</v>
      </c>
      <c r="N455" s="10" t="s">
        <v>717</v>
      </c>
      <c r="O455" s="10" t="s">
        <v>673</v>
      </c>
      <c r="P455" s="1"/>
      <c r="Q455" s="11" t="b">
        <f>O455=P455</f>
        <v>0</v>
      </c>
      <c r="R455" s="30">
        <v>30041131</v>
      </c>
      <c r="S455" s="1"/>
      <c r="T455" s="11" t="b">
        <f>R455=S455</f>
        <v>0</v>
      </c>
      <c r="U455" s="10" t="s">
        <v>16</v>
      </c>
      <c r="V455" s="1"/>
      <c r="W455" s="11" t="b">
        <f>U455=V455</f>
        <v>0</v>
      </c>
      <c r="X455" s="13" t="s">
        <v>15</v>
      </c>
      <c r="Y455" s="1"/>
      <c r="Z455" s="1"/>
      <c r="AA455" s="10">
        <v>22002830</v>
      </c>
      <c r="AB455" s="10" t="s">
        <v>1409</v>
      </c>
      <c r="AD455" s="11" t="b">
        <f>AB455=AC455</f>
        <v>0</v>
      </c>
      <c r="AE455" s="10" t="s">
        <v>765</v>
      </c>
      <c r="AF455" s="1"/>
      <c r="AG455" s="11" t="b">
        <f>AE455=AF455</f>
        <v>0</v>
      </c>
      <c r="AH455" s="1">
        <v>14</v>
      </c>
      <c r="AI455" s="1">
        <v>8.59</v>
      </c>
      <c r="AJ455" s="16">
        <f>AI455*220/30*30.4375</f>
        <v>1917.3595833333334</v>
      </c>
      <c r="AK455" s="18">
        <v>1917.36</v>
      </c>
      <c r="AL455" s="71" t="s">
        <v>673</v>
      </c>
      <c r="AM455" s="19" t="b">
        <f>AL455=O455</f>
        <v>1</v>
      </c>
      <c r="AN455" s="7">
        <f>VLOOKUP(A455,'base ZITRHR129'!$G$1:$H$628,2,0)</f>
        <v>30041131</v>
      </c>
      <c r="AO455" s="7" t="b">
        <f>AN455=R455</f>
        <v>1</v>
      </c>
      <c r="AP455" s="7">
        <f>VLOOKUP(A455,'base ZITRHR129'!G177:W803,17,0)</f>
        <v>1917.36</v>
      </c>
      <c r="AQ455" s="7" t="b">
        <f>AP455=AK455</f>
        <v>1</v>
      </c>
      <c r="AR455" s="78"/>
    </row>
    <row r="456" spans="1:44" s="7" customFormat="1" x14ac:dyDescent="0.25">
      <c r="A456" s="7">
        <v>10073125</v>
      </c>
      <c r="B456" s="8" t="s">
        <v>479</v>
      </c>
      <c r="C456" s="8" t="s">
        <v>713</v>
      </c>
      <c r="D456" s="8" t="s">
        <v>717</v>
      </c>
      <c r="E456" s="8" t="s">
        <v>723</v>
      </c>
      <c r="F456" s="8" t="s">
        <v>1406</v>
      </c>
      <c r="G456" s="8" t="s">
        <v>19</v>
      </c>
      <c r="H456" s="9">
        <v>16</v>
      </c>
      <c r="I456" s="8" t="s">
        <v>659</v>
      </c>
      <c r="J456" s="8" t="s">
        <v>1227</v>
      </c>
      <c r="K456" s="8" t="s">
        <v>6</v>
      </c>
      <c r="L456" s="8" t="s">
        <v>17</v>
      </c>
      <c r="M456" s="10" t="s">
        <v>713</v>
      </c>
      <c r="N456" s="10" t="s">
        <v>717</v>
      </c>
      <c r="O456" s="10" t="s">
        <v>659</v>
      </c>
      <c r="P456" s="1"/>
      <c r="Q456" s="11" t="b">
        <f>O456=P456</f>
        <v>0</v>
      </c>
      <c r="R456" s="30">
        <v>30041132</v>
      </c>
      <c r="S456" s="1"/>
      <c r="T456" s="11" t="b">
        <f>R456=S456</f>
        <v>0</v>
      </c>
      <c r="U456" s="10" t="s">
        <v>6</v>
      </c>
      <c r="V456" s="1"/>
      <c r="W456" s="11" t="b">
        <f>U456=V456</f>
        <v>0</v>
      </c>
      <c r="X456" s="13" t="s">
        <v>15</v>
      </c>
      <c r="Y456" s="1"/>
      <c r="Z456" s="1"/>
      <c r="AA456" s="10">
        <v>22002460</v>
      </c>
      <c r="AB456" s="10" t="s">
        <v>1409</v>
      </c>
      <c r="AD456" s="11" t="b">
        <f>AB456=AC456</f>
        <v>0</v>
      </c>
      <c r="AE456" s="10" t="s">
        <v>19</v>
      </c>
      <c r="AF456" s="1"/>
      <c r="AG456" s="11" t="b">
        <f>AE456=AF456</f>
        <v>0</v>
      </c>
      <c r="AH456" s="1">
        <v>16</v>
      </c>
      <c r="AI456" s="1">
        <v>10.26</v>
      </c>
      <c r="AJ456" s="16">
        <f>AI456*220/30*30.4375</f>
        <v>2290.1174999999998</v>
      </c>
      <c r="AK456" s="18">
        <v>2290.12</v>
      </c>
      <c r="AL456" s="71" t="s">
        <v>659</v>
      </c>
      <c r="AM456" s="19" t="b">
        <f>AL456=O456</f>
        <v>1</v>
      </c>
      <c r="AN456" s="7">
        <f>VLOOKUP(A456,'base ZITRHR129'!$G$1:$H$628,2,0)</f>
        <v>30041132</v>
      </c>
      <c r="AO456" s="7" t="b">
        <f>AN456=R456</f>
        <v>1</v>
      </c>
      <c r="AP456" s="7">
        <f>VLOOKUP(A456,'base ZITRHR129'!G176:W802,17,0)</f>
        <v>2290.12</v>
      </c>
      <c r="AQ456" s="7" t="b">
        <f>AP456=AK456</f>
        <v>1</v>
      </c>
      <c r="AR456" s="78"/>
    </row>
    <row r="457" spans="1:44" s="7" customFormat="1" x14ac:dyDescent="0.25">
      <c r="A457" s="7">
        <v>10073126</v>
      </c>
      <c r="B457" s="8" t="s">
        <v>480</v>
      </c>
      <c r="C457" s="8" t="s">
        <v>686</v>
      </c>
      <c r="D457" s="8" t="s">
        <v>717</v>
      </c>
      <c r="E457" s="8" t="s">
        <v>739</v>
      </c>
      <c r="F457" s="8" t="s">
        <v>1406</v>
      </c>
      <c r="G457" s="8" t="s">
        <v>766</v>
      </c>
      <c r="H457" s="9">
        <v>14</v>
      </c>
      <c r="I457" s="8" t="s">
        <v>659</v>
      </c>
      <c r="J457" s="8" t="s">
        <v>1228</v>
      </c>
      <c r="K457" s="8" t="s">
        <v>6</v>
      </c>
      <c r="L457" s="8" t="s">
        <v>17</v>
      </c>
      <c r="M457" s="10" t="s">
        <v>686</v>
      </c>
      <c r="N457" s="10" t="s">
        <v>717</v>
      </c>
      <c r="O457" s="10" t="s">
        <v>659</v>
      </c>
      <c r="P457" s="1"/>
      <c r="Q457" s="11" t="b">
        <f>O457=P457</f>
        <v>0</v>
      </c>
      <c r="R457" s="30">
        <v>30041133</v>
      </c>
      <c r="S457" s="1"/>
      <c r="T457" s="11" t="b">
        <f>R457=S457</f>
        <v>0</v>
      </c>
      <c r="U457" s="10" t="s">
        <v>6</v>
      </c>
      <c r="V457" s="1"/>
      <c r="W457" s="11" t="b">
        <f>U457=V457</f>
        <v>0</v>
      </c>
      <c r="X457" s="13" t="s">
        <v>15</v>
      </c>
      <c r="Y457" s="1"/>
      <c r="Z457" s="1"/>
      <c r="AA457" s="10">
        <v>22001415</v>
      </c>
      <c r="AB457" s="10" t="s">
        <v>1409</v>
      </c>
      <c r="AD457" s="11" t="b">
        <f>AB457=AC457</f>
        <v>0</v>
      </c>
      <c r="AE457" s="10" t="s">
        <v>766</v>
      </c>
      <c r="AF457" s="1"/>
      <c r="AG457" s="11" t="b">
        <f>AE457=AF457</f>
        <v>0</v>
      </c>
      <c r="AH457" s="1">
        <v>14</v>
      </c>
      <c r="AI457" s="1">
        <v>8.26</v>
      </c>
      <c r="AJ457" s="16">
        <f>AI457*220/30*30.4375</f>
        <v>1843.7008333333335</v>
      </c>
      <c r="AK457" s="18">
        <v>1843.7</v>
      </c>
      <c r="AL457" s="71" t="s">
        <v>659</v>
      </c>
      <c r="AM457" s="19" t="b">
        <f>AL457=O457</f>
        <v>1</v>
      </c>
      <c r="AN457" s="7">
        <f>VLOOKUP(A457,'base ZITRHR129'!$G$1:$H$628,2,0)</f>
        <v>30041133</v>
      </c>
      <c r="AO457" s="7" t="b">
        <f>AN457=R457</f>
        <v>1</v>
      </c>
      <c r="AP457" s="7">
        <f>VLOOKUP(A457,'base ZITRHR129'!G175:W801,17,0)</f>
        <v>1843.7</v>
      </c>
      <c r="AQ457" s="7" t="b">
        <f>AP457=AK457</f>
        <v>1</v>
      </c>
      <c r="AR457" s="78"/>
    </row>
    <row r="458" spans="1:44" s="7" customFormat="1" x14ac:dyDescent="0.25">
      <c r="A458" s="7">
        <v>10073202</v>
      </c>
      <c r="B458" s="8" t="s">
        <v>481</v>
      </c>
      <c r="C458" s="8" t="s">
        <v>695</v>
      </c>
      <c r="D458" s="8" t="s">
        <v>717</v>
      </c>
      <c r="E458" s="8" t="s">
        <v>724</v>
      </c>
      <c r="F458" s="8" t="s">
        <v>1406</v>
      </c>
      <c r="G458" s="8" t="s">
        <v>21</v>
      </c>
      <c r="H458" s="9">
        <v>16</v>
      </c>
      <c r="I458" s="8" t="s">
        <v>660</v>
      </c>
      <c r="J458" s="8" t="s">
        <v>1229</v>
      </c>
      <c r="K458" s="8" t="s">
        <v>16</v>
      </c>
      <c r="L458" s="8" t="s">
        <v>17</v>
      </c>
      <c r="M458" s="10" t="s">
        <v>695</v>
      </c>
      <c r="N458" s="10" t="s">
        <v>717</v>
      </c>
      <c r="O458" s="10" t="s">
        <v>660</v>
      </c>
      <c r="P458" s="1"/>
      <c r="Q458" s="11" t="b">
        <f>O458=P458</f>
        <v>0</v>
      </c>
      <c r="R458" s="30">
        <v>30041134</v>
      </c>
      <c r="S458" s="1"/>
      <c r="T458" s="11" t="b">
        <f>R458=S458</f>
        <v>0</v>
      </c>
      <c r="U458" s="10" t="s">
        <v>16</v>
      </c>
      <c r="V458" s="1"/>
      <c r="W458" s="11" t="b">
        <f>U458=V458</f>
        <v>0</v>
      </c>
      <c r="X458" s="13" t="s">
        <v>15</v>
      </c>
      <c r="Y458" s="1"/>
      <c r="Z458" s="1"/>
      <c r="AA458" s="59">
        <v>22002616</v>
      </c>
      <c r="AB458" s="10" t="s">
        <v>1409</v>
      </c>
      <c r="AD458" s="11" t="b">
        <f>AB458=AC458</f>
        <v>0</v>
      </c>
      <c r="AE458" s="10" t="s">
        <v>21</v>
      </c>
      <c r="AF458" s="1"/>
      <c r="AG458" s="11" t="b">
        <f>AE458=AF458</f>
        <v>0</v>
      </c>
      <c r="AH458" s="1">
        <v>16</v>
      </c>
      <c r="AI458" s="1">
        <v>10.27</v>
      </c>
      <c r="AJ458" s="16">
        <f>AI458*220/30*30.4375</f>
        <v>2292.3495833333332</v>
      </c>
      <c r="AK458" s="18">
        <v>2292.35</v>
      </c>
      <c r="AL458" s="71" t="s">
        <v>660</v>
      </c>
      <c r="AM458" s="19" t="b">
        <f>AL458=O458</f>
        <v>1</v>
      </c>
      <c r="AN458" s="7">
        <f>VLOOKUP(A458,'base ZITRHR129'!$G$1:$H$628,2,0)</f>
        <v>30041134</v>
      </c>
      <c r="AO458" s="7" t="b">
        <f>AN458=R458</f>
        <v>1</v>
      </c>
      <c r="AP458" s="7">
        <f>VLOOKUP(A458,'base ZITRHR129'!G174:W800,17,0)</f>
        <v>2292.35</v>
      </c>
      <c r="AQ458" s="7" t="b">
        <f>AP458=AK458</f>
        <v>1</v>
      </c>
      <c r="AR458" s="78"/>
    </row>
    <row r="459" spans="1:44" s="7" customFormat="1" x14ac:dyDescent="0.25">
      <c r="A459" s="7">
        <v>10073367</v>
      </c>
      <c r="B459" s="8" t="s">
        <v>482</v>
      </c>
      <c r="C459" s="8" t="s">
        <v>695</v>
      </c>
      <c r="D459" s="8" t="s">
        <v>717</v>
      </c>
      <c r="E459" s="8" t="s">
        <v>724</v>
      </c>
      <c r="F459" s="8" t="s">
        <v>1406</v>
      </c>
      <c r="G459" s="8" t="s">
        <v>21</v>
      </c>
      <c r="H459" s="9">
        <v>16</v>
      </c>
      <c r="I459" s="8" t="s">
        <v>660</v>
      </c>
      <c r="J459" s="8" t="s">
        <v>1230</v>
      </c>
      <c r="K459" s="8" t="s">
        <v>16</v>
      </c>
      <c r="L459" s="8" t="s">
        <v>17</v>
      </c>
      <c r="M459" s="10" t="s">
        <v>695</v>
      </c>
      <c r="N459" s="10" t="s">
        <v>717</v>
      </c>
      <c r="O459" s="10" t="s">
        <v>660</v>
      </c>
      <c r="P459" s="1"/>
      <c r="Q459" s="11" t="b">
        <f>O459=P459</f>
        <v>0</v>
      </c>
      <c r="R459" s="30">
        <v>30041135</v>
      </c>
      <c r="S459" s="1"/>
      <c r="T459" s="11" t="b">
        <f>R459=S459</f>
        <v>0</v>
      </c>
      <c r="U459" s="10" t="s">
        <v>16</v>
      </c>
      <c r="V459" s="1"/>
      <c r="W459" s="11" t="b">
        <f>U459=V459</f>
        <v>0</v>
      </c>
      <c r="X459" s="13" t="s">
        <v>15</v>
      </c>
      <c r="Y459" s="1"/>
      <c r="Z459" s="1"/>
      <c r="AA459" s="10">
        <v>22002616</v>
      </c>
      <c r="AB459" s="10" t="s">
        <v>1409</v>
      </c>
      <c r="AD459" s="11" t="b">
        <f>AB459=AC459</f>
        <v>0</v>
      </c>
      <c r="AE459" s="10" t="s">
        <v>21</v>
      </c>
      <c r="AF459" s="1"/>
      <c r="AG459" s="11" t="b">
        <f>AE459=AF459</f>
        <v>0</v>
      </c>
      <c r="AH459" s="1">
        <v>16</v>
      </c>
      <c r="AI459" s="1">
        <v>10.27</v>
      </c>
      <c r="AJ459" s="16">
        <f>AI459*220/30*30.4375</f>
        <v>2292.3495833333332</v>
      </c>
      <c r="AK459" s="18">
        <v>2292.35</v>
      </c>
      <c r="AL459" s="71" t="s">
        <v>660</v>
      </c>
      <c r="AM459" s="19" t="b">
        <f>AL459=O459</f>
        <v>1</v>
      </c>
      <c r="AN459" s="7">
        <f>VLOOKUP(A459,'base ZITRHR129'!$G$1:$H$628,2,0)</f>
        <v>30041135</v>
      </c>
      <c r="AO459" s="7" t="b">
        <f>AN459=R459</f>
        <v>1</v>
      </c>
      <c r="AP459" s="7">
        <f>VLOOKUP(A459,'base ZITRHR129'!G173:W799,17,0)</f>
        <v>2292.35</v>
      </c>
      <c r="AQ459" s="7" t="b">
        <f>AP459=AK459</f>
        <v>1</v>
      </c>
      <c r="AR459" s="78"/>
    </row>
    <row r="460" spans="1:44" s="7" customFormat="1" x14ac:dyDescent="0.25">
      <c r="A460" s="7">
        <v>10073369</v>
      </c>
      <c r="B460" s="8" t="s">
        <v>483</v>
      </c>
      <c r="C460" s="8" t="s">
        <v>680</v>
      </c>
      <c r="D460" s="8" t="s">
        <v>717</v>
      </c>
      <c r="E460" s="8" t="s">
        <v>737</v>
      </c>
      <c r="F460" s="8" t="s">
        <v>1406</v>
      </c>
      <c r="G460" s="8" t="s">
        <v>765</v>
      </c>
      <c r="H460" s="9">
        <v>14</v>
      </c>
      <c r="I460" s="8" t="s">
        <v>654</v>
      </c>
      <c r="J460" s="8" t="s">
        <v>1231</v>
      </c>
      <c r="K460" s="8" t="s">
        <v>16</v>
      </c>
      <c r="L460" s="8" t="s">
        <v>17</v>
      </c>
      <c r="M460" s="10" t="s">
        <v>680</v>
      </c>
      <c r="N460" s="10" t="s">
        <v>717</v>
      </c>
      <c r="O460" s="10" t="s">
        <v>654</v>
      </c>
      <c r="P460" s="1"/>
      <c r="Q460" s="11" t="b">
        <f>O460=P460</f>
        <v>0</v>
      </c>
      <c r="R460" s="30">
        <v>30041136</v>
      </c>
      <c r="S460" s="1"/>
      <c r="T460" s="11" t="b">
        <f>R460=S460</f>
        <v>0</v>
      </c>
      <c r="U460" s="10" t="s">
        <v>16</v>
      </c>
      <c r="V460" s="1"/>
      <c r="W460" s="11" t="b">
        <f>U460=V460</f>
        <v>0</v>
      </c>
      <c r="X460" s="13" t="s">
        <v>15</v>
      </c>
      <c r="Y460" s="1"/>
      <c r="Z460" s="1"/>
      <c r="AA460" s="63">
        <v>22002830</v>
      </c>
      <c r="AB460" s="10" t="s">
        <v>1409</v>
      </c>
      <c r="AD460" s="11" t="b">
        <f>AB460=AC460</f>
        <v>0</v>
      </c>
      <c r="AE460" s="10" t="s">
        <v>765</v>
      </c>
      <c r="AF460" s="1"/>
      <c r="AG460" s="11" t="b">
        <f>AE460=AF460</f>
        <v>0</v>
      </c>
      <c r="AH460" s="1">
        <v>14</v>
      </c>
      <c r="AI460" s="1">
        <v>8.59</v>
      </c>
      <c r="AJ460" s="16">
        <f>AI460*220/30*30.4375</f>
        <v>1917.3595833333334</v>
      </c>
      <c r="AK460" s="18">
        <v>1917.36</v>
      </c>
      <c r="AL460" s="71" t="s">
        <v>654</v>
      </c>
      <c r="AM460" s="19" t="b">
        <f>AL460=O460</f>
        <v>1</v>
      </c>
      <c r="AN460" s="7">
        <f>VLOOKUP(A460,'base ZITRHR129'!$G$1:$H$628,2,0)</f>
        <v>30041136</v>
      </c>
      <c r="AO460" s="7" t="b">
        <f>AN460=R460</f>
        <v>1</v>
      </c>
      <c r="AP460" s="7">
        <f>VLOOKUP(A460,'base ZITRHR129'!G172:W798,17,0)</f>
        <v>1917.36</v>
      </c>
      <c r="AQ460" s="7" t="b">
        <f>AP460=AK460</f>
        <v>1</v>
      </c>
      <c r="AR460" s="78"/>
    </row>
    <row r="461" spans="1:44" s="7" customFormat="1" x14ac:dyDescent="0.25">
      <c r="A461" s="7">
        <v>10073408</v>
      </c>
      <c r="B461" s="8" t="s">
        <v>484</v>
      </c>
      <c r="C461" s="8" t="s">
        <v>680</v>
      </c>
      <c r="D461" s="8" t="s">
        <v>717</v>
      </c>
      <c r="E461" s="8" t="s">
        <v>737</v>
      </c>
      <c r="F461" s="8" t="s">
        <v>1406</v>
      </c>
      <c r="G461" s="8" t="s">
        <v>765</v>
      </c>
      <c r="H461" s="9">
        <v>14</v>
      </c>
      <c r="I461" s="8" t="s">
        <v>654</v>
      </c>
      <c r="J461" s="8" t="s">
        <v>1232</v>
      </c>
      <c r="K461" s="8" t="s">
        <v>16</v>
      </c>
      <c r="L461" s="8" t="s">
        <v>17</v>
      </c>
      <c r="M461" s="10" t="s">
        <v>680</v>
      </c>
      <c r="N461" s="10" t="s">
        <v>717</v>
      </c>
      <c r="O461" s="10" t="s">
        <v>654</v>
      </c>
      <c r="P461" s="1"/>
      <c r="Q461" s="11" t="b">
        <f>O461=P461</f>
        <v>0</v>
      </c>
      <c r="R461" s="30">
        <v>30041137</v>
      </c>
      <c r="S461" s="1"/>
      <c r="T461" s="11" t="b">
        <f>R461=S461</f>
        <v>0</v>
      </c>
      <c r="U461" s="10" t="s">
        <v>16</v>
      </c>
      <c r="V461" s="1"/>
      <c r="W461" s="11" t="b">
        <f>U461=V461</f>
        <v>0</v>
      </c>
      <c r="X461" s="13" t="s">
        <v>15</v>
      </c>
      <c r="Y461" s="1"/>
      <c r="Z461" s="1"/>
      <c r="AA461" s="10">
        <v>22002830</v>
      </c>
      <c r="AB461" s="10" t="s">
        <v>1409</v>
      </c>
      <c r="AD461" s="11" t="b">
        <f>AB461=AC461</f>
        <v>0</v>
      </c>
      <c r="AE461" s="10" t="s">
        <v>765</v>
      </c>
      <c r="AF461" s="1"/>
      <c r="AG461" s="11" t="b">
        <f>AE461=AF461</f>
        <v>0</v>
      </c>
      <c r="AH461" s="1">
        <v>14</v>
      </c>
      <c r="AI461" s="1">
        <v>8.59</v>
      </c>
      <c r="AJ461" s="16">
        <f>AI461*220/30*30.4375</f>
        <v>1917.3595833333334</v>
      </c>
      <c r="AK461" s="18">
        <v>1917.36</v>
      </c>
      <c r="AL461" s="71" t="s">
        <v>654</v>
      </c>
      <c r="AM461" s="19" t="b">
        <f>AL461=O461</f>
        <v>1</v>
      </c>
      <c r="AN461" s="7">
        <f>VLOOKUP(A461,'base ZITRHR129'!$G$1:$H$628,2,0)</f>
        <v>30041137</v>
      </c>
      <c r="AO461" s="7" t="b">
        <f>AN461=R461</f>
        <v>1</v>
      </c>
      <c r="AP461" s="7">
        <f>VLOOKUP(A461,'base ZITRHR129'!G171:W797,17,0)</f>
        <v>1917.36</v>
      </c>
      <c r="AQ461" s="7" t="b">
        <f>AP461=AK461</f>
        <v>1</v>
      </c>
      <c r="AR461" s="78"/>
    </row>
    <row r="462" spans="1:44" s="7" customFormat="1" x14ac:dyDescent="0.25">
      <c r="A462" s="7">
        <v>10073411</v>
      </c>
      <c r="B462" s="8" t="s">
        <v>485</v>
      </c>
      <c r="C462" s="8" t="s">
        <v>690</v>
      </c>
      <c r="D462" s="8" t="s">
        <v>717</v>
      </c>
      <c r="E462" s="8" t="s">
        <v>726</v>
      </c>
      <c r="F462" s="8" t="s">
        <v>1406</v>
      </c>
      <c r="G462" s="8" t="s">
        <v>755</v>
      </c>
      <c r="H462" s="9">
        <v>15</v>
      </c>
      <c r="I462" s="8" t="s">
        <v>663</v>
      </c>
      <c r="J462" s="8" t="s">
        <v>1233</v>
      </c>
      <c r="K462" s="8" t="s">
        <v>16</v>
      </c>
      <c r="L462" s="8" t="s">
        <v>17</v>
      </c>
      <c r="M462" s="10" t="s">
        <v>690</v>
      </c>
      <c r="N462" s="10" t="s">
        <v>717</v>
      </c>
      <c r="O462" s="10" t="s">
        <v>663</v>
      </c>
      <c r="P462" s="1"/>
      <c r="Q462" s="11" t="b">
        <f>O462=P462</f>
        <v>0</v>
      </c>
      <c r="R462" s="30">
        <v>30041138</v>
      </c>
      <c r="S462" s="1"/>
      <c r="T462" s="11" t="b">
        <f>R462=S462</f>
        <v>0</v>
      </c>
      <c r="U462" s="10" t="s">
        <v>16</v>
      </c>
      <c r="V462" s="1"/>
      <c r="W462" s="11" t="b">
        <f>U462=V462</f>
        <v>0</v>
      </c>
      <c r="X462" s="13" t="s">
        <v>15</v>
      </c>
      <c r="Y462" s="1"/>
      <c r="Z462" s="1"/>
      <c r="AA462" s="10">
        <v>22002617</v>
      </c>
      <c r="AB462" s="10" t="s">
        <v>1409</v>
      </c>
      <c r="AD462" s="11" t="b">
        <f>AB462=AC462</f>
        <v>0</v>
      </c>
      <c r="AE462" s="10" t="s">
        <v>755</v>
      </c>
      <c r="AF462" s="1"/>
      <c r="AG462" s="11" t="b">
        <f>AE462=AF462</f>
        <v>0</v>
      </c>
      <c r="AH462" s="1">
        <v>15</v>
      </c>
      <c r="AI462" s="1">
        <v>9.4499999999999993</v>
      </c>
      <c r="AJ462" s="16">
        <f>AI462*220/30*30.4375</f>
        <v>2109.3187499999999</v>
      </c>
      <c r="AK462" s="18">
        <v>2109.3200000000002</v>
      </c>
      <c r="AL462" s="71" t="s">
        <v>663</v>
      </c>
      <c r="AM462" s="19" t="b">
        <f>AL462=O462</f>
        <v>1</v>
      </c>
      <c r="AN462" s="7">
        <f>VLOOKUP(A462,'base ZITRHR129'!$G$1:$H$628,2,0)</f>
        <v>30041138</v>
      </c>
      <c r="AO462" s="7" t="b">
        <f>AN462=R462</f>
        <v>1</v>
      </c>
      <c r="AP462" s="7">
        <f>VLOOKUP(A462,'base ZITRHR129'!G170:W796,17,0)</f>
        <v>2109.3200000000002</v>
      </c>
      <c r="AQ462" s="7" t="b">
        <f>AP462=AK462</f>
        <v>1</v>
      </c>
      <c r="AR462" s="78"/>
    </row>
    <row r="463" spans="1:44" s="7" customFormat="1" x14ac:dyDescent="0.25">
      <c r="A463" s="7">
        <v>10073412</v>
      </c>
      <c r="B463" s="8" t="s">
        <v>486</v>
      </c>
      <c r="C463" s="8" t="s">
        <v>679</v>
      </c>
      <c r="D463" s="8" t="s">
        <v>717</v>
      </c>
      <c r="E463" s="8" t="s">
        <v>720</v>
      </c>
      <c r="F463" s="8" t="s">
        <v>1406</v>
      </c>
      <c r="G463" s="8" t="s">
        <v>751</v>
      </c>
      <c r="H463" s="9">
        <v>18</v>
      </c>
      <c r="I463" s="8" t="s">
        <v>653</v>
      </c>
      <c r="J463" s="8" t="s">
        <v>1234</v>
      </c>
      <c r="K463" s="8" t="s">
        <v>16</v>
      </c>
      <c r="L463" s="8" t="s">
        <v>17</v>
      </c>
      <c r="M463" s="10" t="s">
        <v>679</v>
      </c>
      <c r="N463" s="10" t="s">
        <v>717</v>
      </c>
      <c r="O463" s="10" t="s">
        <v>653</v>
      </c>
      <c r="P463" s="1"/>
      <c r="Q463" s="11" t="b">
        <f>O463=P463</f>
        <v>0</v>
      </c>
      <c r="R463" s="30">
        <v>30041139</v>
      </c>
      <c r="S463" s="1"/>
      <c r="T463" s="11" t="b">
        <f>R463=S463</f>
        <v>0</v>
      </c>
      <c r="U463" s="10" t="s">
        <v>16</v>
      </c>
      <c r="V463" s="1"/>
      <c r="W463" s="11" t="b">
        <f>U463=V463</f>
        <v>0</v>
      </c>
      <c r="X463" s="13" t="s">
        <v>15</v>
      </c>
      <c r="Y463" s="1"/>
      <c r="Z463" s="1"/>
      <c r="AA463" s="10">
        <v>22003015</v>
      </c>
      <c r="AB463" s="10" t="s">
        <v>1409</v>
      </c>
      <c r="AD463" s="11" t="b">
        <f>AB463=AC463</f>
        <v>0</v>
      </c>
      <c r="AE463" s="10" t="s">
        <v>751</v>
      </c>
      <c r="AF463" s="1"/>
      <c r="AG463" s="11" t="b">
        <f>AE463=AF463</f>
        <v>0</v>
      </c>
      <c r="AH463" s="1">
        <v>18</v>
      </c>
      <c r="AI463" s="1">
        <v>17.73</v>
      </c>
      <c r="AJ463" s="16">
        <f>AI463*220/30*30.4375</f>
        <v>3957.4837500000003</v>
      </c>
      <c r="AK463" s="18">
        <v>3957.48</v>
      </c>
      <c r="AL463" s="71" t="s">
        <v>653</v>
      </c>
      <c r="AM463" s="19" t="b">
        <f>AL463=O463</f>
        <v>1</v>
      </c>
      <c r="AN463" s="7">
        <f>VLOOKUP(A463,'base ZITRHR129'!$G$1:$H$628,2,0)</f>
        <v>30041139</v>
      </c>
      <c r="AO463" s="7" t="b">
        <f>AN463=R463</f>
        <v>1</v>
      </c>
      <c r="AP463" s="7">
        <f>VLOOKUP(A463,'base ZITRHR129'!G169:W795,17,0)</f>
        <v>3957.48</v>
      </c>
      <c r="AQ463" s="7" t="b">
        <f>AP463=AK463</f>
        <v>1</v>
      </c>
      <c r="AR463" s="78"/>
    </row>
    <row r="464" spans="1:44" s="7" customFormat="1" x14ac:dyDescent="0.25">
      <c r="A464" s="7">
        <v>10073413</v>
      </c>
      <c r="B464" s="8" t="s">
        <v>487</v>
      </c>
      <c r="C464" s="8" t="s">
        <v>680</v>
      </c>
      <c r="D464" s="8" t="s">
        <v>717</v>
      </c>
      <c r="E464" s="8" t="s">
        <v>737</v>
      </c>
      <c r="F464" s="8" t="s">
        <v>1406</v>
      </c>
      <c r="G464" s="8" t="s">
        <v>765</v>
      </c>
      <c r="H464" s="9">
        <v>14</v>
      </c>
      <c r="I464" s="8" t="s">
        <v>654</v>
      </c>
      <c r="J464" s="8" t="s">
        <v>1235</v>
      </c>
      <c r="K464" s="8" t="s">
        <v>16</v>
      </c>
      <c r="L464" s="8" t="s">
        <v>17</v>
      </c>
      <c r="M464" s="10" t="s">
        <v>680</v>
      </c>
      <c r="N464" s="10" t="s">
        <v>717</v>
      </c>
      <c r="O464" s="10" t="s">
        <v>654</v>
      </c>
      <c r="P464" s="1"/>
      <c r="Q464" s="11" t="b">
        <f>O464=P464</f>
        <v>0</v>
      </c>
      <c r="R464" s="30">
        <v>30041140</v>
      </c>
      <c r="S464" s="1"/>
      <c r="T464" s="11" t="b">
        <f>R464=S464</f>
        <v>0</v>
      </c>
      <c r="U464" s="10" t="s">
        <v>16</v>
      </c>
      <c r="V464" s="1"/>
      <c r="W464" s="11" t="b">
        <f>U464=V464</f>
        <v>0</v>
      </c>
      <c r="X464" s="13" t="s">
        <v>15</v>
      </c>
      <c r="Y464" s="1"/>
      <c r="Z464" s="1"/>
      <c r="AA464" s="10">
        <v>22002830</v>
      </c>
      <c r="AB464" s="10" t="s">
        <v>1409</v>
      </c>
      <c r="AD464" s="11" t="b">
        <f>AB464=AC464</f>
        <v>0</v>
      </c>
      <c r="AE464" s="10" t="s">
        <v>765</v>
      </c>
      <c r="AF464" s="1"/>
      <c r="AG464" s="11" t="b">
        <f>AE464=AF464</f>
        <v>0</v>
      </c>
      <c r="AH464" s="1">
        <v>14</v>
      </c>
      <c r="AI464" s="1">
        <v>8.59</v>
      </c>
      <c r="AJ464" s="16">
        <f>AI464*220/30*30.4375</f>
        <v>1917.3595833333334</v>
      </c>
      <c r="AK464" s="18">
        <v>1917.36</v>
      </c>
      <c r="AL464" s="71" t="s">
        <v>654</v>
      </c>
      <c r="AM464" s="19" t="b">
        <f>AL464=O464</f>
        <v>1</v>
      </c>
      <c r="AN464" s="7">
        <f>VLOOKUP(A464,'base ZITRHR129'!$G$1:$H$628,2,0)</f>
        <v>30041140</v>
      </c>
      <c r="AO464" s="7" t="b">
        <f>AN464=R464</f>
        <v>1</v>
      </c>
      <c r="AP464" s="7">
        <f>VLOOKUP(A464,'base ZITRHR129'!G168:W794,17,0)</f>
        <v>1917.36</v>
      </c>
      <c r="AQ464" s="7" t="b">
        <f>AP464=AK464</f>
        <v>1</v>
      </c>
      <c r="AR464" s="78"/>
    </row>
    <row r="465" spans="1:44" s="7" customFormat="1" x14ac:dyDescent="0.25">
      <c r="A465" s="7">
        <v>10073450</v>
      </c>
      <c r="B465" s="8" t="s">
        <v>488</v>
      </c>
      <c r="C465" s="8" t="s">
        <v>683</v>
      </c>
      <c r="D465" s="8" t="s">
        <v>717</v>
      </c>
      <c r="E465" s="8" t="s">
        <v>722</v>
      </c>
      <c r="F465" s="8" t="s">
        <v>1406</v>
      </c>
      <c r="G465" s="8" t="s">
        <v>753</v>
      </c>
      <c r="H465" s="9">
        <v>19</v>
      </c>
      <c r="I465" s="8" t="s">
        <v>656</v>
      </c>
      <c r="J465" s="8" t="s">
        <v>1236</v>
      </c>
      <c r="K465" s="8" t="s">
        <v>6</v>
      </c>
      <c r="L465" s="8" t="s">
        <v>17</v>
      </c>
      <c r="M465" s="10" t="s">
        <v>683</v>
      </c>
      <c r="N465" s="10" t="s">
        <v>717</v>
      </c>
      <c r="O465" s="10" t="s">
        <v>656</v>
      </c>
      <c r="P465" s="1"/>
      <c r="Q465" s="11" t="b">
        <f>O465=P465</f>
        <v>0</v>
      </c>
      <c r="R465" s="30">
        <v>30041141</v>
      </c>
      <c r="S465" s="1"/>
      <c r="T465" s="11" t="b">
        <f>R465=S465</f>
        <v>0</v>
      </c>
      <c r="U465" s="10" t="s">
        <v>6</v>
      </c>
      <c r="V465" s="1"/>
      <c r="W465" s="11" t="b">
        <f>U465=V465</f>
        <v>0</v>
      </c>
      <c r="X465" s="13" t="s">
        <v>15</v>
      </c>
      <c r="Y465" s="1"/>
      <c r="Z465" s="1"/>
      <c r="AA465" s="10">
        <v>22002695</v>
      </c>
      <c r="AB465" s="10" t="s">
        <v>1409</v>
      </c>
      <c r="AD465" s="11" t="b">
        <f>AB465=AC465</f>
        <v>0</v>
      </c>
      <c r="AE465" s="10" t="s">
        <v>753</v>
      </c>
      <c r="AF465" s="1"/>
      <c r="AG465" s="11" t="b">
        <f>AE465=AF465</f>
        <v>0</v>
      </c>
      <c r="AH465" s="1">
        <v>19</v>
      </c>
      <c r="AI465" s="1">
        <v>13.42</v>
      </c>
      <c r="AJ465" s="16">
        <f>AI465*220/30*30.4375</f>
        <v>2995.4558333333334</v>
      </c>
      <c r="AK465" s="18">
        <v>2995.46</v>
      </c>
      <c r="AL465" s="71" t="s">
        <v>656</v>
      </c>
      <c r="AM465" s="19" t="b">
        <f>AL465=O465</f>
        <v>1</v>
      </c>
      <c r="AN465" s="7">
        <f>VLOOKUP(A465,'base ZITRHR129'!$G$1:$H$628,2,0)</f>
        <v>30041141</v>
      </c>
      <c r="AO465" s="7" t="b">
        <f>AN465=R465</f>
        <v>1</v>
      </c>
      <c r="AP465" s="7">
        <f>VLOOKUP(A465,'base ZITRHR129'!G167:W793,17,0)</f>
        <v>2995.46</v>
      </c>
      <c r="AQ465" s="7" t="b">
        <f>AP465=AK465</f>
        <v>1</v>
      </c>
      <c r="AR465" s="78"/>
    </row>
    <row r="466" spans="1:44" s="7" customFormat="1" x14ac:dyDescent="0.25">
      <c r="A466" s="7">
        <v>10073633</v>
      </c>
      <c r="B466" s="8" t="s">
        <v>489</v>
      </c>
      <c r="C466" s="8" t="s">
        <v>686</v>
      </c>
      <c r="D466" s="8" t="s">
        <v>717</v>
      </c>
      <c r="E466" s="8" t="s">
        <v>739</v>
      </c>
      <c r="F466" s="8" t="s">
        <v>1406</v>
      </c>
      <c r="G466" s="8" t="s">
        <v>766</v>
      </c>
      <c r="H466" s="9">
        <v>14</v>
      </c>
      <c r="I466" s="8" t="s">
        <v>659</v>
      </c>
      <c r="J466" s="8" t="s">
        <v>1237</v>
      </c>
      <c r="K466" s="8" t="s">
        <v>6</v>
      </c>
      <c r="L466" s="8" t="s">
        <v>17</v>
      </c>
      <c r="M466" s="10" t="s">
        <v>686</v>
      </c>
      <c r="N466" s="10" t="s">
        <v>717</v>
      </c>
      <c r="O466" s="10" t="s">
        <v>659</v>
      </c>
      <c r="P466" s="1"/>
      <c r="Q466" s="11" t="b">
        <f>O466=P466</f>
        <v>0</v>
      </c>
      <c r="R466" s="30">
        <v>30041142</v>
      </c>
      <c r="S466" s="1"/>
      <c r="T466" s="11" t="b">
        <f>R466=S466</f>
        <v>0</v>
      </c>
      <c r="U466" s="10" t="s">
        <v>6</v>
      </c>
      <c r="V466" s="1"/>
      <c r="W466" s="11" t="b">
        <f>U466=V466</f>
        <v>0</v>
      </c>
      <c r="X466" s="13" t="s">
        <v>15</v>
      </c>
      <c r="Y466" s="1"/>
      <c r="Z466" s="1"/>
      <c r="AA466" s="10">
        <v>22001415</v>
      </c>
      <c r="AB466" s="10" t="s">
        <v>1409</v>
      </c>
      <c r="AD466" s="11" t="b">
        <f>AB466=AC466</f>
        <v>0</v>
      </c>
      <c r="AE466" s="10" t="s">
        <v>766</v>
      </c>
      <c r="AF466" s="1"/>
      <c r="AG466" s="11" t="b">
        <f>AE466=AF466</f>
        <v>0</v>
      </c>
      <c r="AH466" s="1">
        <v>14</v>
      </c>
      <c r="AI466" s="1">
        <v>8.26</v>
      </c>
      <c r="AJ466" s="16">
        <f>AI466*220/30*30.4375</f>
        <v>1843.7008333333335</v>
      </c>
      <c r="AK466" s="18">
        <v>1843.7</v>
      </c>
      <c r="AL466" s="71" t="s">
        <v>659</v>
      </c>
      <c r="AM466" s="19" t="b">
        <f>AL466=O466</f>
        <v>1</v>
      </c>
      <c r="AN466" s="7">
        <f>VLOOKUP(A466,'base ZITRHR129'!$G$1:$H$628,2,0)</f>
        <v>30041142</v>
      </c>
      <c r="AO466" s="7" t="b">
        <f>AN466=R466</f>
        <v>1</v>
      </c>
      <c r="AP466" s="7">
        <f>VLOOKUP(A466,'base ZITRHR129'!G166:W792,17,0)</f>
        <v>1843.7</v>
      </c>
      <c r="AQ466" s="7" t="b">
        <f>AP466=AK466</f>
        <v>1</v>
      </c>
      <c r="AR466" s="78"/>
    </row>
    <row r="467" spans="1:44" s="7" customFormat="1" x14ac:dyDescent="0.25">
      <c r="A467" s="7">
        <v>10073767</v>
      </c>
      <c r="B467" s="8" t="s">
        <v>490</v>
      </c>
      <c r="C467" s="8" t="s">
        <v>686</v>
      </c>
      <c r="D467" s="8" t="s">
        <v>717</v>
      </c>
      <c r="E467" s="8" t="s">
        <v>739</v>
      </c>
      <c r="F467" s="8" t="s">
        <v>1406</v>
      </c>
      <c r="G467" s="8" t="s">
        <v>766</v>
      </c>
      <c r="H467" s="9">
        <v>14</v>
      </c>
      <c r="I467" s="8" t="s">
        <v>659</v>
      </c>
      <c r="J467" s="8" t="s">
        <v>1238</v>
      </c>
      <c r="K467" s="8" t="s">
        <v>6</v>
      </c>
      <c r="L467" s="8" t="s">
        <v>17</v>
      </c>
      <c r="M467" s="10" t="s">
        <v>686</v>
      </c>
      <c r="N467" s="10" t="s">
        <v>717</v>
      </c>
      <c r="O467" s="10" t="s">
        <v>659</v>
      </c>
      <c r="P467" s="1"/>
      <c r="Q467" s="11" t="b">
        <f>O467=P467</f>
        <v>0</v>
      </c>
      <c r="R467" s="30">
        <v>30041143</v>
      </c>
      <c r="S467" s="1"/>
      <c r="T467" s="11" t="b">
        <f>R467=S467</f>
        <v>0</v>
      </c>
      <c r="U467" s="10" t="s">
        <v>6</v>
      </c>
      <c r="V467" s="1"/>
      <c r="W467" s="11" t="b">
        <f>U467=V467</f>
        <v>0</v>
      </c>
      <c r="X467" s="13" t="s">
        <v>15</v>
      </c>
      <c r="Y467" s="1"/>
      <c r="Z467" s="1"/>
      <c r="AA467" s="10">
        <v>22001415</v>
      </c>
      <c r="AB467" s="10" t="s">
        <v>1409</v>
      </c>
      <c r="AD467" s="11" t="b">
        <f>AB467=AC467</f>
        <v>0</v>
      </c>
      <c r="AE467" s="10" t="s">
        <v>766</v>
      </c>
      <c r="AF467" s="1"/>
      <c r="AG467" s="11" t="b">
        <f>AE467=AF467</f>
        <v>0</v>
      </c>
      <c r="AH467" s="1">
        <v>14</v>
      </c>
      <c r="AI467" s="1">
        <v>7.37</v>
      </c>
      <c r="AJ467" s="16">
        <f>AI467*220/30*30.4375</f>
        <v>1645.0454166666666</v>
      </c>
      <c r="AK467" s="18">
        <v>1645.05</v>
      </c>
      <c r="AL467" s="71" t="s">
        <v>659</v>
      </c>
      <c r="AM467" s="19" t="b">
        <f>AL467=O467</f>
        <v>1</v>
      </c>
      <c r="AN467" s="7">
        <f>VLOOKUP(A467,'base ZITRHR129'!$G$1:$H$628,2,0)</f>
        <v>30041143</v>
      </c>
      <c r="AO467" s="7" t="b">
        <f>AN467=R467</f>
        <v>1</v>
      </c>
      <c r="AP467" s="7">
        <f>VLOOKUP(A467,'base ZITRHR129'!G165:W791,17,0)</f>
        <v>1645.05</v>
      </c>
      <c r="AQ467" s="7" t="b">
        <f>AP467=AK467</f>
        <v>1</v>
      </c>
      <c r="AR467" s="78"/>
    </row>
    <row r="468" spans="1:44" s="7" customFormat="1" x14ac:dyDescent="0.25">
      <c r="A468" s="7">
        <v>10074095</v>
      </c>
      <c r="B468" s="8" t="s">
        <v>491</v>
      </c>
      <c r="C468" s="8" t="s">
        <v>715</v>
      </c>
      <c r="D468" s="8" t="s">
        <v>717</v>
      </c>
      <c r="E468" s="8" t="s">
        <v>747</v>
      </c>
      <c r="F468" s="8" t="s">
        <v>1406</v>
      </c>
      <c r="G468" s="8" t="s">
        <v>773</v>
      </c>
      <c r="H468" s="9">
        <v>17</v>
      </c>
      <c r="I468" s="8" t="s">
        <v>678</v>
      </c>
      <c r="J468" s="8" t="s">
        <v>1239</v>
      </c>
      <c r="K468" s="8" t="s">
        <v>6</v>
      </c>
      <c r="L468" s="8" t="s">
        <v>17</v>
      </c>
      <c r="M468" s="10" t="s">
        <v>715</v>
      </c>
      <c r="N468" s="10" t="s">
        <v>717</v>
      </c>
      <c r="O468" s="10" t="s">
        <v>678</v>
      </c>
      <c r="P468" s="1"/>
      <c r="Q468" s="11" t="b">
        <f>O468=P468</f>
        <v>0</v>
      </c>
      <c r="R468" s="30">
        <v>30041144</v>
      </c>
      <c r="S468" s="1"/>
      <c r="T468" s="11" t="b">
        <f>R468=S468</f>
        <v>0</v>
      </c>
      <c r="U468" s="10" t="s">
        <v>6</v>
      </c>
      <c r="V468" s="1"/>
      <c r="W468" s="11" t="b">
        <f>U468=V468</f>
        <v>0</v>
      </c>
      <c r="X468" s="13" t="s">
        <v>15</v>
      </c>
      <c r="Y468" s="1"/>
      <c r="Z468" s="1"/>
      <c r="AA468" s="60">
        <v>22002438</v>
      </c>
      <c r="AB468" s="10" t="s">
        <v>1409</v>
      </c>
      <c r="AD468" s="11" t="b">
        <f>AB468=AC468</f>
        <v>0</v>
      </c>
      <c r="AE468" s="10" t="s">
        <v>773</v>
      </c>
      <c r="AF468" s="1"/>
      <c r="AG468" s="11" t="b">
        <f>AE468=AF468</f>
        <v>0</v>
      </c>
      <c r="AH468" s="1">
        <v>17</v>
      </c>
      <c r="AI468" s="1">
        <v>7.94</v>
      </c>
      <c r="AJ468" s="16">
        <f>AI468*220/30*30.4375</f>
        <v>1772.2741666666668</v>
      </c>
      <c r="AK468" s="18">
        <v>1772.27</v>
      </c>
      <c r="AL468" s="71" t="s">
        <v>678</v>
      </c>
      <c r="AM468" s="19" t="b">
        <f>AL468=O468</f>
        <v>1</v>
      </c>
      <c r="AN468" s="7">
        <f>VLOOKUP(A468,'base ZITRHR129'!$G$1:$H$628,2,0)</f>
        <v>30041144</v>
      </c>
      <c r="AO468" s="7" t="b">
        <f>AN468=R468</f>
        <v>1</v>
      </c>
      <c r="AP468" s="7">
        <f>VLOOKUP(A468,'base ZITRHR129'!G164:W790,17,0)</f>
        <v>1772.27</v>
      </c>
      <c r="AQ468" s="7" t="b">
        <f>AP468=AK468</f>
        <v>1</v>
      </c>
      <c r="AR468" s="78"/>
    </row>
    <row r="469" spans="1:44" s="7" customFormat="1" x14ac:dyDescent="0.25">
      <c r="A469" s="7">
        <v>10074232</v>
      </c>
      <c r="B469" s="8" t="s">
        <v>492</v>
      </c>
      <c r="C469" s="8" t="s">
        <v>713</v>
      </c>
      <c r="D469" s="8" t="s">
        <v>717</v>
      </c>
      <c r="E469" s="8" t="s">
        <v>739</v>
      </c>
      <c r="F469" s="8" t="s">
        <v>1406</v>
      </c>
      <c r="G469" s="8" t="s">
        <v>766</v>
      </c>
      <c r="H469" s="9">
        <v>14</v>
      </c>
      <c r="I469" s="8" t="s">
        <v>659</v>
      </c>
      <c r="J469" s="8" t="s">
        <v>1240</v>
      </c>
      <c r="K469" s="8" t="s">
        <v>6</v>
      </c>
      <c r="L469" s="8" t="s">
        <v>17</v>
      </c>
      <c r="M469" s="10" t="s">
        <v>713</v>
      </c>
      <c r="N469" s="10" t="s">
        <v>717</v>
      </c>
      <c r="O469" s="10" t="s">
        <v>659</v>
      </c>
      <c r="P469" s="1"/>
      <c r="Q469" s="11" t="b">
        <f>O469=P469</f>
        <v>0</v>
      </c>
      <c r="R469" s="30">
        <v>30041145</v>
      </c>
      <c r="S469" s="1"/>
      <c r="T469" s="11" t="b">
        <f>R469=S469</f>
        <v>0</v>
      </c>
      <c r="U469" s="10" t="s">
        <v>6</v>
      </c>
      <c r="V469" s="1"/>
      <c r="W469" s="11" t="b">
        <f>U469=V469</f>
        <v>0</v>
      </c>
      <c r="X469" s="13" t="s">
        <v>15</v>
      </c>
      <c r="Y469" s="1"/>
      <c r="Z469" s="1"/>
      <c r="AA469" s="10">
        <v>22001415</v>
      </c>
      <c r="AB469" s="10" t="s">
        <v>1409</v>
      </c>
      <c r="AD469" s="11" t="b">
        <f>AB469=AC469</f>
        <v>0</v>
      </c>
      <c r="AE469" s="10" t="s">
        <v>766</v>
      </c>
      <c r="AF469" s="1"/>
      <c r="AG469" s="11" t="b">
        <f>AE469=AF469</f>
        <v>0</v>
      </c>
      <c r="AH469" s="1">
        <v>14</v>
      </c>
      <c r="AI469" s="1">
        <v>8.26</v>
      </c>
      <c r="AJ469" s="16">
        <f>AI469*220/30*30.4375</f>
        <v>1843.7008333333335</v>
      </c>
      <c r="AK469" s="18">
        <v>1843.7</v>
      </c>
      <c r="AL469" s="71" t="s">
        <v>659</v>
      </c>
      <c r="AM469" s="19" t="b">
        <f>AL469=O469</f>
        <v>1</v>
      </c>
      <c r="AN469" s="7">
        <f>VLOOKUP(A469,'base ZITRHR129'!$G$1:$H$628,2,0)</f>
        <v>30041145</v>
      </c>
      <c r="AO469" s="7" t="b">
        <f>AN469=R469</f>
        <v>1</v>
      </c>
      <c r="AP469" s="7">
        <f>VLOOKUP(A469,'base ZITRHR129'!G163:W789,17,0)</f>
        <v>1843.7</v>
      </c>
      <c r="AQ469" s="7" t="b">
        <f>AP469=AK469</f>
        <v>1</v>
      </c>
      <c r="AR469" s="78"/>
    </row>
    <row r="470" spans="1:44" s="7" customFormat="1" x14ac:dyDescent="0.25">
      <c r="A470" s="7">
        <v>10074252</v>
      </c>
      <c r="B470" s="8" t="s">
        <v>493</v>
      </c>
      <c r="C470" s="8" t="s">
        <v>713</v>
      </c>
      <c r="D470" s="8" t="s">
        <v>717</v>
      </c>
      <c r="E470" s="8" t="s">
        <v>739</v>
      </c>
      <c r="F470" s="8" t="s">
        <v>1406</v>
      </c>
      <c r="G470" s="8" t="s">
        <v>766</v>
      </c>
      <c r="H470" s="9">
        <v>14</v>
      </c>
      <c r="I470" s="8" t="s">
        <v>659</v>
      </c>
      <c r="J470" s="8" t="s">
        <v>1241</v>
      </c>
      <c r="K470" s="8" t="s">
        <v>6</v>
      </c>
      <c r="L470" s="8" t="s">
        <v>17</v>
      </c>
      <c r="M470" s="10" t="s">
        <v>713</v>
      </c>
      <c r="N470" s="10" t="s">
        <v>717</v>
      </c>
      <c r="O470" s="10" t="s">
        <v>659</v>
      </c>
      <c r="P470" s="1"/>
      <c r="Q470" s="11" t="b">
        <f>O470=P470</f>
        <v>0</v>
      </c>
      <c r="R470" s="30">
        <v>30041146</v>
      </c>
      <c r="S470" s="1"/>
      <c r="T470" s="11" t="b">
        <f>R470=S470</f>
        <v>0</v>
      </c>
      <c r="U470" s="10" t="s">
        <v>6</v>
      </c>
      <c r="V470" s="1"/>
      <c r="W470" s="11" t="b">
        <f>U470=V470</f>
        <v>0</v>
      </c>
      <c r="X470" s="13" t="s">
        <v>15</v>
      </c>
      <c r="Y470" s="1"/>
      <c r="Z470" s="1"/>
      <c r="AA470" s="10">
        <v>22001415</v>
      </c>
      <c r="AB470" s="10" t="s">
        <v>1409</v>
      </c>
      <c r="AD470" s="11" t="b">
        <f>AB470=AC470</f>
        <v>0</v>
      </c>
      <c r="AE470" s="10" t="s">
        <v>766</v>
      </c>
      <c r="AF470" s="1"/>
      <c r="AG470" s="11" t="b">
        <f>AE470=AF470</f>
        <v>0</v>
      </c>
      <c r="AH470" s="1">
        <v>14</v>
      </c>
      <c r="AI470" s="1">
        <v>8.26</v>
      </c>
      <c r="AJ470" s="16">
        <f>AI470*220/30*30.4375</f>
        <v>1843.7008333333335</v>
      </c>
      <c r="AK470" s="18">
        <v>1843.7</v>
      </c>
      <c r="AL470" s="71" t="s">
        <v>659</v>
      </c>
      <c r="AM470" s="19" t="b">
        <f>AL470=O470</f>
        <v>1</v>
      </c>
      <c r="AN470" s="7">
        <f>VLOOKUP(A470,'base ZITRHR129'!$G$1:$H$628,2,0)</f>
        <v>30041146</v>
      </c>
      <c r="AO470" s="7" t="b">
        <f>AN470=R470</f>
        <v>1</v>
      </c>
      <c r="AP470" s="7">
        <f>VLOOKUP(A470,'base ZITRHR129'!G162:W788,17,0)</f>
        <v>1843.7</v>
      </c>
      <c r="AQ470" s="7" t="b">
        <f>AP470=AK470</f>
        <v>1</v>
      </c>
      <c r="AR470" s="78"/>
    </row>
    <row r="471" spans="1:44" s="7" customFormat="1" x14ac:dyDescent="0.25">
      <c r="A471" s="7">
        <v>10074345</v>
      </c>
      <c r="B471" s="8" t="s">
        <v>494</v>
      </c>
      <c r="C471" s="8" t="s">
        <v>695</v>
      </c>
      <c r="D471" s="8" t="s">
        <v>717</v>
      </c>
      <c r="E471" s="8" t="s">
        <v>737</v>
      </c>
      <c r="F471" s="8" t="s">
        <v>1406</v>
      </c>
      <c r="G471" s="8" t="s">
        <v>765</v>
      </c>
      <c r="H471" s="9">
        <v>14</v>
      </c>
      <c r="I471" s="8" t="s">
        <v>660</v>
      </c>
      <c r="J471" s="8" t="s">
        <v>1242</v>
      </c>
      <c r="K471" s="8" t="s">
        <v>16</v>
      </c>
      <c r="L471" s="8" t="s">
        <v>17</v>
      </c>
      <c r="M471" s="10" t="s">
        <v>695</v>
      </c>
      <c r="N471" s="10" t="s">
        <v>717</v>
      </c>
      <c r="O471" s="10" t="s">
        <v>660</v>
      </c>
      <c r="P471" s="1"/>
      <c r="Q471" s="11" t="b">
        <f>O471=P471</f>
        <v>0</v>
      </c>
      <c r="R471" s="30">
        <v>30041147</v>
      </c>
      <c r="S471" s="1"/>
      <c r="T471" s="11" t="b">
        <f>R471=S471</f>
        <v>0</v>
      </c>
      <c r="U471" s="10" t="s">
        <v>16</v>
      </c>
      <c r="V471" s="1"/>
      <c r="W471" s="11" t="b">
        <f>U471=V471</f>
        <v>0</v>
      </c>
      <c r="X471" s="13" t="s">
        <v>15</v>
      </c>
      <c r="Y471" s="1"/>
      <c r="Z471" s="1"/>
      <c r="AA471" s="10">
        <v>22002830</v>
      </c>
      <c r="AB471" s="10" t="s">
        <v>1409</v>
      </c>
      <c r="AD471" s="11" t="b">
        <f>AB471=AC471</f>
        <v>0</v>
      </c>
      <c r="AE471" s="10" t="s">
        <v>765</v>
      </c>
      <c r="AF471" s="1"/>
      <c r="AG471" s="11" t="b">
        <f>AE471=AF471</f>
        <v>0</v>
      </c>
      <c r="AH471" s="1">
        <v>14</v>
      </c>
      <c r="AI471" s="1">
        <v>8.59</v>
      </c>
      <c r="AJ471" s="16">
        <f>AI471*220/30*30.4375</f>
        <v>1917.3595833333334</v>
      </c>
      <c r="AK471" s="18">
        <v>1917.36</v>
      </c>
      <c r="AL471" s="71" t="s">
        <v>660</v>
      </c>
      <c r="AM471" s="19" t="b">
        <f>AL471=O471</f>
        <v>1</v>
      </c>
      <c r="AN471" s="7">
        <f>VLOOKUP(A471,'base ZITRHR129'!$G$1:$H$628,2,0)</f>
        <v>30041147</v>
      </c>
      <c r="AO471" s="7" t="b">
        <f>AN471=R471</f>
        <v>1</v>
      </c>
      <c r="AP471" s="7">
        <f>VLOOKUP(A471,'base ZITRHR129'!G161:W787,17,0)</f>
        <v>1917.36</v>
      </c>
      <c r="AQ471" s="7" t="b">
        <f>AP471=AK471</f>
        <v>1</v>
      </c>
      <c r="AR471" s="78"/>
    </row>
    <row r="472" spans="1:44" s="7" customFormat="1" x14ac:dyDescent="0.25">
      <c r="A472" s="7">
        <v>10074347</v>
      </c>
      <c r="B472" s="8" t="s">
        <v>495</v>
      </c>
      <c r="C472" s="8" t="s">
        <v>681</v>
      </c>
      <c r="D472" s="8" t="s">
        <v>717</v>
      </c>
      <c r="E472" s="8" t="s">
        <v>728</v>
      </c>
      <c r="F472" s="8" t="s">
        <v>1406</v>
      </c>
      <c r="G472" s="8" t="s">
        <v>757</v>
      </c>
      <c r="H472" s="9">
        <v>13</v>
      </c>
      <c r="I472" s="8" t="s">
        <v>653</v>
      </c>
      <c r="J472" s="8" t="s">
        <v>1243</v>
      </c>
      <c r="K472" s="8" t="s">
        <v>16</v>
      </c>
      <c r="L472" s="8" t="s">
        <v>17</v>
      </c>
      <c r="M472" s="10" t="s">
        <v>681</v>
      </c>
      <c r="N472" s="10" t="s">
        <v>717</v>
      </c>
      <c r="O472" s="10" t="s">
        <v>653</v>
      </c>
      <c r="P472" s="1"/>
      <c r="Q472" s="11" t="b">
        <f>O472=P472</f>
        <v>0</v>
      </c>
      <c r="R472" s="30">
        <v>30041148</v>
      </c>
      <c r="S472" s="1"/>
      <c r="T472" s="11" t="b">
        <f>R472=S472</f>
        <v>0</v>
      </c>
      <c r="U472" s="10" t="s">
        <v>16</v>
      </c>
      <c r="V472" s="1"/>
      <c r="W472" s="11" t="b">
        <f>U472=V472</f>
        <v>0</v>
      </c>
      <c r="X472" s="13" t="s">
        <v>15</v>
      </c>
      <c r="Y472" s="1"/>
      <c r="Z472" s="1"/>
      <c r="AA472" s="60">
        <v>22000878</v>
      </c>
      <c r="AB472" s="10" t="s">
        <v>1409</v>
      </c>
      <c r="AD472" s="11" t="b">
        <f>AB472=AC472</f>
        <v>0</v>
      </c>
      <c r="AE472" s="10" t="s">
        <v>757</v>
      </c>
      <c r="AF472" s="1"/>
      <c r="AG472" s="11" t="b">
        <f>AE472=AF472</f>
        <v>0</v>
      </c>
      <c r="AH472" s="1">
        <v>13</v>
      </c>
      <c r="AI472" s="1">
        <v>7.37</v>
      </c>
      <c r="AJ472" s="16">
        <f>AI472*220/30*30.4375</f>
        <v>1645.0454166666666</v>
      </c>
      <c r="AK472" s="18">
        <v>1645.05</v>
      </c>
      <c r="AL472" s="71" t="s">
        <v>653</v>
      </c>
      <c r="AM472" s="19" t="b">
        <f>AL472=O472</f>
        <v>1</v>
      </c>
      <c r="AN472" s="7">
        <f>VLOOKUP(A472,'base ZITRHR129'!$G$1:$H$628,2,0)</f>
        <v>30041148</v>
      </c>
      <c r="AO472" s="7" t="b">
        <f>AN472=R472</f>
        <v>1</v>
      </c>
      <c r="AP472" s="7">
        <f>VLOOKUP(A472,'base ZITRHR129'!G160:W786,17,0)</f>
        <v>1645.05</v>
      </c>
      <c r="AQ472" s="7" t="b">
        <f>AP472=AK472</f>
        <v>1</v>
      </c>
      <c r="AR472" s="78"/>
    </row>
    <row r="473" spans="1:44" s="7" customFormat="1" x14ac:dyDescent="0.25">
      <c r="A473" s="7">
        <v>10074522</v>
      </c>
      <c r="B473" s="8" t="s">
        <v>496</v>
      </c>
      <c r="C473" s="8" t="s">
        <v>695</v>
      </c>
      <c r="D473" s="8" t="s">
        <v>717</v>
      </c>
      <c r="E473" s="8" t="s">
        <v>737</v>
      </c>
      <c r="F473" s="8" t="s">
        <v>1406</v>
      </c>
      <c r="G473" s="8" t="s">
        <v>765</v>
      </c>
      <c r="H473" s="9">
        <v>14</v>
      </c>
      <c r="I473" s="8" t="s">
        <v>660</v>
      </c>
      <c r="J473" s="8" t="s">
        <v>1244</v>
      </c>
      <c r="K473" s="8" t="s">
        <v>16</v>
      </c>
      <c r="L473" s="8" t="s">
        <v>17</v>
      </c>
      <c r="M473" s="10" t="s">
        <v>695</v>
      </c>
      <c r="N473" s="10" t="s">
        <v>717</v>
      </c>
      <c r="O473" s="10" t="s">
        <v>660</v>
      </c>
      <c r="P473" s="1"/>
      <c r="Q473" s="11" t="b">
        <f>O473=P473</f>
        <v>0</v>
      </c>
      <c r="R473" s="30">
        <v>30041149</v>
      </c>
      <c r="S473" s="1"/>
      <c r="T473" s="11" t="b">
        <f>R473=S473</f>
        <v>0</v>
      </c>
      <c r="U473" s="10" t="s">
        <v>16</v>
      </c>
      <c r="V473" s="1"/>
      <c r="W473" s="11" t="b">
        <f>U473=V473</f>
        <v>0</v>
      </c>
      <c r="X473" s="13" t="s">
        <v>15</v>
      </c>
      <c r="Y473" s="1"/>
      <c r="Z473" s="1"/>
      <c r="AA473" s="10">
        <v>22002830</v>
      </c>
      <c r="AB473" s="10" t="s">
        <v>1409</v>
      </c>
      <c r="AD473" s="11" t="b">
        <f>AB473=AC473</f>
        <v>0</v>
      </c>
      <c r="AE473" s="10" t="s">
        <v>765</v>
      </c>
      <c r="AF473" s="1"/>
      <c r="AG473" s="11" t="b">
        <f>AE473=AF473</f>
        <v>0</v>
      </c>
      <c r="AH473" s="1">
        <v>14</v>
      </c>
      <c r="AI473" s="1">
        <v>8.59</v>
      </c>
      <c r="AJ473" s="16">
        <f>AI473*220/30*30.4375</f>
        <v>1917.3595833333334</v>
      </c>
      <c r="AK473" s="18">
        <v>1917.36</v>
      </c>
      <c r="AL473" s="71" t="s">
        <v>660</v>
      </c>
      <c r="AM473" s="19" t="b">
        <f>AL473=O473</f>
        <v>1</v>
      </c>
      <c r="AN473" s="7">
        <f>VLOOKUP(A473,'base ZITRHR129'!$G$1:$H$628,2,0)</f>
        <v>30041149</v>
      </c>
      <c r="AO473" s="7" t="b">
        <f>AN473=R473</f>
        <v>1</v>
      </c>
      <c r="AP473" s="7">
        <f>VLOOKUP(A473,'base ZITRHR129'!G159:W785,17,0)</f>
        <v>1917.36</v>
      </c>
      <c r="AQ473" s="7" t="b">
        <f>AP473=AK473</f>
        <v>1</v>
      </c>
      <c r="AR473" s="78"/>
    </row>
    <row r="474" spans="1:44" s="7" customFormat="1" x14ac:dyDescent="0.25">
      <c r="A474" s="7">
        <v>10074570</v>
      </c>
      <c r="B474" s="8" t="s">
        <v>497</v>
      </c>
      <c r="C474" s="8" t="s">
        <v>693</v>
      </c>
      <c r="D474" s="8" t="s">
        <v>717</v>
      </c>
      <c r="E474" s="8" t="s">
        <v>728</v>
      </c>
      <c r="F474" s="8" t="s">
        <v>1406</v>
      </c>
      <c r="G474" s="8" t="s">
        <v>757</v>
      </c>
      <c r="H474" s="9">
        <v>13</v>
      </c>
      <c r="I474" s="8" t="s">
        <v>666</v>
      </c>
      <c r="J474" s="8" t="s">
        <v>1245</v>
      </c>
      <c r="K474" s="8" t="s">
        <v>16</v>
      </c>
      <c r="L474" s="8" t="s">
        <v>17</v>
      </c>
      <c r="M474" s="10" t="s">
        <v>693</v>
      </c>
      <c r="N474" s="10" t="s">
        <v>717</v>
      </c>
      <c r="O474" s="10" t="s">
        <v>666</v>
      </c>
      <c r="P474" s="1"/>
      <c r="Q474" s="11" t="b">
        <f>O474=P474</f>
        <v>0</v>
      </c>
      <c r="R474" s="30">
        <v>30041150</v>
      </c>
      <c r="S474" s="1"/>
      <c r="T474" s="11" t="b">
        <f>R474=S474</f>
        <v>0</v>
      </c>
      <c r="U474" s="10" t="s">
        <v>16</v>
      </c>
      <c r="V474" s="1"/>
      <c r="W474" s="11" t="b">
        <f>U474=V474</f>
        <v>0</v>
      </c>
      <c r="X474" s="13" t="s">
        <v>15</v>
      </c>
      <c r="Y474" s="1"/>
      <c r="Z474" s="1"/>
      <c r="AA474" s="60">
        <v>22000878</v>
      </c>
      <c r="AB474" s="10" t="s">
        <v>1409</v>
      </c>
      <c r="AD474" s="11" t="b">
        <f>AB474=AC474</f>
        <v>0</v>
      </c>
      <c r="AE474" s="10" t="s">
        <v>757</v>
      </c>
      <c r="AF474" s="1"/>
      <c r="AG474" s="11" t="b">
        <f>AE474=AF474</f>
        <v>0</v>
      </c>
      <c r="AH474" s="1">
        <v>13</v>
      </c>
      <c r="AI474" s="1">
        <v>7.37</v>
      </c>
      <c r="AJ474" s="16">
        <f>AI474*220/30*30.4375</f>
        <v>1645.0454166666666</v>
      </c>
      <c r="AK474" s="18">
        <v>1645.05</v>
      </c>
      <c r="AL474" s="71" t="s">
        <v>666</v>
      </c>
      <c r="AM474" s="19" t="b">
        <f>AL474=O474</f>
        <v>1</v>
      </c>
      <c r="AN474" s="7">
        <f>VLOOKUP(A474,'base ZITRHR129'!$G$1:$H$628,2,0)</f>
        <v>30041150</v>
      </c>
      <c r="AO474" s="7" t="b">
        <f>AN474=R474</f>
        <v>1</v>
      </c>
      <c r="AP474" s="7">
        <f>VLOOKUP(A474,'base ZITRHR129'!G158:W784,17,0)</f>
        <v>1645.05</v>
      </c>
      <c r="AQ474" s="7" t="b">
        <f>AP474=AK474</f>
        <v>1</v>
      </c>
      <c r="AR474" s="78"/>
    </row>
    <row r="475" spans="1:44" s="7" customFormat="1" x14ac:dyDescent="0.25">
      <c r="A475" s="7">
        <v>10074571</v>
      </c>
      <c r="B475" s="8" t="s">
        <v>498</v>
      </c>
      <c r="C475" s="8" t="s">
        <v>710</v>
      </c>
      <c r="D475" s="8" t="s">
        <v>717</v>
      </c>
      <c r="E475" s="8" t="s">
        <v>737</v>
      </c>
      <c r="F475" s="8" t="s">
        <v>1406</v>
      </c>
      <c r="G475" s="8" t="s">
        <v>765</v>
      </c>
      <c r="H475" s="9">
        <v>14</v>
      </c>
      <c r="I475" s="8" t="s">
        <v>674</v>
      </c>
      <c r="J475" s="8" t="s">
        <v>1246</v>
      </c>
      <c r="K475" s="8" t="s">
        <v>16</v>
      </c>
      <c r="L475" s="8" t="s">
        <v>17</v>
      </c>
      <c r="M475" s="10" t="s">
        <v>710</v>
      </c>
      <c r="N475" s="10" t="s">
        <v>717</v>
      </c>
      <c r="O475" s="10" t="s">
        <v>674</v>
      </c>
      <c r="P475" s="1"/>
      <c r="Q475" s="11" t="b">
        <f>O475=P475</f>
        <v>0</v>
      </c>
      <c r="R475" s="30">
        <v>30041151</v>
      </c>
      <c r="S475" s="1"/>
      <c r="T475" s="11" t="b">
        <f>R475=S475</f>
        <v>0</v>
      </c>
      <c r="U475" s="10" t="s">
        <v>16</v>
      </c>
      <c r="V475" s="1"/>
      <c r="W475" s="11" t="b">
        <f>U475=V475</f>
        <v>0</v>
      </c>
      <c r="X475" s="13" t="s">
        <v>15</v>
      </c>
      <c r="Y475" s="1"/>
      <c r="Z475" s="1"/>
      <c r="AA475" s="10">
        <v>22002830</v>
      </c>
      <c r="AB475" s="10" t="s">
        <v>1409</v>
      </c>
      <c r="AD475" s="11" t="b">
        <f>AB475=AC475</f>
        <v>0</v>
      </c>
      <c r="AE475" s="10" t="s">
        <v>765</v>
      </c>
      <c r="AF475" s="1"/>
      <c r="AG475" s="11" t="b">
        <f>AE475=AF475</f>
        <v>0</v>
      </c>
      <c r="AH475" s="1">
        <v>14</v>
      </c>
      <c r="AI475" s="1">
        <v>8.59</v>
      </c>
      <c r="AJ475" s="16">
        <f>AI475*220/30*30.4375</f>
        <v>1917.3595833333334</v>
      </c>
      <c r="AK475" s="18">
        <v>1917.36</v>
      </c>
      <c r="AL475" s="71" t="s">
        <v>674</v>
      </c>
      <c r="AM475" s="19" t="b">
        <f>AL475=O475</f>
        <v>1</v>
      </c>
      <c r="AN475" s="7">
        <f>VLOOKUP(A475,'base ZITRHR129'!$G$1:$H$628,2,0)</f>
        <v>30041151</v>
      </c>
      <c r="AO475" s="7" t="b">
        <f>AN475=R475</f>
        <v>1</v>
      </c>
      <c r="AP475" s="7">
        <f>VLOOKUP(A475,'base ZITRHR129'!G157:W783,17,0)</f>
        <v>1917.36</v>
      </c>
      <c r="AQ475" s="7" t="b">
        <f>AP475=AK475</f>
        <v>1</v>
      </c>
      <c r="AR475" s="78"/>
    </row>
    <row r="476" spans="1:44" s="7" customFormat="1" x14ac:dyDescent="0.25">
      <c r="A476" s="7">
        <v>10074781</v>
      </c>
      <c r="B476" s="8" t="s">
        <v>499</v>
      </c>
      <c r="C476" s="8" t="s">
        <v>703</v>
      </c>
      <c r="D476" s="8" t="s">
        <v>717</v>
      </c>
      <c r="E476" s="8" t="s">
        <v>742</v>
      </c>
      <c r="F476" s="8" t="s">
        <v>1406</v>
      </c>
      <c r="G476" s="8" t="s">
        <v>769</v>
      </c>
      <c r="H476" s="9">
        <v>15</v>
      </c>
      <c r="I476" s="8" t="s">
        <v>668</v>
      </c>
      <c r="J476" s="8" t="s">
        <v>1247</v>
      </c>
      <c r="K476" s="8" t="s">
        <v>16</v>
      </c>
      <c r="L476" s="8" t="s">
        <v>17</v>
      </c>
      <c r="M476" s="10" t="s">
        <v>703</v>
      </c>
      <c r="N476" s="10" t="s">
        <v>717</v>
      </c>
      <c r="O476" s="10" t="s">
        <v>668</v>
      </c>
      <c r="P476" s="1"/>
      <c r="Q476" s="11" t="b">
        <f>O476=P476</f>
        <v>0</v>
      </c>
      <c r="R476" s="30">
        <v>30041152</v>
      </c>
      <c r="S476" s="1"/>
      <c r="T476" s="11" t="b">
        <f>R476=S476</f>
        <v>0</v>
      </c>
      <c r="U476" s="10" t="s">
        <v>16</v>
      </c>
      <c r="V476" s="1"/>
      <c r="W476" s="11" t="b">
        <f>U476=V476</f>
        <v>0</v>
      </c>
      <c r="X476" s="13" t="s">
        <v>15</v>
      </c>
      <c r="Y476" s="1"/>
      <c r="Z476" s="1"/>
      <c r="AA476" s="60">
        <v>22001389</v>
      </c>
      <c r="AB476" s="10" t="s">
        <v>1409</v>
      </c>
      <c r="AD476" s="11" t="b">
        <f>AB476=AC476</f>
        <v>0</v>
      </c>
      <c r="AE476" s="10" t="s">
        <v>769</v>
      </c>
      <c r="AF476" s="1"/>
      <c r="AG476" s="11" t="b">
        <f>AE476=AF476</f>
        <v>0</v>
      </c>
      <c r="AH476" s="1">
        <v>15</v>
      </c>
      <c r="AI476" s="1">
        <v>8.59</v>
      </c>
      <c r="AJ476" s="16">
        <f>AI476*220/30*30.4375</f>
        <v>1917.3595833333334</v>
      </c>
      <c r="AK476" s="18">
        <v>1917.36</v>
      </c>
      <c r="AL476" s="71" t="s">
        <v>668</v>
      </c>
      <c r="AM476" s="19" t="b">
        <f>AL476=O476</f>
        <v>1</v>
      </c>
      <c r="AN476" s="7">
        <f>VLOOKUP(A476,'base ZITRHR129'!$G$1:$H$628,2,0)</f>
        <v>30041152</v>
      </c>
      <c r="AO476" s="7" t="b">
        <f>AN476=R476</f>
        <v>1</v>
      </c>
      <c r="AP476" s="7">
        <f>VLOOKUP(A476,'base ZITRHR129'!G156:W782,17,0)</f>
        <v>1917.36</v>
      </c>
      <c r="AQ476" s="7" t="b">
        <f>AP476=AK476</f>
        <v>1</v>
      </c>
      <c r="AR476" s="78"/>
    </row>
    <row r="477" spans="1:44" s="7" customFormat="1" x14ac:dyDescent="0.25">
      <c r="A477" s="7">
        <v>10074785</v>
      </c>
      <c r="B477" s="8" t="s">
        <v>500</v>
      </c>
      <c r="C477" s="8" t="s">
        <v>686</v>
      </c>
      <c r="D477" s="8" t="s">
        <v>717</v>
      </c>
      <c r="E477" s="8" t="s">
        <v>739</v>
      </c>
      <c r="F477" s="8" t="s">
        <v>1406</v>
      </c>
      <c r="G477" s="8" t="s">
        <v>766</v>
      </c>
      <c r="H477" s="9">
        <v>14</v>
      </c>
      <c r="I477" s="8" t="s">
        <v>659</v>
      </c>
      <c r="J477" s="8" t="s">
        <v>1248</v>
      </c>
      <c r="K477" s="8" t="s">
        <v>6</v>
      </c>
      <c r="L477" s="8" t="s">
        <v>17</v>
      </c>
      <c r="M477" s="10" t="s">
        <v>686</v>
      </c>
      <c r="N477" s="10" t="s">
        <v>717</v>
      </c>
      <c r="O477" s="10" t="s">
        <v>659</v>
      </c>
      <c r="P477" s="1"/>
      <c r="Q477" s="11" t="b">
        <f>O477=P477</f>
        <v>0</v>
      </c>
      <c r="R477" s="30">
        <v>30041153</v>
      </c>
      <c r="S477" s="1"/>
      <c r="T477" s="11" t="b">
        <f>R477=S477</f>
        <v>0</v>
      </c>
      <c r="U477" s="10" t="s">
        <v>6</v>
      </c>
      <c r="V477" s="1"/>
      <c r="W477" s="11" t="b">
        <f>U477=V477</f>
        <v>0</v>
      </c>
      <c r="X477" s="13" t="s">
        <v>15</v>
      </c>
      <c r="Y477" s="1"/>
      <c r="Z477" s="1"/>
      <c r="AA477" s="10">
        <v>22001415</v>
      </c>
      <c r="AB477" s="10" t="s">
        <v>1409</v>
      </c>
      <c r="AD477" s="11" t="b">
        <f>AB477=AC477</f>
        <v>0</v>
      </c>
      <c r="AE477" s="10" t="s">
        <v>766</v>
      </c>
      <c r="AF477" s="1"/>
      <c r="AG477" s="11" t="b">
        <f>AE477=AF477</f>
        <v>0</v>
      </c>
      <c r="AH477" s="1">
        <v>14</v>
      </c>
      <c r="AI477" s="1">
        <v>8.26</v>
      </c>
      <c r="AJ477" s="16">
        <f>AI477*220/30*30.4375</f>
        <v>1843.7008333333335</v>
      </c>
      <c r="AK477" s="18">
        <v>1843.7</v>
      </c>
      <c r="AL477" s="71" t="s">
        <v>659</v>
      </c>
      <c r="AM477" s="19" t="b">
        <f>AL477=O477</f>
        <v>1</v>
      </c>
      <c r="AN477" s="7">
        <f>VLOOKUP(A477,'base ZITRHR129'!$G$1:$H$628,2,0)</f>
        <v>30041153</v>
      </c>
      <c r="AO477" s="7" t="b">
        <f>AN477=R477</f>
        <v>1</v>
      </c>
      <c r="AP477" s="7">
        <f>VLOOKUP(A477,'base ZITRHR129'!G155:W781,17,0)</f>
        <v>1843.7</v>
      </c>
      <c r="AQ477" s="7" t="b">
        <f>AP477=AK477</f>
        <v>1</v>
      </c>
      <c r="AR477" s="78"/>
    </row>
    <row r="478" spans="1:44" s="7" customFormat="1" x14ac:dyDescent="0.25">
      <c r="A478" s="7">
        <v>10074809</v>
      </c>
      <c r="B478" s="8" t="s">
        <v>501</v>
      </c>
      <c r="C478" s="8" t="s">
        <v>715</v>
      </c>
      <c r="D478" s="8" t="s">
        <v>717</v>
      </c>
      <c r="E478" s="8" t="s">
        <v>747</v>
      </c>
      <c r="F478" s="8" t="s">
        <v>1406</v>
      </c>
      <c r="G478" s="8" t="s">
        <v>773</v>
      </c>
      <c r="H478" s="9">
        <v>17</v>
      </c>
      <c r="I478" s="8" t="s">
        <v>678</v>
      </c>
      <c r="J478" s="8" t="s">
        <v>1249</v>
      </c>
      <c r="K478" s="8" t="s">
        <v>6</v>
      </c>
      <c r="L478" s="8" t="s">
        <v>17</v>
      </c>
      <c r="M478" s="10" t="s">
        <v>715</v>
      </c>
      <c r="N478" s="10" t="s">
        <v>717</v>
      </c>
      <c r="O478" s="10" t="s">
        <v>678</v>
      </c>
      <c r="P478" s="1"/>
      <c r="Q478" s="11" t="b">
        <f>O478=P478</f>
        <v>0</v>
      </c>
      <c r="R478" s="30">
        <v>30041154</v>
      </c>
      <c r="S478" s="1"/>
      <c r="T478" s="11" t="b">
        <f>R478=S478</f>
        <v>0</v>
      </c>
      <c r="U478" s="10" t="s">
        <v>6</v>
      </c>
      <c r="V478" s="1"/>
      <c r="W478" s="11" t="b">
        <f>U478=V478</f>
        <v>0</v>
      </c>
      <c r="X478" s="13" t="s">
        <v>15</v>
      </c>
      <c r="Y478" s="1"/>
      <c r="Z478" s="1"/>
      <c r="AA478" s="60">
        <v>22002438</v>
      </c>
      <c r="AB478" s="10" t="s">
        <v>1409</v>
      </c>
      <c r="AD478" s="11" t="b">
        <f>AB478=AC478</f>
        <v>0</v>
      </c>
      <c r="AE478" s="10" t="s">
        <v>773</v>
      </c>
      <c r="AF478" s="1"/>
      <c r="AG478" s="11" t="b">
        <f>AE478=AF478</f>
        <v>0</v>
      </c>
      <c r="AH478" s="1">
        <v>17</v>
      </c>
      <c r="AI478" s="1">
        <v>8.91</v>
      </c>
      <c r="AJ478" s="16">
        <f>AI478*220/30*30.4375</f>
        <v>1988.7862500000001</v>
      </c>
      <c r="AK478" s="18">
        <v>1988.79</v>
      </c>
      <c r="AL478" s="71" t="s">
        <v>678</v>
      </c>
      <c r="AM478" s="19" t="b">
        <f>AL478=O478</f>
        <v>1</v>
      </c>
      <c r="AN478" s="7">
        <f>VLOOKUP(A478,'base ZITRHR129'!$G$1:$H$628,2,0)</f>
        <v>30041154</v>
      </c>
      <c r="AO478" s="7" t="b">
        <f>AN478=R478</f>
        <v>1</v>
      </c>
      <c r="AP478" s="7">
        <f>VLOOKUP(A478,'base ZITRHR129'!G154:W780,17,0)</f>
        <v>1988.79</v>
      </c>
      <c r="AQ478" s="7" t="b">
        <f>AP478=AK478</f>
        <v>1</v>
      </c>
      <c r="AR478" s="78"/>
    </row>
    <row r="479" spans="1:44" s="7" customFormat="1" x14ac:dyDescent="0.25">
      <c r="A479" s="7">
        <v>10075003</v>
      </c>
      <c r="B479" s="8" t="s">
        <v>502</v>
      </c>
      <c r="C479" s="8" t="s">
        <v>708</v>
      </c>
      <c r="D479" s="8" t="s">
        <v>717</v>
      </c>
      <c r="E479" s="8" t="s">
        <v>737</v>
      </c>
      <c r="F479" s="8" t="s">
        <v>1406</v>
      </c>
      <c r="G479" s="8" t="s">
        <v>765</v>
      </c>
      <c r="H479" s="9">
        <v>14</v>
      </c>
      <c r="I479" s="8" t="s">
        <v>672</v>
      </c>
      <c r="J479" s="8" t="s">
        <v>1250</v>
      </c>
      <c r="K479" s="8" t="s">
        <v>16</v>
      </c>
      <c r="L479" s="8" t="s">
        <v>17</v>
      </c>
      <c r="M479" s="10" t="s">
        <v>708</v>
      </c>
      <c r="N479" s="10" t="s">
        <v>717</v>
      </c>
      <c r="O479" s="10" t="s">
        <v>672</v>
      </c>
      <c r="P479" s="1"/>
      <c r="Q479" s="11" t="b">
        <f>O479=P479</f>
        <v>0</v>
      </c>
      <c r="R479" s="30">
        <v>30041155</v>
      </c>
      <c r="S479" s="1"/>
      <c r="T479" s="11" t="b">
        <f>R479=S479</f>
        <v>0</v>
      </c>
      <c r="U479" s="10" t="s">
        <v>16</v>
      </c>
      <c r="V479" s="1"/>
      <c r="W479" s="11" t="b">
        <f>U479=V479</f>
        <v>0</v>
      </c>
      <c r="X479" s="13" t="s">
        <v>15</v>
      </c>
      <c r="Y479" s="1"/>
      <c r="Z479" s="1"/>
      <c r="AA479" s="10">
        <v>22002830</v>
      </c>
      <c r="AB479" s="10" t="s">
        <v>1409</v>
      </c>
      <c r="AD479" s="11" t="b">
        <f>AB479=AC479</f>
        <v>0</v>
      </c>
      <c r="AE479" s="10" t="s">
        <v>765</v>
      </c>
      <c r="AF479" s="1"/>
      <c r="AG479" s="11" t="b">
        <f>AE479=AF479</f>
        <v>0</v>
      </c>
      <c r="AH479" s="1">
        <v>14</v>
      </c>
      <c r="AI479" s="1">
        <v>8.59</v>
      </c>
      <c r="AJ479" s="16">
        <f>AI479*220/30*30.4375</f>
        <v>1917.3595833333334</v>
      </c>
      <c r="AK479" s="18">
        <v>1917.36</v>
      </c>
      <c r="AL479" s="71" t="s">
        <v>672</v>
      </c>
      <c r="AM479" s="19" t="b">
        <f>AL479=O479</f>
        <v>1</v>
      </c>
      <c r="AN479" s="7">
        <f>VLOOKUP(A479,'base ZITRHR129'!$G$1:$H$628,2,0)</f>
        <v>30041155</v>
      </c>
      <c r="AO479" s="7" t="b">
        <f>AN479=R479</f>
        <v>1</v>
      </c>
      <c r="AP479" s="7">
        <f>VLOOKUP(A479,'base ZITRHR129'!G153:W779,17,0)</f>
        <v>1917.36</v>
      </c>
      <c r="AQ479" s="7" t="b">
        <f>AP479=AK479</f>
        <v>1</v>
      </c>
      <c r="AR479" s="78"/>
    </row>
    <row r="480" spans="1:44" s="7" customFormat="1" x14ac:dyDescent="0.25">
      <c r="A480" s="7">
        <v>10075024</v>
      </c>
      <c r="B480" s="8" t="s">
        <v>503</v>
      </c>
      <c r="C480" s="8" t="s">
        <v>695</v>
      </c>
      <c r="D480" s="8" t="s">
        <v>717</v>
      </c>
      <c r="E480" s="8" t="s">
        <v>737</v>
      </c>
      <c r="F480" s="8" t="s">
        <v>1406</v>
      </c>
      <c r="G480" s="8" t="s">
        <v>765</v>
      </c>
      <c r="H480" s="9">
        <v>14</v>
      </c>
      <c r="I480" s="8" t="s">
        <v>660</v>
      </c>
      <c r="J480" s="8" t="s">
        <v>1251</v>
      </c>
      <c r="K480" s="8" t="s">
        <v>16</v>
      </c>
      <c r="L480" s="8" t="s">
        <v>17</v>
      </c>
      <c r="M480" s="10" t="s">
        <v>695</v>
      </c>
      <c r="N480" s="10" t="s">
        <v>717</v>
      </c>
      <c r="O480" s="10" t="s">
        <v>660</v>
      </c>
      <c r="P480" s="1"/>
      <c r="Q480" s="11" t="b">
        <f>O480=P480</f>
        <v>0</v>
      </c>
      <c r="R480" s="30">
        <v>30041156</v>
      </c>
      <c r="S480" s="1"/>
      <c r="T480" s="11" t="b">
        <f>R480=S480</f>
        <v>0</v>
      </c>
      <c r="U480" s="10" t="s">
        <v>16</v>
      </c>
      <c r="V480" s="1"/>
      <c r="W480" s="11" t="b">
        <f>U480=V480</f>
        <v>0</v>
      </c>
      <c r="X480" s="13" t="s">
        <v>15</v>
      </c>
      <c r="Y480" s="1"/>
      <c r="Z480" s="1"/>
      <c r="AA480" s="63">
        <v>22002830</v>
      </c>
      <c r="AB480" s="10" t="s">
        <v>1409</v>
      </c>
      <c r="AD480" s="11" t="b">
        <f>AB480=AC480</f>
        <v>0</v>
      </c>
      <c r="AE480" s="10" t="s">
        <v>765</v>
      </c>
      <c r="AF480" s="1"/>
      <c r="AG480" s="11" t="b">
        <f>AE480=AF480</f>
        <v>0</v>
      </c>
      <c r="AH480" s="1">
        <v>14</v>
      </c>
      <c r="AI480" s="1">
        <v>8.59</v>
      </c>
      <c r="AJ480" s="16">
        <f>AI480*220/30*30.4375</f>
        <v>1917.3595833333334</v>
      </c>
      <c r="AK480" s="18">
        <v>1917.36</v>
      </c>
      <c r="AL480" s="71" t="s">
        <v>660</v>
      </c>
      <c r="AM480" s="19" t="b">
        <f>AL480=O480</f>
        <v>1</v>
      </c>
      <c r="AN480" s="7">
        <f>VLOOKUP(A480,'base ZITRHR129'!$G$1:$H$628,2,0)</f>
        <v>30041156</v>
      </c>
      <c r="AO480" s="7" t="b">
        <f>AN480=R480</f>
        <v>1</v>
      </c>
      <c r="AP480" s="7">
        <f>VLOOKUP(A480,'base ZITRHR129'!G152:W778,17,0)</f>
        <v>1917.36</v>
      </c>
      <c r="AQ480" s="7" t="b">
        <f>AP480=AK480</f>
        <v>1</v>
      </c>
      <c r="AR480" s="78"/>
    </row>
    <row r="481" spans="1:44" s="7" customFormat="1" x14ac:dyDescent="0.25">
      <c r="A481" s="7">
        <v>10075156</v>
      </c>
      <c r="B481" s="8" t="s">
        <v>504</v>
      </c>
      <c r="C481" s="8" t="s">
        <v>689</v>
      </c>
      <c r="D481" s="8" t="s">
        <v>717</v>
      </c>
      <c r="E481" s="8" t="s">
        <v>728</v>
      </c>
      <c r="F481" s="8" t="s">
        <v>1406</v>
      </c>
      <c r="G481" s="8" t="s">
        <v>757</v>
      </c>
      <c r="H481" s="9">
        <v>13</v>
      </c>
      <c r="I481" s="8" t="s">
        <v>662</v>
      </c>
      <c r="J481" s="8" t="s">
        <v>1252</v>
      </c>
      <c r="K481" s="8" t="s">
        <v>16</v>
      </c>
      <c r="L481" s="8" t="s">
        <v>17</v>
      </c>
      <c r="M481" s="10" t="s">
        <v>689</v>
      </c>
      <c r="N481" s="10" t="s">
        <v>717</v>
      </c>
      <c r="O481" s="10" t="s">
        <v>662</v>
      </c>
      <c r="P481" s="1"/>
      <c r="Q481" s="11" t="b">
        <f>O481=P481</f>
        <v>0</v>
      </c>
      <c r="R481" s="30">
        <v>30041157</v>
      </c>
      <c r="S481" s="1"/>
      <c r="T481" s="11" t="b">
        <f>R481=S481</f>
        <v>0</v>
      </c>
      <c r="U481" s="10" t="s">
        <v>16</v>
      </c>
      <c r="V481" s="1"/>
      <c r="W481" s="11" t="b">
        <f>U481=V481</f>
        <v>0</v>
      </c>
      <c r="X481" s="13" t="s">
        <v>15</v>
      </c>
      <c r="Y481" s="1"/>
      <c r="Z481" s="1"/>
      <c r="AA481" s="60">
        <v>22000878</v>
      </c>
      <c r="AB481" s="10" t="s">
        <v>1409</v>
      </c>
      <c r="AD481" s="11" t="b">
        <f>AB481=AC481</f>
        <v>0</v>
      </c>
      <c r="AE481" s="10" t="s">
        <v>757</v>
      </c>
      <c r="AF481" s="1"/>
      <c r="AG481" s="11" t="b">
        <f>AE481=AF481</f>
        <v>0</v>
      </c>
      <c r="AH481" s="1">
        <v>13</v>
      </c>
      <c r="AI481" s="1">
        <v>7.37</v>
      </c>
      <c r="AJ481" s="16">
        <f>AI481*220/30*30.4375</f>
        <v>1645.0454166666666</v>
      </c>
      <c r="AK481" s="18">
        <v>1645.05</v>
      </c>
      <c r="AL481" s="71" t="s">
        <v>662</v>
      </c>
      <c r="AM481" s="19" t="b">
        <f>AL481=O481</f>
        <v>1</v>
      </c>
      <c r="AN481" s="7">
        <f>VLOOKUP(A481,'base ZITRHR129'!$G$1:$H$628,2,0)</f>
        <v>30041157</v>
      </c>
      <c r="AO481" s="7" t="b">
        <f>AN481=R481</f>
        <v>1</v>
      </c>
      <c r="AP481" s="7">
        <f>VLOOKUP(A481,'base ZITRHR129'!G151:W777,17,0)</f>
        <v>1645.05</v>
      </c>
      <c r="AQ481" s="7" t="b">
        <f>AP481=AK481</f>
        <v>1</v>
      </c>
      <c r="AR481" s="78"/>
    </row>
    <row r="482" spans="1:44" s="7" customFormat="1" x14ac:dyDescent="0.25">
      <c r="A482" s="7">
        <v>10075292</v>
      </c>
      <c r="B482" s="8" t="s">
        <v>505</v>
      </c>
      <c r="C482" s="8" t="s">
        <v>681</v>
      </c>
      <c r="D482" s="8" t="s">
        <v>717</v>
      </c>
      <c r="E482" s="8" t="s">
        <v>745</v>
      </c>
      <c r="F482" s="8" t="s">
        <v>1406</v>
      </c>
      <c r="G482" s="8" t="s">
        <v>772</v>
      </c>
      <c r="H482" s="9">
        <v>15</v>
      </c>
      <c r="I482" s="8" t="s">
        <v>653</v>
      </c>
      <c r="J482" s="8" t="s">
        <v>1253</v>
      </c>
      <c r="K482" s="8" t="s">
        <v>16</v>
      </c>
      <c r="L482" s="8" t="s">
        <v>17</v>
      </c>
      <c r="M482" s="10" t="s">
        <v>681</v>
      </c>
      <c r="N482" s="10" t="s">
        <v>717</v>
      </c>
      <c r="O482" s="10" t="s">
        <v>653</v>
      </c>
      <c r="P482" s="1"/>
      <c r="Q482" s="11" t="b">
        <f>O482=P482</f>
        <v>0</v>
      </c>
      <c r="R482" s="30">
        <v>30041158</v>
      </c>
      <c r="S482" s="1"/>
      <c r="T482" s="11" t="b">
        <f>R482=S482</f>
        <v>0</v>
      </c>
      <c r="U482" s="10" t="s">
        <v>16</v>
      </c>
      <c r="V482" s="1"/>
      <c r="W482" s="11" t="b">
        <f>U482=V482</f>
        <v>0</v>
      </c>
      <c r="X482" s="13" t="s">
        <v>15</v>
      </c>
      <c r="Y482" s="1"/>
      <c r="Z482" s="1"/>
      <c r="AA482" s="63">
        <v>22003020</v>
      </c>
      <c r="AB482" s="10" t="s">
        <v>1409</v>
      </c>
      <c r="AD482" s="11" t="b">
        <f>AB482=AC482</f>
        <v>0</v>
      </c>
      <c r="AE482" s="10" t="s">
        <v>772</v>
      </c>
      <c r="AF482" s="1"/>
      <c r="AG482" s="11" t="b">
        <f>AE482=AF482</f>
        <v>0</v>
      </c>
      <c r="AH482" s="1">
        <v>15</v>
      </c>
      <c r="AI482" s="1">
        <v>8.59</v>
      </c>
      <c r="AJ482" s="16">
        <f>AI482*220/30*30.4375</f>
        <v>1917.3595833333334</v>
      </c>
      <c r="AK482" s="18">
        <v>1917.36</v>
      </c>
      <c r="AL482" s="71" t="s">
        <v>653</v>
      </c>
      <c r="AM482" s="19" t="b">
        <f>AL482=O482</f>
        <v>1</v>
      </c>
      <c r="AN482" s="7">
        <f>VLOOKUP(A482,'base ZITRHR129'!$G$1:$H$628,2,0)</f>
        <v>30041158</v>
      </c>
      <c r="AO482" s="7" t="b">
        <f>AN482=R482</f>
        <v>1</v>
      </c>
      <c r="AP482" s="7">
        <f>VLOOKUP(A482,'base ZITRHR129'!G150:W776,17,0)</f>
        <v>1917.36</v>
      </c>
      <c r="AQ482" s="7" t="b">
        <f>AP482=AK482</f>
        <v>1</v>
      </c>
      <c r="AR482" s="78"/>
    </row>
    <row r="483" spans="1:44" s="7" customFormat="1" x14ac:dyDescent="0.25">
      <c r="A483" s="7">
        <v>10075411</v>
      </c>
      <c r="B483" s="8" t="s">
        <v>54</v>
      </c>
      <c r="C483" s="8" t="s">
        <v>713</v>
      </c>
      <c r="D483" s="8" t="s">
        <v>717</v>
      </c>
      <c r="E483" s="8" t="s">
        <v>739</v>
      </c>
      <c r="F483" s="8" t="s">
        <v>1406</v>
      </c>
      <c r="G483" s="8" t="s">
        <v>766</v>
      </c>
      <c r="H483" s="9">
        <v>14</v>
      </c>
      <c r="I483" s="8" t="s">
        <v>659</v>
      </c>
      <c r="J483" s="8" t="s">
        <v>1254</v>
      </c>
      <c r="K483" s="8" t="s">
        <v>6</v>
      </c>
      <c r="L483" s="8" t="s">
        <v>17</v>
      </c>
      <c r="M483" s="10" t="s">
        <v>713</v>
      </c>
      <c r="N483" s="10" t="s">
        <v>717</v>
      </c>
      <c r="O483" s="10" t="s">
        <v>659</v>
      </c>
      <c r="P483" s="1"/>
      <c r="Q483" s="11" t="b">
        <f>O483=P483</f>
        <v>0</v>
      </c>
      <c r="R483" s="30">
        <v>30041159</v>
      </c>
      <c r="S483" s="1"/>
      <c r="T483" s="11" t="b">
        <f>R483=S483</f>
        <v>0</v>
      </c>
      <c r="U483" s="10" t="s">
        <v>6</v>
      </c>
      <c r="V483" s="1"/>
      <c r="W483" s="11" t="b">
        <f>U483=V483</f>
        <v>0</v>
      </c>
      <c r="X483" s="13" t="s">
        <v>15</v>
      </c>
      <c r="Y483" s="1"/>
      <c r="Z483" s="1"/>
      <c r="AA483" s="10">
        <v>22001415</v>
      </c>
      <c r="AB483" s="10" t="s">
        <v>1409</v>
      </c>
      <c r="AD483" s="11" t="b">
        <f>AB483=AC483</f>
        <v>0</v>
      </c>
      <c r="AE483" s="10" t="s">
        <v>766</v>
      </c>
      <c r="AF483" s="1"/>
      <c r="AG483" s="11" t="b">
        <f>AE483=AF483</f>
        <v>0</v>
      </c>
      <c r="AH483" s="1">
        <v>14</v>
      </c>
      <c r="AI483" s="1">
        <v>8.26</v>
      </c>
      <c r="AJ483" s="16">
        <f>AI483*220/30*30.4375</f>
        <v>1843.7008333333335</v>
      </c>
      <c r="AK483" s="18">
        <v>1843.7</v>
      </c>
      <c r="AL483" s="71" t="s">
        <v>659</v>
      </c>
      <c r="AM483" s="19" t="b">
        <f>AL483=O483</f>
        <v>1</v>
      </c>
      <c r="AN483" s="7">
        <f>VLOOKUP(A483,'base ZITRHR129'!$G$1:$H$628,2,0)</f>
        <v>30041159</v>
      </c>
      <c r="AO483" s="7" t="b">
        <f>AN483=R483</f>
        <v>1</v>
      </c>
      <c r="AP483" s="7">
        <f>VLOOKUP(A483,'base ZITRHR129'!G149:W775,17,0)</f>
        <v>1843.7</v>
      </c>
      <c r="AQ483" s="7" t="b">
        <f>AP483=AK483</f>
        <v>1</v>
      </c>
      <c r="AR483" s="78"/>
    </row>
    <row r="484" spans="1:44" s="7" customFormat="1" x14ac:dyDescent="0.25">
      <c r="A484" s="7">
        <v>10075420</v>
      </c>
      <c r="B484" s="8" t="s">
        <v>506</v>
      </c>
      <c r="C484" s="8" t="s">
        <v>708</v>
      </c>
      <c r="D484" s="8" t="s">
        <v>717</v>
      </c>
      <c r="E484" s="8" t="s">
        <v>737</v>
      </c>
      <c r="F484" s="8" t="s">
        <v>1406</v>
      </c>
      <c r="G484" s="8" t="s">
        <v>765</v>
      </c>
      <c r="H484" s="9">
        <v>14</v>
      </c>
      <c r="I484" s="8" t="s">
        <v>672</v>
      </c>
      <c r="J484" s="8" t="s">
        <v>1255</v>
      </c>
      <c r="K484" s="8" t="s">
        <v>16</v>
      </c>
      <c r="L484" s="8" t="s">
        <v>17</v>
      </c>
      <c r="M484" s="10" t="s">
        <v>708</v>
      </c>
      <c r="N484" s="10" t="s">
        <v>717</v>
      </c>
      <c r="O484" s="10" t="s">
        <v>672</v>
      </c>
      <c r="P484" s="1"/>
      <c r="Q484" s="11" t="b">
        <f>O484=P484</f>
        <v>0</v>
      </c>
      <c r="R484" s="30">
        <v>30041160</v>
      </c>
      <c r="S484" s="1"/>
      <c r="T484" s="11" t="b">
        <f>R484=S484</f>
        <v>0</v>
      </c>
      <c r="U484" s="10" t="s">
        <v>16</v>
      </c>
      <c r="V484" s="1"/>
      <c r="W484" s="11" t="b">
        <f>U484=V484</f>
        <v>0</v>
      </c>
      <c r="X484" s="13" t="s">
        <v>15</v>
      </c>
      <c r="Y484" s="1"/>
      <c r="Z484" s="1"/>
      <c r="AA484" s="63">
        <v>22002830</v>
      </c>
      <c r="AB484" s="10" t="s">
        <v>1409</v>
      </c>
      <c r="AD484" s="11" t="b">
        <f>AB484=AC484</f>
        <v>0</v>
      </c>
      <c r="AE484" s="10" t="s">
        <v>765</v>
      </c>
      <c r="AF484" s="1"/>
      <c r="AG484" s="11" t="b">
        <f>AE484=AF484</f>
        <v>0</v>
      </c>
      <c r="AH484" s="1">
        <v>14</v>
      </c>
      <c r="AI484" s="1">
        <v>8.59</v>
      </c>
      <c r="AJ484" s="16">
        <f>AI484*220/30*30.4375</f>
        <v>1917.3595833333334</v>
      </c>
      <c r="AK484" s="18">
        <v>1917.36</v>
      </c>
      <c r="AL484" s="71" t="s">
        <v>672</v>
      </c>
      <c r="AM484" s="19" t="b">
        <f>AL484=O484</f>
        <v>1</v>
      </c>
      <c r="AN484" s="7">
        <f>VLOOKUP(A484,'base ZITRHR129'!$G$1:$H$628,2,0)</f>
        <v>30041160</v>
      </c>
      <c r="AO484" s="7" t="b">
        <f>AN484=R484</f>
        <v>1</v>
      </c>
      <c r="AP484" s="7">
        <f>VLOOKUP(A484,'base ZITRHR129'!G148:W774,17,0)</f>
        <v>1917.36</v>
      </c>
      <c r="AQ484" s="7" t="b">
        <f>AP484=AK484</f>
        <v>1</v>
      </c>
      <c r="AR484" s="78"/>
    </row>
    <row r="485" spans="1:44" s="7" customFormat="1" x14ac:dyDescent="0.25">
      <c r="A485" s="7">
        <v>10075525</v>
      </c>
      <c r="B485" s="8" t="s">
        <v>507</v>
      </c>
      <c r="C485" s="8" t="s">
        <v>695</v>
      </c>
      <c r="D485" s="8" t="s">
        <v>717</v>
      </c>
      <c r="E485" s="8" t="s">
        <v>741</v>
      </c>
      <c r="F485" s="8" t="s">
        <v>1406</v>
      </c>
      <c r="G485" s="8" t="s">
        <v>768</v>
      </c>
      <c r="H485" s="9">
        <v>16</v>
      </c>
      <c r="I485" s="8" t="s">
        <v>660</v>
      </c>
      <c r="J485" s="8" t="s">
        <v>1256</v>
      </c>
      <c r="K485" s="8" t="s">
        <v>16</v>
      </c>
      <c r="L485" s="8" t="s">
        <v>17</v>
      </c>
      <c r="M485" s="10" t="s">
        <v>695</v>
      </c>
      <c r="N485" s="10" t="s">
        <v>717</v>
      </c>
      <c r="O485" s="10" t="s">
        <v>660</v>
      </c>
      <c r="P485" s="1"/>
      <c r="Q485" s="11" t="b">
        <f>O485=P485</f>
        <v>0</v>
      </c>
      <c r="R485" s="30">
        <v>30041161</v>
      </c>
      <c r="S485" s="1"/>
      <c r="T485" s="11" t="b">
        <f>R485=S485</f>
        <v>0</v>
      </c>
      <c r="U485" s="10" t="s">
        <v>16</v>
      </c>
      <c r="V485" s="1"/>
      <c r="W485" s="11" t="b">
        <f>U485=V485</f>
        <v>0</v>
      </c>
      <c r="X485" s="13" t="s">
        <v>15</v>
      </c>
      <c r="Y485" s="1"/>
      <c r="Z485" s="1"/>
      <c r="AA485" s="10">
        <v>22002748</v>
      </c>
      <c r="AB485" s="10" t="s">
        <v>1409</v>
      </c>
      <c r="AD485" s="11" t="b">
        <f>AB485=AC485</f>
        <v>0</v>
      </c>
      <c r="AE485" s="10" t="s">
        <v>768</v>
      </c>
      <c r="AF485" s="1"/>
      <c r="AG485" s="11" t="b">
        <f>AE485=AF485</f>
        <v>0</v>
      </c>
      <c r="AH485" s="1">
        <v>16</v>
      </c>
      <c r="AI485" s="1">
        <v>8.66</v>
      </c>
      <c r="AJ485" s="16">
        <f>AI485*220/30*30.4375</f>
        <v>1932.9841666666666</v>
      </c>
      <c r="AK485" s="18">
        <v>1932.98</v>
      </c>
      <c r="AL485" s="71" t="s">
        <v>660</v>
      </c>
      <c r="AM485" s="19" t="b">
        <f>AL485=O485</f>
        <v>1</v>
      </c>
      <c r="AN485" s="7">
        <f>VLOOKUP(A485,'base ZITRHR129'!$G$1:$H$628,2,0)</f>
        <v>30041161</v>
      </c>
      <c r="AO485" s="7" t="b">
        <f>AN485=R485</f>
        <v>1</v>
      </c>
      <c r="AP485" s="7">
        <f>VLOOKUP(A485,'base ZITRHR129'!G147:W773,17,0)</f>
        <v>1932.98</v>
      </c>
      <c r="AQ485" s="7" t="b">
        <f>AP485=AK485</f>
        <v>1</v>
      </c>
      <c r="AR485" s="78"/>
    </row>
    <row r="486" spans="1:44" s="7" customFormat="1" x14ac:dyDescent="0.25">
      <c r="A486" s="7">
        <v>10075728</v>
      </c>
      <c r="B486" s="8" t="s">
        <v>508</v>
      </c>
      <c r="C486" s="8" t="s">
        <v>701</v>
      </c>
      <c r="D486" s="8" t="s">
        <v>717</v>
      </c>
      <c r="E486" s="8" t="s">
        <v>742</v>
      </c>
      <c r="F486" s="8" t="s">
        <v>1406</v>
      </c>
      <c r="G486" s="8" t="s">
        <v>769</v>
      </c>
      <c r="H486" s="9">
        <v>15</v>
      </c>
      <c r="I486" s="8" t="s">
        <v>668</v>
      </c>
      <c r="J486" s="8" t="s">
        <v>1257</v>
      </c>
      <c r="K486" s="8" t="s">
        <v>16</v>
      </c>
      <c r="L486" s="8" t="s">
        <v>17</v>
      </c>
      <c r="M486" s="10" t="s">
        <v>701</v>
      </c>
      <c r="N486" s="10" t="s">
        <v>717</v>
      </c>
      <c r="O486" s="10" t="s">
        <v>668</v>
      </c>
      <c r="P486" s="1"/>
      <c r="Q486" s="11" t="b">
        <f>O486=P486</f>
        <v>0</v>
      </c>
      <c r="R486" s="30">
        <v>30041162</v>
      </c>
      <c r="S486" s="1"/>
      <c r="T486" s="11" t="b">
        <f>R486=S486</f>
        <v>0</v>
      </c>
      <c r="U486" s="10" t="s">
        <v>16</v>
      </c>
      <c r="V486" s="1"/>
      <c r="W486" s="11" t="b">
        <f>U486=V486</f>
        <v>0</v>
      </c>
      <c r="X486" s="13" t="s">
        <v>15</v>
      </c>
      <c r="Y486" s="1"/>
      <c r="Z486" s="1"/>
      <c r="AA486" s="60">
        <v>22001389</v>
      </c>
      <c r="AB486" s="10" t="s">
        <v>1409</v>
      </c>
      <c r="AD486" s="11" t="b">
        <f>AB486=AC486</f>
        <v>0</v>
      </c>
      <c r="AE486" s="10" t="s">
        <v>769</v>
      </c>
      <c r="AF486" s="1"/>
      <c r="AG486" s="11" t="b">
        <f>AE486=AF486</f>
        <v>0</v>
      </c>
      <c r="AH486" s="1">
        <v>15</v>
      </c>
      <c r="AI486" s="1">
        <v>8.59</v>
      </c>
      <c r="AJ486" s="16">
        <f>AI486*220/30*30.4375</f>
        <v>1917.3595833333334</v>
      </c>
      <c r="AK486" s="18">
        <v>1917.36</v>
      </c>
      <c r="AL486" s="71" t="s">
        <v>668</v>
      </c>
      <c r="AM486" s="19" t="b">
        <f>AL486=O486</f>
        <v>1</v>
      </c>
      <c r="AN486" s="7">
        <f>VLOOKUP(A486,'base ZITRHR129'!$G$1:$H$628,2,0)</f>
        <v>30041162</v>
      </c>
      <c r="AO486" s="7" t="b">
        <f>AN486=R486</f>
        <v>1</v>
      </c>
      <c r="AP486" s="7">
        <f>VLOOKUP(A486,'base ZITRHR129'!G146:W772,17,0)</f>
        <v>1917.36</v>
      </c>
      <c r="AQ486" s="7" t="b">
        <f>AP486=AK486</f>
        <v>1</v>
      </c>
      <c r="AR486" s="78"/>
    </row>
    <row r="487" spans="1:44" s="7" customFormat="1" x14ac:dyDescent="0.25">
      <c r="A487" s="7">
        <v>10075771</v>
      </c>
      <c r="B487" s="8" t="s">
        <v>509</v>
      </c>
      <c r="C487" s="8" t="s">
        <v>695</v>
      </c>
      <c r="D487" s="8" t="s">
        <v>717</v>
      </c>
      <c r="E487" s="8" t="s">
        <v>737</v>
      </c>
      <c r="F487" s="8" t="s">
        <v>1406</v>
      </c>
      <c r="G487" s="8" t="s">
        <v>765</v>
      </c>
      <c r="H487" s="9">
        <v>14</v>
      </c>
      <c r="I487" s="8" t="s">
        <v>660</v>
      </c>
      <c r="J487" s="8" t="s">
        <v>1258</v>
      </c>
      <c r="K487" s="8" t="s">
        <v>16</v>
      </c>
      <c r="L487" s="8" t="s">
        <v>17</v>
      </c>
      <c r="M487" s="10" t="s">
        <v>695</v>
      </c>
      <c r="N487" s="10" t="s">
        <v>717</v>
      </c>
      <c r="O487" s="10" t="s">
        <v>660</v>
      </c>
      <c r="P487" s="1"/>
      <c r="Q487" s="11" t="b">
        <f>O487=P487</f>
        <v>0</v>
      </c>
      <c r="R487" s="30">
        <v>30041163</v>
      </c>
      <c r="S487" s="1"/>
      <c r="T487" s="11" t="b">
        <f>R487=S487</f>
        <v>0</v>
      </c>
      <c r="U487" s="10" t="s">
        <v>16</v>
      </c>
      <c r="V487" s="1"/>
      <c r="W487" s="11" t="b">
        <f>U487=V487</f>
        <v>0</v>
      </c>
      <c r="X487" s="13" t="s">
        <v>15</v>
      </c>
      <c r="Y487" s="1"/>
      <c r="Z487" s="1"/>
      <c r="AA487" s="10">
        <v>22002830</v>
      </c>
      <c r="AB487" s="10" t="s">
        <v>1409</v>
      </c>
      <c r="AD487" s="11" t="b">
        <f>AB487=AC487</f>
        <v>0</v>
      </c>
      <c r="AE487" s="10" t="s">
        <v>765</v>
      </c>
      <c r="AF487" s="1"/>
      <c r="AG487" s="11" t="b">
        <f>AE487=AF487</f>
        <v>0</v>
      </c>
      <c r="AH487" s="1">
        <v>14</v>
      </c>
      <c r="AI487" s="1">
        <v>8.58</v>
      </c>
      <c r="AJ487" s="16">
        <f>AI487*220/30*30.4375</f>
        <v>1915.1274999999998</v>
      </c>
      <c r="AK487" s="18">
        <v>1915.13</v>
      </c>
      <c r="AL487" s="71" t="s">
        <v>660</v>
      </c>
      <c r="AM487" s="19" t="b">
        <f>AL487=O487</f>
        <v>1</v>
      </c>
      <c r="AN487" s="7">
        <f>VLOOKUP(A487,'base ZITRHR129'!$G$1:$H$628,2,0)</f>
        <v>30041163</v>
      </c>
      <c r="AO487" s="7" t="b">
        <f>AN487=R487</f>
        <v>1</v>
      </c>
      <c r="AP487" s="7">
        <f>VLOOKUP(A487,'base ZITRHR129'!G145:W771,17,0)</f>
        <v>1915.13</v>
      </c>
      <c r="AQ487" s="7" t="b">
        <f>AP487=AK487</f>
        <v>1</v>
      </c>
      <c r="AR487" s="78"/>
    </row>
    <row r="488" spans="1:44" s="7" customFormat="1" x14ac:dyDescent="0.25">
      <c r="A488" s="7">
        <v>10075777</v>
      </c>
      <c r="B488" s="8" t="s">
        <v>510</v>
      </c>
      <c r="C488" s="8" t="s">
        <v>714</v>
      </c>
      <c r="D488" s="8" t="s">
        <v>717</v>
      </c>
      <c r="E488" s="8" t="s">
        <v>737</v>
      </c>
      <c r="F488" s="8" t="s">
        <v>1406</v>
      </c>
      <c r="G488" s="8" t="s">
        <v>765</v>
      </c>
      <c r="H488" s="9">
        <v>14</v>
      </c>
      <c r="I488" s="8" t="s">
        <v>677</v>
      </c>
      <c r="J488" s="8" t="s">
        <v>1259</v>
      </c>
      <c r="K488" s="8" t="s">
        <v>16</v>
      </c>
      <c r="L488" s="8" t="s">
        <v>17</v>
      </c>
      <c r="M488" s="10" t="s">
        <v>714</v>
      </c>
      <c r="N488" s="10" t="s">
        <v>717</v>
      </c>
      <c r="O488" s="10" t="s">
        <v>677</v>
      </c>
      <c r="P488" s="1"/>
      <c r="Q488" s="11" t="b">
        <f>O488=P488</f>
        <v>0</v>
      </c>
      <c r="R488" s="30">
        <v>30041164</v>
      </c>
      <c r="S488" s="1"/>
      <c r="T488" s="11" t="b">
        <f>R488=S488</f>
        <v>0</v>
      </c>
      <c r="U488" s="10" t="s">
        <v>16</v>
      </c>
      <c r="V488" s="1"/>
      <c r="W488" s="11" t="b">
        <f>U488=V488</f>
        <v>0</v>
      </c>
      <c r="X488" s="13" t="s">
        <v>15</v>
      </c>
      <c r="Y488" s="1"/>
      <c r="Z488" s="1"/>
      <c r="AA488" s="10">
        <v>22002830</v>
      </c>
      <c r="AB488" s="10" t="s">
        <v>1409</v>
      </c>
      <c r="AD488" s="11" t="b">
        <f>AB488=AC488</f>
        <v>0</v>
      </c>
      <c r="AE488" s="10" t="s">
        <v>765</v>
      </c>
      <c r="AF488" s="1"/>
      <c r="AG488" s="11" t="b">
        <f>AE488=AF488</f>
        <v>0</v>
      </c>
      <c r="AH488" s="1">
        <v>14</v>
      </c>
      <c r="AI488" s="1">
        <v>8.58</v>
      </c>
      <c r="AJ488" s="16">
        <f>AI488*220/30*30.4375</f>
        <v>1915.1274999999998</v>
      </c>
      <c r="AK488" s="18">
        <v>1915.13</v>
      </c>
      <c r="AL488" s="71" t="s">
        <v>677</v>
      </c>
      <c r="AM488" s="19" t="b">
        <f>AL488=O488</f>
        <v>1</v>
      </c>
      <c r="AN488" s="7">
        <f>VLOOKUP(A488,'base ZITRHR129'!$G$1:$H$628,2,0)</f>
        <v>30041164</v>
      </c>
      <c r="AO488" s="7" t="b">
        <f>AN488=R488</f>
        <v>1</v>
      </c>
      <c r="AP488" s="7">
        <f>VLOOKUP(A488,'base ZITRHR129'!G144:W770,17,0)</f>
        <v>1915.13</v>
      </c>
      <c r="AQ488" s="7" t="b">
        <f>AP488=AK488</f>
        <v>1</v>
      </c>
      <c r="AR488" s="78"/>
    </row>
    <row r="489" spans="1:44" s="7" customFormat="1" x14ac:dyDescent="0.25">
      <c r="A489" s="7">
        <v>10075782</v>
      </c>
      <c r="B489" s="8" t="s">
        <v>511</v>
      </c>
      <c r="C489" s="8" t="s">
        <v>714</v>
      </c>
      <c r="D489" s="8" t="s">
        <v>717</v>
      </c>
      <c r="E489" s="8" t="s">
        <v>737</v>
      </c>
      <c r="F489" s="8" t="s">
        <v>1406</v>
      </c>
      <c r="G489" s="8" t="s">
        <v>765</v>
      </c>
      <c r="H489" s="9">
        <v>14</v>
      </c>
      <c r="I489" s="8" t="s">
        <v>677</v>
      </c>
      <c r="J489" s="8" t="s">
        <v>1260</v>
      </c>
      <c r="K489" s="8" t="s">
        <v>16</v>
      </c>
      <c r="L489" s="8" t="s">
        <v>17</v>
      </c>
      <c r="M489" s="10" t="s">
        <v>714</v>
      </c>
      <c r="N489" s="10" t="s">
        <v>717</v>
      </c>
      <c r="O489" s="10" t="s">
        <v>677</v>
      </c>
      <c r="P489" s="1"/>
      <c r="Q489" s="11" t="b">
        <f>O489=P489</f>
        <v>0</v>
      </c>
      <c r="R489" s="30">
        <v>30041165</v>
      </c>
      <c r="S489" s="1"/>
      <c r="T489" s="11" t="b">
        <f>R489=S489</f>
        <v>0</v>
      </c>
      <c r="U489" s="10" t="s">
        <v>16</v>
      </c>
      <c r="V489" s="1"/>
      <c r="W489" s="11" t="b">
        <f>U489=V489</f>
        <v>0</v>
      </c>
      <c r="X489" s="13" t="s">
        <v>15</v>
      </c>
      <c r="Y489" s="1"/>
      <c r="Z489" s="1"/>
      <c r="AA489" s="59">
        <v>22002830</v>
      </c>
      <c r="AB489" s="10" t="s">
        <v>1409</v>
      </c>
      <c r="AD489" s="11" t="b">
        <f>AB489=AC489</f>
        <v>0</v>
      </c>
      <c r="AE489" s="10" t="s">
        <v>765</v>
      </c>
      <c r="AF489" s="1"/>
      <c r="AG489" s="11" t="b">
        <f>AE489=AF489</f>
        <v>0</v>
      </c>
      <c r="AH489" s="1">
        <v>14</v>
      </c>
      <c r="AI489" s="1">
        <v>8.59</v>
      </c>
      <c r="AJ489" s="16">
        <f>AI489*220/30*30.4375</f>
        <v>1917.3595833333334</v>
      </c>
      <c r="AK489" s="18">
        <v>1917.36</v>
      </c>
      <c r="AL489" s="71" t="s">
        <v>677</v>
      </c>
      <c r="AM489" s="19" t="b">
        <f>AL489=O489</f>
        <v>1</v>
      </c>
      <c r="AN489" s="7">
        <f>VLOOKUP(A489,'base ZITRHR129'!$G$1:$H$628,2,0)</f>
        <v>30041165</v>
      </c>
      <c r="AO489" s="7" t="b">
        <f>AN489=R489</f>
        <v>1</v>
      </c>
      <c r="AP489" s="7">
        <f>VLOOKUP(A489,'base ZITRHR129'!G143:W769,17,0)</f>
        <v>1917.36</v>
      </c>
      <c r="AQ489" s="7" t="b">
        <f>AP489=AK489</f>
        <v>1</v>
      </c>
      <c r="AR489" s="78"/>
    </row>
    <row r="490" spans="1:44" s="7" customFormat="1" x14ac:dyDescent="0.25">
      <c r="A490" s="7">
        <v>10075847</v>
      </c>
      <c r="B490" s="8" t="s">
        <v>512</v>
      </c>
      <c r="C490" s="8" t="s">
        <v>681</v>
      </c>
      <c r="D490" s="8" t="s">
        <v>717</v>
      </c>
      <c r="E490" s="8" t="s">
        <v>748</v>
      </c>
      <c r="F490" s="8" t="s">
        <v>1406</v>
      </c>
      <c r="G490" s="8" t="s">
        <v>774</v>
      </c>
      <c r="H490" s="9">
        <v>15</v>
      </c>
      <c r="I490" s="8" t="s">
        <v>653</v>
      </c>
      <c r="J490" s="8" t="s">
        <v>1261</v>
      </c>
      <c r="K490" s="8" t="s">
        <v>16</v>
      </c>
      <c r="L490" s="8" t="s">
        <v>17</v>
      </c>
      <c r="M490" s="10" t="s">
        <v>681</v>
      </c>
      <c r="N490" s="10" t="s">
        <v>717</v>
      </c>
      <c r="O490" s="10" t="s">
        <v>653</v>
      </c>
      <c r="P490" s="1"/>
      <c r="Q490" s="11" t="b">
        <f>O490=P490</f>
        <v>0</v>
      </c>
      <c r="R490" s="30">
        <v>30041166</v>
      </c>
      <c r="S490" s="1"/>
      <c r="T490" s="11" t="b">
        <f>R490=S490</f>
        <v>0</v>
      </c>
      <c r="U490" s="10" t="s">
        <v>16</v>
      </c>
      <c r="V490" s="1"/>
      <c r="W490" s="11" t="b">
        <f>U490=V490</f>
        <v>0</v>
      </c>
      <c r="X490" s="13" t="s">
        <v>15</v>
      </c>
      <c r="Y490" s="1"/>
      <c r="Z490" s="1"/>
      <c r="AA490" s="10">
        <v>22003021</v>
      </c>
      <c r="AB490" s="10" t="s">
        <v>1409</v>
      </c>
      <c r="AD490" s="11" t="b">
        <f>AB490=AC490</f>
        <v>0</v>
      </c>
      <c r="AE490" s="10" t="s">
        <v>774</v>
      </c>
      <c r="AF490" s="1"/>
      <c r="AG490" s="11" t="b">
        <f>AE490=AF490</f>
        <v>0</v>
      </c>
      <c r="AH490" s="1">
        <v>15</v>
      </c>
      <c r="AI490" s="1">
        <v>10.45</v>
      </c>
      <c r="AJ490" s="16">
        <f>AI490*220/30*30.4375</f>
        <v>2332.5270833333334</v>
      </c>
      <c r="AK490" s="18">
        <v>2332.5300000000002</v>
      </c>
      <c r="AL490" s="71" t="s">
        <v>653</v>
      </c>
      <c r="AM490" s="19" t="b">
        <f>AL490=O490</f>
        <v>1</v>
      </c>
      <c r="AN490" s="7">
        <f>VLOOKUP(A490,'base ZITRHR129'!$G$1:$H$628,2,0)</f>
        <v>30041166</v>
      </c>
      <c r="AO490" s="7" t="b">
        <f>AN490=R490</f>
        <v>1</v>
      </c>
      <c r="AP490" s="7">
        <f>VLOOKUP(A490,'base ZITRHR129'!G142:W768,17,0)</f>
        <v>2332.5300000000002</v>
      </c>
      <c r="AQ490" s="7" t="b">
        <f>AP490=AK490</f>
        <v>1</v>
      </c>
      <c r="AR490" s="78"/>
    </row>
    <row r="491" spans="1:44" s="7" customFormat="1" x14ac:dyDescent="0.25">
      <c r="A491" s="7">
        <v>10075863</v>
      </c>
      <c r="B491" s="8" t="s">
        <v>513</v>
      </c>
      <c r="C491" s="8" t="s">
        <v>702</v>
      </c>
      <c r="D491" s="8" t="s">
        <v>717</v>
      </c>
      <c r="E491" s="8" t="s">
        <v>742</v>
      </c>
      <c r="F491" s="8" t="s">
        <v>1406</v>
      </c>
      <c r="G491" s="8" t="s">
        <v>769</v>
      </c>
      <c r="H491" s="9">
        <v>15</v>
      </c>
      <c r="I491" s="8" t="s">
        <v>668</v>
      </c>
      <c r="J491" s="8" t="s">
        <v>1262</v>
      </c>
      <c r="K491" s="8" t="s">
        <v>16</v>
      </c>
      <c r="L491" s="8" t="s">
        <v>17</v>
      </c>
      <c r="M491" s="10" t="s">
        <v>702</v>
      </c>
      <c r="N491" s="10" t="s">
        <v>717</v>
      </c>
      <c r="O491" s="10" t="s">
        <v>668</v>
      </c>
      <c r="P491" s="1"/>
      <c r="Q491" s="11" t="b">
        <f>O491=P491</f>
        <v>0</v>
      </c>
      <c r="R491" s="30">
        <v>30041167</v>
      </c>
      <c r="S491" s="1"/>
      <c r="T491" s="11" t="b">
        <f>R491=S491</f>
        <v>0</v>
      </c>
      <c r="U491" s="10" t="s">
        <v>16</v>
      </c>
      <c r="V491" s="1"/>
      <c r="W491" s="11" t="b">
        <f>U491=V491</f>
        <v>0</v>
      </c>
      <c r="X491" s="13" t="s">
        <v>15</v>
      </c>
      <c r="Y491" s="1"/>
      <c r="Z491" s="1"/>
      <c r="AA491" s="60">
        <v>22001389</v>
      </c>
      <c r="AB491" s="10" t="s">
        <v>1409</v>
      </c>
      <c r="AD491" s="11" t="b">
        <f>AB491=AC491</f>
        <v>0</v>
      </c>
      <c r="AE491" s="10" t="s">
        <v>769</v>
      </c>
      <c r="AF491" s="1"/>
      <c r="AG491" s="11" t="b">
        <f>AE491=AF491</f>
        <v>0</v>
      </c>
      <c r="AH491" s="1">
        <v>15</v>
      </c>
      <c r="AI491" s="1">
        <v>8.59</v>
      </c>
      <c r="AJ491" s="16">
        <f>AI491*220/30*30.4375</f>
        <v>1917.3595833333334</v>
      </c>
      <c r="AK491" s="18">
        <v>1917.36</v>
      </c>
      <c r="AL491" s="71" t="s">
        <v>668</v>
      </c>
      <c r="AM491" s="19" t="b">
        <f>AL491=O491</f>
        <v>1</v>
      </c>
      <c r="AN491" s="7">
        <f>VLOOKUP(A491,'base ZITRHR129'!$G$1:$H$628,2,0)</f>
        <v>30041167</v>
      </c>
      <c r="AO491" s="7" t="b">
        <f>AN491=R491</f>
        <v>1</v>
      </c>
      <c r="AP491" s="7">
        <f>VLOOKUP(A491,'base ZITRHR129'!G141:W767,17,0)</f>
        <v>1917.36</v>
      </c>
      <c r="AQ491" s="7" t="b">
        <f>AP491=AK491</f>
        <v>1</v>
      </c>
      <c r="AR491" s="78"/>
    </row>
    <row r="492" spans="1:44" s="7" customFormat="1" ht="12" x14ac:dyDescent="0.2">
      <c r="A492" s="20">
        <v>10075864</v>
      </c>
      <c r="B492" s="21" t="s">
        <v>514</v>
      </c>
      <c r="C492" s="21" t="s">
        <v>700</v>
      </c>
      <c r="D492" s="21" t="s">
        <v>717</v>
      </c>
      <c r="E492" s="21" t="s">
        <v>746</v>
      </c>
      <c r="F492" s="21" t="s">
        <v>1407</v>
      </c>
      <c r="G492" s="21" t="s">
        <v>757</v>
      </c>
      <c r="H492" s="22">
        <v>13</v>
      </c>
      <c r="I492" s="21" t="s">
        <v>666</v>
      </c>
      <c r="J492" s="21" t="s">
        <v>1263</v>
      </c>
      <c r="K492" s="21" t="s">
        <v>16</v>
      </c>
      <c r="L492" s="21" t="s">
        <v>17</v>
      </c>
      <c r="M492" s="21" t="s">
        <v>700</v>
      </c>
      <c r="N492" s="21" t="s">
        <v>717</v>
      </c>
      <c r="O492" s="21" t="s">
        <v>666</v>
      </c>
      <c r="P492" s="23"/>
      <c r="Q492" s="24" t="b">
        <f>O492=P492</f>
        <v>0</v>
      </c>
      <c r="R492" s="31">
        <v>30041168</v>
      </c>
      <c r="S492" s="23"/>
      <c r="T492" s="24" t="b">
        <f>R492=S492</f>
        <v>0</v>
      </c>
      <c r="U492" s="21" t="s">
        <v>16</v>
      </c>
      <c r="V492" s="23"/>
      <c r="W492" s="24" t="b">
        <f>U492=V492</f>
        <v>0</v>
      </c>
      <c r="X492" s="25" t="s">
        <v>15</v>
      </c>
      <c r="Y492" s="23"/>
      <c r="Z492" s="23"/>
      <c r="AA492" s="64">
        <v>22000018</v>
      </c>
      <c r="AB492" s="21" t="s">
        <v>1410</v>
      </c>
      <c r="AC492" s="20"/>
      <c r="AD492" s="24" t="b">
        <f>AB492=AC492</f>
        <v>0</v>
      </c>
      <c r="AE492" s="21" t="s">
        <v>757</v>
      </c>
      <c r="AF492" s="23"/>
      <c r="AG492" s="24" t="b">
        <f>AE492=AF492</f>
        <v>0</v>
      </c>
      <c r="AH492" s="23">
        <v>13</v>
      </c>
      <c r="AI492" s="23">
        <v>9.01</v>
      </c>
      <c r="AJ492" s="26">
        <f>AI492*180/30*30.4375</f>
        <v>1645.4512499999998</v>
      </c>
      <c r="AK492" s="27">
        <v>1645.45</v>
      </c>
      <c r="AL492" s="73" t="s">
        <v>666</v>
      </c>
      <c r="AM492" s="28" t="b">
        <f>AL492=O492</f>
        <v>1</v>
      </c>
      <c r="AN492" s="20">
        <f>VLOOKUP(A492,'base ZITRHR129'!$G$1:$H$628,2,0)</f>
        <v>30041168</v>
      </c>
      <c r="AO492" s="20" t="b">
        <f>AN492=R492</f>
        <v>1</v>
      </c>
      <c r="AP492" s="20">
        <f>VLOOKUP(A492,'base ZITRHR129'!G140:W766,17,0)</f>
        <v>9.01</v>
      </c>
      <c r="AQ492" s="20" t="b">
        <f>AP492=AK492</f>
        <v>0</v>
      </c>
      <c r="AR492" s="69" t="s">
        <v>1516</v>
      </c>
    </row>
    <row r="493" spans="1:44" s="7" customFormat="1" x14ac:dyDescent="0.25">
      <c r="A493" s="7">
        <v>10075870</v>
      </c>
      <c r="B493" s="8" t="s">
        <v>515</v>
      </c>
      <c r="C493" s="8" t="s">
        <v>689</v>
      </c>
      <c r="D493" s="8" t="s">
        <v>717</v>
      </c>
      <c r="E493" s="8" t="s">
        <v>730</v>
      </c>
      <c r="F493" s="8" t="s">
        <v>1406</v>
      </c>
      <c r="G493" s="8" t="s">
        <v>759</v>
      </c>
      <c r="H493" s="9">
        <v>17</v>
      </c>
      <c r="I493" s="8" t="s">
        <v>662</v>
      </c>
      <c r="J493" s="8" t="s">
        <v>1264</v>
      </c>
      <c r="K493" s="8" t="s">
        <v>16</v>
      </c>
      <c r="L493" s="8" t="s">
        <v>17</v>
      </c>
      <c r="M493" s="10" t="s">
        <v>689</v>
      </c>
      <c r="N493" s="10" t="s">
        <v>717</v>
      </c>
      <c r="O493" s="10" t="s">
        <v>662</v>
      </c>
      <c r="P493" s="1"/>
      <c r="Q493" s="11" t="b">
        <f>O493=P493</f>
        <v>0</v>
      </c>
      <c r="R493" s="30">
        <v>30041169</v>
      </c>
      <c r="S493" s="1"/>
      <c r="T493" s="11" t="b">
        <f>R493=S493</f>
        <v>0</v>
      </c>
      <c r="U493" s="10" t="s">
        <v>16</v>
      </c>
      <c r="V493" s="1"/>
      <c r="W493" s="11" t="b">
        <f>U493=V493</f>
        <v>0</v>
      </c>
      <c r="X493" s="13" t="s">
        <v>15</v>
      </c>
      <c r="Y493" s="1"/>
      <c r="Z493" s="1"/>
      <c r="AA493" s="10">
        <v>22002605</v>
      </c>
      <c r="AB493" s="10" t="s">
        <v>1409</v>
      </c>
      <c r="AD493" s="11" t="b">
        <f>AB493=AC493</f>
        <v>0</v>
      </c>
      <c r="AE493" s="10" t="s">
        <v>759</v>
      </c>
      <c r="AF493" s="1"/>
      <c r="AG493" s="11" t="b">
        <f>AE493=AF493</f>
        <v>0</v>
      </c>
      <c r="AH493" s="1">
        <v>17</v>
      </c>
      <c r="AI493" s="1">
        <v>9.4499999999999993</v>
      </c>
      <c r="AJ493" s="16">
        <f>AI493*220/30*30.4375</f>
        <v>2109.3187499999999</v>
      </c>
      <c r="AK493" s="18">
        <v>2109.3200000000002</v>
      </c>
      <c r="AL493" s="71" t="s">
        <v>662</v>
      </c>
      <c r="AM493" s="19" t="b">
        <f>AL493=O493</f>
        <v>1</v>
      </c>
      <c r="AN493" s="7">
        <f>VLOOKUP(A493,'base ZITRHR129'!$G$1:$H$628,2,0)</f>
        <v>30041169</v>
      </c>
      <c r="AO493" s="7" t="b">
        <f>AN493=R493</f>
        <v>1</v>
      </c>
      <c r="AP493" s="7">
        <f>VLOOKUP(A493,'base ZITRHR129'!G139:W765,17,0)</f>
        <v>2109.3200000000002</v>
      </c>
      <c r="AQ493" s="7" t="b">
        <f>AP493=AK493</f>
        <v>1</v>
      </c>
      <c r="AR493" s="78"/>
    </row>
    <row r="494" spans="1:44" s="7" customFormat="1" x14ac:dyDescent="0.25">
      <c r="A494" s="7">
        <v>10075871</v>
      </c>
      <c r="B494" s="8" t="s">
        <v>516</v>
      </c>
      <c r="C494" s="8" t="s">
        <v>689</v>
      </c>
      <c r="D494" s="8" t="s">
        <v>717</v>
      </c>
      <c r="E494" s="8" t="s">
        <v>744</v>
      </c>
      <c r="F494" s="8" t="s">
        <v>1406</v>
      </c>
      <c r="G494" s="8" t="s">
        <v>771</v>
      </c>
      <c r="H494" s="9">
        <v>14</v>
      </c>
      <c r="I494" s="8" t="s">
        <v>662</v>
      </c>
      <c r="J494" s="8" t="s">
        <v>1265</v>
      </c>
      <c r="K494" s="8" t="s">
        <v>16</v>
      </c>
      <c r="L494" s="8" t="s">
        <v>17</v>
      </c>
      <c r="M494" s="10" t="s">
        <v>689</v>
      </c>
      <c r="N494" s="10" t="s">
        <v>717</v>
      </c>
      <c r="O494" s="10" t="s">
        <v>662</v>
      </c>
      <c r="P494" s="1"/>
      <c r="Q494" s="11" t="b">
        <f>O494=P494</f>
        <v>0</v>
      </c>
      <c r="R494" s="30">
        <v>30041170</v>
      </c>
      <c r="S494" s="1"/>
      <c r="T494" s="11" t="b">
        <f>R494=S494</f>
        <v>0</v>
      </c>
      <c r="U494" s="10" t="s">
        <v>16</v>
      </c>
      <c r="V494" s="1"/>
      <c r="W494" s="11" t="b">
        <f>U494=V494</f>
        <v>0</v>
      </c>
      <c r="X494" s="13" t="s">
        <v>15</v>
      </c>
      <c r="Y494" s="1"/>
      <c r="Z494" s="1"/>
      <c r="AA494" s="10">
        <v>22002677</v>
      </c>
      <c r="AB494" s="10" t="s">
        <v>1409</v>
      </c>
      <c r="AD494" s="11" t="b">
        <f>AB494=AC494</f>
        <v>0</v>
      </c>
      <c r="AE494" s="10" t="s">
        <v>771</v>
      </c>
      <c r="AF494" s="1"/>
      <c r="AG494" s="11" t="b">
        <f>AE494=AF494</f>
        <v>0</v>
      </c>
      <c r="AH494" s="1">
        <v>14</v>
      </c>
      <c r="AI494" s="1">
        <v>8.59</v>
      </c>
      <c r="AJ494" s="16">
        <f>AI494*220/30*30.4375</f>
        <v>1917.3595833333334</v>
      </c>
      <c r="AK494" s="18">
        <v>1917.36</v>
      </c>
      <c r="AL494" s="71" t="s">
        <v>662</v>
      </c>
      <c r="AM494" s="19" t="b">
        <f>AL494=O494</f>
        <v>1</v>
      </c>
      <c r="AN494" s="7">
        <f>VLOOKUP(A494,'base ZITRHR129'!$G$1:$H$628,2,0)</f>
        <v>30041170</v>
      </c>
      <c r="AO494" s="7" t="b">
        <f>AN494=R494</f>
        <v>1</v>
      </c>
      <c r="AP494" s="7">
        <f>VLOOKUP(A494,'base ZITRHR129'!G138:W764,17,0)</f>
        <v>1917.36</v>
      </c>
      <c r="AQ494" s="7" t="b">
        <f>AP494=AK494</f>
        <v>1</v>
      </c>
      <c r="AR494" s="78"/>
    </row>
    <row r="495" spans="1:44" s="7" customFormat="1" x14ac:dyDescent="0.25">
      <c r="A495" s="7">
        <v>10075872</v>
      </c>
      <c r="B495" s="8" t="s">
        <v>517</v>
      </c>
      <c r="C495" s="8" t="s">
        <v>686</v>
      </c>
      <c r="D495" s="8" t="s">
        <v>717</v>
      </c>
      <c r="E495" s="8" t="s">
        <v>739</v>
      </c>
      <c r="F495" s="8" t="s">
        <v>1406</v>
      </c>
      <c r="G495" s="8" t="s">
        <v>766</v>
      </c>
      <c r="H495" s="9">
        <v>14</v>
      </c>
      <c r="I495" s="8" t="s">
        <v>659</v>
      </c>
      <c r="J495" s="8" t="s">
        <v>1266</v>
      </c>
      <c r="K495" s="8" t="s">
        <v>6</v>
      </c>
      <c r="L495" s="8" t="s">
        <v>17</v>
      </c>
      <c r="M495" s="10" t="s">
        <v>686</v>
      </c>
      <c r="N495" s="10" t="s">
        <v>717</v>
      </c>
      <c r="O495" s="10" t="s">
        <v>659</v>
      </c>
      <c r="P495" s="1"/>
      <c r="Q495" s="11" t="b">
        <f>O495=P495</f>
        <v>0</v>
      </c>
      <c r="R495" s="30">
        <v>30041171</v>
      </c>
      <c r="S495" s="1"/>
      <c r="T495" s="11" t="b">
        <f>R495=S495</f>
        <v>0</v>
      </c>
      <c r="U495" s="10" t="s">
        <v>6</v>
      </c>
      <c r="V495" s="1"/>
      <c r="W495" s="11" t="b">
        <f>U495=V495</f>
        <v>0</v>
      </c>
      <c r="X495" s="13" t="s">
        <v>15</v>
      </c>
      <c r="Y495" s="1"/>
      <c r="Z495" s="1"/>
      <c r="AA495" s="63">
        <v>22001415</v>
      </c>
      <c r="AB495" s="10" t="s">
        <v>1409</v>
      </c>
      <c r="AD495" s="11" t="b">
        <f>AB495=AC495</f>
        <v>0</v>
      </c>
      <c r="AE495" s="10" t="s">
        <v>766</v>
      </c>
      <c r="AF495" s="1"/>
      <c r="AG495" s="11" t="b">
        <f>AE495=AF495</f>
        <v>0</v>
      </c>
      <c r="AH495" s="1">
        <v>14</v>
      </c>
      <c r="AI495" s="1">
        <v>8.26</v>
      </c>
      <c r="AJ495" s="16">
        <f>AI495*220/30*30.4375</f>
        <v>1843.7008333333335</v>
      </c>
      <c r="AK495" s="18">
        <v>1843.7</v>
      </c>
      <c r="AL495" s="71" t="s">
        <v>659</v>
      </c>
      <c r="AM495" s="19" t="b">
        <f>AL495=O495</f>
        <v>1</v>
      </c>
      <c r="AN495" s="7">
        <f>VLOOKUP(A495,'base ZITRHR129'!$G$1:$H$628,2,0)</f>
        <v>30041171</v>
      </c>
      <c r="AO495" s="7" t="b">
        <f>AN495=R495</f>
        <v>1</v>
      </c>
      <c r="AP495" s="7">
        <f>VLOOKUP(A495,'base ZITRHR129'!G137:W763,17,0)</f>
        <v>1843.7</v>
      </c>
      <c r="AQ495" s="7" t="b">
        <f>AP495=AK495</f>
        <v>1</v>
      </c>
      <c r="AR495" s="78"/>
    </row>
    <row r="496" spans="1:44" s="7" customFormat="1" x14ac:dyDescent="0.25">
      <c r="A496" s="7">
        <v>10075873</v>
      </c>
      <c r="B496" s="8" t="s">
        <v>518</v>
      </c>
      <c r="C496" s="8" t="s">
        <v>679</v>
      </c>
      <c r="D496" s="8" t="s">
        <v>717</v>
      </c>
      <c r="E496" s="8" t="s">
        <v>742</v>
      </c>
      <c r="F496" s="8" t="s">
        <v>1406</v>
      </c>
      <c r="G496" s="8" t="s">
        <v>769</v>
      </c>
      <c r="H496" s="9">
        <v>15</v>
      </c>
      <c r="I496" s="8" t="s">
        <v>653</v>
      </c>
      <c r="J496" s="8" t="s">
        <v>1267</v>
      </c>
      <c r="K496" s="8" t="s">
        <v>16</v>
      </c>
      <c r="L496" s="8" t="s">
        <v>17</v>
      </c>
      <c r="M496" s="10" t="s">
        <v>679</v>
      </c>
      <c r="N496" s="10" t="s">
        <v>717</v>
      </c>
      <c r="O496" s="10" t="s">
        <v>653</v>
      </c>
      <c r="P496" s="1"/>
      <c r="Q496" s="11" t="b">
        <f>O496=P496</f>
        <v>0</v>
      </c>
      <c r="R496" s="30">
        <v>30041172</v>
      </c>
      <c r="S496" s="1"/>
      <c r="T496" s="11" t="b">
        <f>R496=S496</f>
        <v>0</v>
      </c>
      <c r="U496" s="10" t="s">
        <v>16</v>
      </c>
      <c r="V496" s="1"/>
      <c r="W496" s="11" t="b">
        <f>U496=V496</f>
        <v>0</v>
      </c>
      <c r="X496" s="13" t="s">
        <v>15</v>
      </c>
      <c r="Y496" s="1"/>
      <c r="Z496" s="1"/>
      <c r="AA496" s="60">
        <v>22001389</v>
      </c>
      <c r="AB496" s="10" t="s">
        <v>1409</v>
      </c>
      <c r="AD496" s="11" t="b">
        <f>AB496=AC496</f>
        <v>0</v>
      </c>
      <c r="AE496" s="10" t="s">
        <v>769</v>
      </c>
      <c r="AF496" s="1"/>
      <c r="AG496" s="11" t="b">
        <f>AE496=AF496</f>
        <v>0</v>
      </c>
      <c r="AH496" s="1">
        <v>15</v>
      </c>
      <c r="AI496" s="1">
        <v>8.59</v>
      </c>
      <c r="AJ496" s="16">
        <f>AI496*220/30*30.4375</f>
        <v>1917.3595833333334</v>
      </c>
      <c r="AK496" s="18">
        <v>1917.36</v>
      </c>
      <c r="AL496" s="71" t="s">
        <v>653</v>
      </c>
      <c r="AM496" s="19" t="b">
        <f>AL496=O496</f>
        <v>1</v>
      </c>
      <c r="AN496" s="7">
        <f>VLOOKUP(A496,'base ZITRHR129'!$G$1:$H$628,2,0)</f>
        <v>30041172</v>
      </c>
      <c r="AO496" s="7" t="b">
        <f>AN496=R496</f>
        <v>1</v>
      </c>
      <c r="AP496" s="7">
        <f>VLOOKUP(A496,'base ZITRHR129'!G136:W762,17,0)</f>
        <v>1917.36</v>
      </c>
      <c r="AQ496" s="7" t="b">
        <f>AP496=AK496</f>
        <v>1</v>
      </c>
      <c r="AR496" s="78"/>
    </row>
    <row r="497" spans="1:44" s="7" customFormat="1" x14ac:dyDescent="0.25">
      <c r="A497" s="7">
        <v>10075882</v>
      </c>
      <c r="B497" s="8" t="s">
        <v>519</v>
      </c>
      <c r="C497" s="8" t="s">
        <v>680</v>
      </c>
      <c r="D497" s="8" t="s">
        <v>717</v>
      </c>
      <c r="E497" s="8" t="s">
        <v>737</v>
      </c>
      <c r="F497" s="8" t="s">
        <v>1406</v>
      </c>
      <c r="G497" s="8" t="s">
        <v>765</v>
      </c>
      <c r="H497" s="9">
        <v>14</v>
      </c>
      <c r="I497" s="8" t="s">
        <v>654</v>
      </c>
      <c r="J497" s="8" t="s">
        <v>1268</v>
      </c>
      <c r="K497" s="8" t="s">
        <v>16</v>
      </c>
      <c r="L497" s="8" t="s">
        <v>17</v>
      </c>
      <c r="M497" s="10" t="s">
        <v>680</v>
      </c>
      <c r="N497" s="10" t="s">
        <v>717</v>
      </c>
      <c r="O497" s="10" t="s">
        <v>654</v>
      </c>
      <c r="P497" s="1"/>
      <c r="Q497" s="11" t="b">
        <f>O497=P497</f>
        <v>0</v>
      </c>
      <c r="R497" s="30">
        <v>30041173</v>
      </c>
      <c r="S497" s="1"/>
      <c r="T497" s="11" t="b">
        <f>R497=S497</f>
        <v>0</v>
      </c>
      <c r="U497" s="10" t="s">
        <v>16</v>
      </c>
      <c r="V497" s="1"/>
      <c r="W497" s="11" t="b">
        <f>U497=V497</f>
        <v>0</v>
      </c>
      <c r="X497" s="13" t="s">
        <v>15</v>
      </c>
      <c r="Y497" s="1"/>
      <c r="Z497" s="1"/>
      <c r="AA497" s="10">
        <v>22002830</v>
      </c>
      <c r="AB497" s="10" t="s">
        <v>1409</v>
      </c>
      <c r="AD497" s="11" t="b">
        <f>AB497=AC497</f>
        <v>0</v>
      </c>
      <c r="AE497" s="10" t="s">
        <v>765</v>
      </c>
      <c r="AF497" s="1"/>
      <c r="AG497" s="11" t="b">
        <f>AE497=AF497</f>
        <v>0</v>
      </c>
      <c r="AH497" s="1">
        <v>14</v>
      </c>
      <c r="AI497" s="1">
        <v>8.59</v>
      </c>
      <c r="AJ497" s="16">
        <f>AI497*220/30*30.4375</f>
        <v>1917.3595833333334</v>
      </c>
      <c r="AK497" s="18">
        <v>1917.36</v>
      </c>
      <c r="AL497" s="71" t="s">
        <v>654</v>
      </c>
      <c r="AM497" s="19" t="b">
        <f>AL497=O497</f>
        <v>1</v>
      </c>
      <c r="AN497" s="7">
        <f>VLOOKUP(A497,'base ZITRHR129'!$G$1:$H$628,2,0)</f>
        <v>30041173</v>
      </c>
      <c r="AO497" s="7" t="b">
        <f>AN497=R497</f>
        <v>1</v>
      </c>
      <c r="AP497" s="7">
        <f>VLOOKUP(A497,'base ZITRHR129'!G135:W761,17,0)</f>
        <v>1917.36</v>
      </c>
      <c r="AQ497" s="7" t="b">
        <f>AP497=AK497</f>
        <v>1</v>
      </c>
      <c r="AR497" s="78"/>
    </row>
    <row r="498" spans="1:44" s="7" customFormat="1" x14ac:dyDescent="0.25">
      <c r="A498" s="7">
        <v>10075911</v>
      </c>
      <c r="B498" s="8" t="s">
        <v>520</v>
      </c>
      <c r="C498" s="8" t="s">
        <v>690</v>
      </c>
      <c r="D498" s="8" t="s">
        <v>717</v>
      </c>
      <c r="E498" s="8" t="s">
        <v>726</v>
      </c>
      <c r="F498" s="8" t="s">
        <v>1406</v>
      </c>
      <c r="G498" s="8" t="s">
        <v>755</v>
      </c>
      <c r="H498" s="9">
        <v>15</v>
      </c>
      <c r="I498" s="8" t="s">
        <v>663</v>
      </c>
      <c r="J498" s="8" t="s">
        <v>1269</v>
      </c>
      <c r="K498" s="8" t="s">
        <v>16</v>
      </c>
      <c r="L498" s="8" t="s">
        <v>17</v>
      </c>
      <c r="M498" s="10" t="s">
        <v>690</v>
      </c>
      <c r="N498" s="10" t="s">
        <v>717</v>
      </c>
      <c r="O498" s="10" t="s">
        <v>663</v>
      </c>
      <c r="P498" s="1"/>
      <c r="Q498" s="11" t="b">
        <f>O498=P498</f>
        <v>0</v>
      </c>
      <c r="R498" s="30">
        <v>30041174</v>
      </c>
      <c r="S498" s="1"/>
      <c r="T498" s="11" t="b">
        <f>R498=S498</f>
        <v>0</v>
      </c>
      <c r="U498" s="10" t="s">
        <v>16</v>
      </c>
      <c r="V498" s="1"/>
      <c r="W498" s="11" t="b">
        <f>U498=V498</f>
        <v>0</v>
      </c>
      <c r="X498" s="13" t="s">
        <v>15</v>
      </c>
      <c r="Y498" s="1"/>
      <c r="Z498" s="1"/>
      <c r="AA498" s="10">
        <v>22002617</v>
      </c>
      <c r="AB498" s="10" t="s">
        <v>1409</v>
      </c>
      <c r="AD498" s="11" t="b">
        <f>AB498=AC498</f>
        <v>0</v>
      </c>
      <c r="AE498" s="10" t="s">
        <v>755</v>
      </c>
      <c r="AF498" s="1"/>
      <c r="AG498" s="11" t="b">
        <f>AE498=AF498</f>
        <v>0</v>
      </c>
      <c r="AH498" s="1">
        <v>15</v>
      </c>
      <c r="AI498" s="1">
        <v>9.4499999999999993</v>
      </c>
      <c r="AJ498" s="16">
        <f>AI498*220/30*30.4375</f>
        <v>2109.3187499999999</v>
      </c>
      <c r="AK498" s="18">
        <v>2109.3200000000002</v>
      </c>
      <c r="AL498" s="71" t="s">
        <v>663</v>
      </c>
      <c r="AM498" s="19" t="b">
        <f>AL498=O498</f>
        <v>1</v>
      </c>
      <c r="AN498" s="7">
        <f>VLOOKUP(A498,'base ZITRHR129'!$G$1:$H$628,2,0)</f>
        <v>30041174</v>
      </c>
      <c r="AO498" s="7" t="b">
        <f>AN498=R498</f>
        <v>1</v>
      </c>
      <c r="AP498" s="7">
        <f>VLOOKUP(A498,'base ZITRHR129'!G134:W760,17,0)</f>
        <v>2109.3200000000002</v>
      </c>
      <c r="AQ498" s="7" t="b">
        <f>AP498=AK498</f>
        <v>1</v>
      </c>
      <c r="AR498" s="78"/>
    </row>
    <row r="499" spans="1:44" s="7" customFormat="1" x14ac:dyDescent="0.25">
      <c r="A499" s="7">
        <v>10075917</v>
      </c>
      <c r="B499" s="8" t="s">
        <v>521</v>
      </c>
      <c r="C499" s="8" t="s">
        <v>693</v>
      </c>
      <c r="D499" s="8" t="s">
        <v>717</v>
      </c>
      <c r="E499" s="8" t="s">
        <v>741</v>
      </c>
      <c r="F499" s="8" t="s">
        <v>1406</v>
      </c>
      <c r="G499" s="8" t="s">
        <v>768</v>
      </c>
      <c r="H499" s="9">
        <v>16</v>
      </c>
      <c r="I499" s="8" t="s">
        <v>666</v>
      </c>
      <c r="J499" s="8" t="s">
        <v>1270</v>
      </c>
      <c r="K499" s="8" t="s">
        <v>16</v>
      </c>
      <c r="L499" s="8" t="s">
        <v>17</v>
      </c>
      <c r="M499" s="10" t="s">
        <v>693</v>
      </c>
      <c r="N499" s="10" t="s">
        <v>717</v>
      </c>
      <c r="O499" s="10" t="s">
        <v>666</v>
      </c>
      <c r="P499" s="1"/>
      <c r="Q499" s="11" t="b">
        <f>O499=P499</f>
        <v>0</v>
      </c>
      <c r="R499" s="30">
        <v>30041175</v>
      </c>
      <c r="S499" s="1"/>
      <c r="T499" s="11" t="b">
        <f>R499=S499</f>
        <v>0</v>
      </c>
      <c r="U499" s="10" t="s">
        <v>16</v>
      </c>
      <c r="V499" s="1"/>
      <c r="W499" s="11" t="b">
        <f>U499=V499</f>
        <v>0</v>
      </c>
      <c r="X499" s="13" t="s">
        <v>15</v>
      </c>
      <c r="Y499" s="1"/>
      <c r="Z499" s="1"/>
      <c r="AA499" s="10">
        <v>22002748</v>
      </c>
      <c r="AB499" s="10" t="s">
        <v>1409</v>
      </c>
      <c r="AD499" s="11" t="b">
        <f>AB499=AC499</f>
        <v>0</v>
      </c>
      <c r="AE499" s="10" t="s">
        <v>768</v>
      </c>
      <c r="AF499" s="1"/>
      <c r="AG499" s="11" t="b">
        <f>AE499=AF499</f>
        <v>0</v>
      </c>
      <c r="AH499" s="1">
        <v>16</v>
      </c>
      <c r="AI499" s="1">
        <v>8.6</v>
      </c>
      <c r="AJ499" s="16">
        <f>AI499*220/30*30.4375</f>
        <v>1919.5916666666667</v>
      </c>
      <c r="AK499" s="18">
        <v>1919.59</v>
      </c>
      <c r="AL499" s="71" t="s">
        <v>666</v>
      </c>
      <c r="AM499" s="19" t="b">
        <f>AL499=O499</f>
        <v>1</v>
      </c>
      <c r="AN499" s="7">
        <f>VLOOKUP(A499,'base ZITRHR129'!$G$1:$H$628,2,0)</f>
        <v>30041175</v>
      </c>
      <c r="AO499" s="7" t="b">
        <f>AN499=R499</f>
        <v>1</v>
      </c>
      <c r="AP499" s="7">
        <f>VLOOKUP(A499,'base ZITRHR129'!G133:W759,17,0)</f>
        <v>1919.59</v>
      </c>
      <c r="AQ499" s="7" t="b">
        <f>AP499=AK499</f>
        <v>1</v>
      </c>
      <c r="AR499" s="78"/>
    </row>
    <row r="500" spans="1:44" s="7" customFormat="1" x14ac:dyDescent="0.25">
      <c r="A500" s="7">
        <v>10075918</v>
      </c>
      <c r="B500" s="8" t="s">
        <v>522</v>
      </c>
      <c r="C500" s="8" t="s">
        <v>702</v>
      </c>
      <c r="D500" s="8" t="s">
        <v>717</v>
      </c>
      <c r="E500" s="8" t="s">
        <v>742</v>
      </c>
      <c r="F500" s="8" t="s">
        <v>1406</v>
      </c>
      <c r="G500" s="8" t="s">
        <v>769</v>
      </c>
      <c r="H500" s="9">
        <v>15</v>
      </c>
      <c r="I500" s="8" t="s">
        <v>668</v>
      </c>
      <c r="J500" s="8" t="s">
        <v>1271</v>
      </c>
      <c r="K500" s="8" t="s">
        <v>16</v>
      </c>
      <c r="L500" s="8" t="s">
        <v>17</v>
      </c>
      <c r="M500" s="10" t="s">
        <v>702</v>
      </c>
      <c r="N500" s="10" t="s">
        <v>717</v>
      </c>
      <c r="O500" s="10" t="s">
        <v>668</v>
      </c>
      <c r="P500" s="1"/>
      <c r="Q500" s="11" t="b">
        <f>O500=P500</f>
        <v>0</v>
      </c>
      <c r="R500" s="30">
        <v>30041176</v>
      </c>
      <c r="S500" s="1"/>
      <c r="T500" s="11" t="b">
        <f>R500=S500</f>
        <v>0</v>
      </c>
      <c r="U500" s="10" t="s">
        <v>16</v>
      </c>
      <c r="V500" s="1"/>
      <c r="W500" s="11" t="b">
        <f>U500=V500</f>
        <v>0</v>
      </c>
      <c r="X500" s="13" t="s">
        <v>15</v>
      </c>
      <c r="Y500" s="1"/>
      <c r="Z500" s="1"/>
      <c r="AA500" s="60">
        <v>22001389</v>
      </c>
      <c r="AB500" s="10" t="s">
        <v>1409</v>
      </c>
      <c r="AD500" s="11" t="b">
        <f>AB500=AC500</f>
        <v>0</v>
      </c>
      <c r="AE500" s="10" t="s">
        <v>769</v>
      </c>
      <c r="AF500" s="1"/>
      <c r="AG500" s="11" t="b">
        <f>AE500=AF500</f>
        <v>0</v>
      </c>
      <c r="AH500" s="1">
        <v>15</v>
      </c>
      <c r="AI500" s="1">
        <v>8.59</v>
      </c>
      <c r="AJ500" s="16">
        <f>AI500*220/30*30.4375</f>
        <v>1917.3595833333334</v>
      </c>
      <c r="AK500" s="18">
        <v>1917.36</v>
      </c>
      <c r="AL500" s="71" t="s">
        <v>668</v>
      </c>
      <c r="AM500" s="19" t="b">
        <f>AL500=O500</f>
        <v>1</v>
      </c>
      <c r="AN500" s="7">
        <f>VLOOKUP(A500,'base ZITRHR129'!$G$1:$H$628,2,0)</f>
        <v>30041176</v>
      </c>
      <c r="AO500" s="7" t="b">
        <f>AN500=R500</f>
        <v>1</v>
      </c>
      <c r="AP500" s="7">
        <f>VLOOKUP(A500,'base ZITRHR129'!G132:W758,17,0)</f>
        <v>1917.36</v>
      </c>
      <c r="AQ500" s="7" t="b">
        <f>AP500=AK500</f>
        <v>1</v>
      </c>
      <c r="AR500" s="78"/>
    </row>
    <row r="501" spans="1:44" s="7" customFormat="1" x14ac:dyDescent="0.25">
      <c r="A501" s="7">
        <v>10075923</v>
      </c>
      <c r="B501" s="8" t="s">
        <v>523</v>
      </c>
      <c r="C501" s="8" t="s">
        <v>713</v>
      </c>
      <c r="D501" s="8" t="s">
        <v>717</v>
      </c>
      <c r="E501" s="8" t="s">
        <v>739</v>
      </c>
      <c r="F501" s="8" t="s">
        <v>1406</v>
      </c>
      <c r="G501" s="8" t="s">
        <v>766</v>
      </c>
      <c r="H501" s="9">
        <v>14</v>
      </c>
      <c r="I501" s="8" t="s">
        <v>659</v>
      </c>
      <c r="J501" s="8" t="s">
        <v>1272</v>
      </c>
      <c r="K501" s="8" t="s">
        <v>6</v>
      </c>
      <c r="L501" s="8" t="s">
        <v>17</v>
      </c>
      <c r="M501" s="10" t="s">
        <v>713</v>
      </c>
      <c r="N501" s="10" t="s">
        <v>717</v>
      </c>
      <c r="O501" s="10" t="s">
        <v>659</v>
      </c>
      <c r="P501" s="1"/>
      <c r="Q501" s="11" t="b">
        <f>O501=P501</f>
        <v>0</v>
      </c>
      <c r="R501" s="30">
        <v>30041177</v>
      </c>
      <c r="S501" s="1"/>
      <c r="T501" s="11" t="b">
        <f>R501=S501</f>
        <v>0</v>
      </c>
      <c r="U501" s="10" t="s">
        <v>6</v>
      </c>
      <c r="V501" s="1"/>
      <c r="W501" s="11" t="b">
        <f>U501=V501</f>
        <v>0</v>
      </c>
      <c r="X501" s="13" t="s">
        <v>15</v>
      </c>
      <c r="Y501" s="1"/>
      <c r="Z501" s="1"/>
      <c r="AA501" s="63">
        <v>22001415</v>
      </c>
      <c r="AB501" s="10" t="s">
        <v>1409</v>
      </c>
      <c r="AD501" s="11" t="b">
        <f>AB501=AC501</f>
        <v>0</v>
      </c>
      <c r="AE501" s="10" t="s">
        <v>766</v>
      </c>
      <c r="AF501" s="1"/>
      <c r="AG501" s="11" t="b">
        <f>AE501=AF501</f>
        <v>0</v>
      </c>
      <c r="AH501" s="1">
        <v>14</v>
      </c>
      <c r="AI501" s="1">
        <v>8.26</v>
      </c>
      <c r="AJ501" s="16">
        <f>AI501*220/30*30.4375</f>
        <v>1843.7008333333335</v>
      </c>
      <c r="AK501" s="18">
        <v>1843.7</v>
      </c>
      <c r="AL501" s="71" t="s">
        <v>659</v>
      </c>
      <c r="AM501" s="19" t="b">
        <f>AL501=O501</f>
        <v>1</v>
      </c>
      <c r="AN501" s="7">
        <f>VLOOKUP(A501,'base ZITRHR129'!$G$1:$H$628,2,0)</f>
        <v>30041177</v>
      </c>
      <c r="AO501" s="7" t="b">
        <f>AN501=R501</f>
        <v>1</v>
      </c>
      <c r="AP501" s="7">
        <f>VLOOKUP(A501,'base ZITRHR129'!G131:W757,17,0)</f>
        <v>1843.7</v>
      </c>
      <c r="AQ501" s="7" t="b">
        <f>AP501=AK501</f>
        <v>1</v>
      </c>
      <c r="AR501" s="78"/>
    </row>
    <row r="502" spans="1:44" s="7" customFormat="1" x14ac:dyDescent="0.25">
      <c r="A502" s="7">
        <v>10075936</v>
      </c>
      <c r="B502" s="8" t="s">
        <v>524</v>
      </c>
      <c r="C502" s="8" t="s">
        <v>701</v>
      </c>
      <c r="D502" s="8" t="s">
        <v>717</v>
      </c>
      <c r="E502" s="8" t="s">
        <v>742</v>
      </c>
      <c r="F502" s="8" t="s">
        <v>1406</v>
      </c>
      <c r="G502" s="8" t="s">
        <v>769</v>
      </c>
      <c r="H502" s="9">
        <v>15</v>
      </c>
      <c r="I502" s="8" t="s">
        <v>668</v>
      </c>
      <c r="J502" s="8" t="s">
        <v>1273</v>
      </c>
      <c r="K502" s="8" t="s">
        <v>16</v>
      </c>
      <c r="L502" s="8" t="s">
        <v>17</v>
      </c>
      <c r="M502" s="10" t="s">
        <v>701</v>
      </c>
      <c r="N502" s="10" t="s">
        <v>717</v>
      </c>
      <c r="O502" s="10" t="s">
        <v>668</v>
      </c>
      <c r="P502" s="1"/>
      <c r="Q502" s="11" t="b">
        <f>O502=P502</f>
        <v>0</v>
      </c>
      <c r="R502" s="30">
        <v>30041178</v>
      </c>
      <c r="S502" s="1"/>
      <c r="T502" s="11" t="b">
        <f>R502=S502</f>
        <v>0</v>
      </c>
      <c r="U502" s="10" t="s">
        <v>16</v>
      </c>
      <c r="V502" s="1"/>
      <c r="W502" s="11" t="b">
        <f>U502=V502</f>
        <v>0</v>
      </c>
      <c r="X502" s="13" t="s">
        <v>15</v>
      </c>
      <c r="Y502" s="1"/>
      <c r="Z502" s="1"/>
      <c r="AA502" s="60">
        <v>22001389</v>
      </c>
      <c r="AB502" s="10" t="s">
        <v>1409</v>
      </c>
      <c r="AD502" s="11" t="b">
        <f>AB502=AC502</f>
        <v>0</v>
      </c>
      <c r="AE502" s="10" t="s">
        <v>769</v>
      </c>
      <c r="AF502" s="1"/>
      <c r="AG502" s="11" t="b">
        <f>AE502=AF502</f>
        <v>0</v>
      </c>
      <c r="AH502" s="1">
        <v>15</v>
      </c>
      <c r="AI502" s="1">
        <v>8.59</v>
      </c>
      <c r="AJ502" s="16">
        <f>AI502*220/30*30.4375</f>
        <v>1917.3595833333334</v>
      </c>
      <c r="AK502" s="18">
        <v>1917.36</v>
      </c>
      <c r="AL502" s="71" t="s">
        <v>668</v>
      </c>
      <c r="AM502" s="19" t="b">
        <f>AL502=O502</f>
        <v>1</v>
      </c>
      <c r="AN502" s="7">
        <f>VLOOKUP(A502,'base ZITRHR129'!$G$1:$H$628,2,0)</f>
        <v>30041178</v>
      </c>
      <c r="AO502" s="7" t="b">
        <f>AN502=R502</f>
        <v>1</v>
      </c>
      <c r="AP502" s="7">
        <f>VLOOKUP(A502,'base ZITRHR129'!G130:W756,17,0)</f>
        <v>1917.36</v>
      </c>
      <c r="AQ502" s="7" t="b">
        <f>AP502=AK502</f>
        <v>1</v>
      </c>
      <c r="AR502" s="78"/>
    </row>
    <row r="503" spans="1:44" s="7" customFormat="1" x14ac:dyDescent="0.25">
      <c r="A503" s="7">
        <v>10075967</v>
      </c>
      <c r="B503" s="8" t="s">
        <v>525</v>
      </c>
      <c r="C503" s="8" t="s">
        <v>702</v>
      </c>
      <c r="D503" s="8" t="s">
        <v>717</v>
      </c>
      <c r="E503" s="8" t="s">
        <v>742</v>
      </c>
      <c r="F503" s="8" t="s">
        <v>1406</v>
      </c>
      <c r="G503" s="8" t="s">
        <v>769</v>
      </c>
      <c r="H503" s="9">
        <v>14</v>
      </c>
      <c r="I503" s="8" t="s">
        <v>668</v>
      </c>
      <c r="J503" s="8" t="s">
        <v>1274</v>
      </c>
      <c r="K503" s="8" t="s">
        <v>16</v>
      </c>
      <c r="L503" s="8" t="s">
        <v>17</v>
      </c>
      <c r="M503" s="10" t="s">
        <v>702</v>
      </c>
      <c r="N503" s="10" t="s">
        <v>717</v>
      </c>
      <c r="O503" s="10" t="s">
        <v>668</v>
      </c>
      <c r="P503" s="1"/>
      <c r="Q503" s="11" t="b">
        <f>O503=P503</f>
        <v>0</v>
      </c>
      <c r="R503" s="30">
        <v>30041179</v>
      </c>
      <c r="S503" s="1"/>
      <c r="T503" s="11" t="b">
        <f>R503=S503</f>
        <v>0</v>
      </c>
      <c r="U503" s="10" t="s">
        <v>16</v>
      </c>
      <c r="V503" s="1"/>
      <c r="W503" s="11" t="b">
        <f>U503=V503</f>
        <v>0</v>
      </c>
      <c r="X503" s="13" t="s">
        <v>15</v>
      </c>
      <c r="Y503" s="1"/>
      <c r="Z503" s="1"/>
      <c r="AA503" s="60">
        <v>22001389</v>
      </c>
      <c r="AB503" s="10" t="s">
        <v>1409</v>
      </c>
      <c r="AD503" s="11" t="b">
        <f>AB503=AC503</f>
        <v>0</v>
      </c>
      <c r="AE503" s="10" t="s">
        <v>769</v>
      </c>
      <c r="AF503" s="1"/>
      <c r="AG503" s="11" t="b">
        <f>AE503=AF503</f>
        <v>0</v>
      </c>
      <c r="AH503" s="1">
        <v>15</v>
      </c>
      <c r="AI503" s="1">
        <v>8.59</v>
      </c>
      <c r="AJ503" s="16">
        <f>AI503*220/30*30.4375</f>
        <v>1917.3595833333334</v>
      </c>
      <c r="AK503" s="18">
        <v>1917.36</v>
      </c>
      <c r="AL503" s="71" t="s">
        <v>668</v>
      </c>
      <c r="AM503" s="19" t="b">
        <f>AL503=O503</f>
        <v>1</v>
      </c>
      <c r="AN503" s="7">
        <f>VLOOKUP(A503,'base ZITRHR129'!$G$1:$H$628,2,0)</f>
        <v>30041179</v>
      </c>
      <c r="AO503" s="7" t="b">
        <f>AN503=R503</f>
        <v>1</v>
      </c>
      <c r="AP503" s="7">
        <f>VLOOKUP(A503,'base ZITRHR129'!G129:W755,17,0)</f>
        <v>1917.36</v>
      </c>
      <c r="AQ503" s="7" t="b">
        <f>AP503=AK503</f>
        <v>1</v>
      </c>
      <c r="AR503" s="78"/>
    </row>
    <row r="504" spans="1:44" s="7" customFormat="1" x14ac:dyDescent="0.25">
      <c r="A504" s="7">
        <v>10075968</v>
      </c>
      <c r="B504" s="8" t="s">
        <v>526</v>
      </c>
      <c r="C504" s="8" t="s">
        <v>684</v>
      </c>
      <c r="D504" s="8" t="s">
        <v>717</v>
      </c>
      <c r="E504" s="8" t="s">
        <v>742</v>
      </c>
      <c r="F504" s="8" t="s">
        <v>1406</v>
      </c>
      <c r="G504" s="8" t="s">
        <v>769</v>
      </c>
      <c r="H504" s="9">
        <v>15</v>
      </c>
      <c r="I504" s="8" t="s">
        <v>657</v>
      </c>
      <c r="J504" s="8" t="s">
        <v>1275</v>
      </c>
      <c r="K504" s="8" t="s">
        <v>16</v>
      </c>
      <c r="L504" s="8" t="s">
        <v>17</v>
      </c>
      <c r="M504" s="10" t="s">
        <v>684</v>
      </c>
      <c r="N504" s="10" t="s">
        <v>717</v>
      </c>
      <c r="O504" s="10" t="s">
        <v>657</v>
      </c>
      <c r="P504" s="1"/>
      <c r="Q504" s="11" t="b">
        <f>O504=P504</f>
        <v>0</v>
      </c>
      <c r="R504" s="30">
        <v>30041180</v>
      </c>
      <c r="S504" s="1"/>
      <c r="T504" s="11" t="b">
        <f>R504=S504</f>
        <v>0</v>
      </c>
      <c r="U504" s="10" t="s">
        <v>16</v>
      </c>
      <c r="V504" s="1"/>
      <c r="W504" s="11" t="b">
        <f>U504=V504</f>
        <v>0</v>
      </c>
      <c r="X504" s="13" t="s">
        <v>15</v>
      </c>
      <c r="Y504" s="1"/>
      <c r="Z504" s="1"/>
      <c r="AA504" s="60">
        <v>22001389</v>
      </c>
      <c r="AB504" s="10" t="s">
        <v>1409</v>
      </c>
      <c r="AD504" s="11" t="b">
        <f>AB504=AC504</f>
        <v>0</v>
      </c>
      <c r="AE504" s="10" t="s">
        <v>769</v>
      </c>
      <c r="AF504" s="1"/>
      <c r="AG504" s="11" t="b">
        <f>AE504=AF504</f>
        <v>0</v>
      </c>
      <c r="AH504" s="1">
        <v>15</v>
      </c>
      <c r="AI504" s="1">
        <v>8.59</v>
      </c>
      <c r="AJ504" s="16">
        <f>AI504*220/30*30.4375</f>
        <v>1917.3595833333334</v>
      </c>
      <c r="AK504" s="18">
        <v>1917.36</v>
      </c>
      <c r="AL504" s="71" t="s">
        <v>657</v>
      </c>
      <c r="AM504" s="19" t="b">
        <f>AL504=O504</f>
        <v>1</v>
      </c>
      <c r="AN504" s="7">
        <f>VLOOKUP(A504,'base ZITRHR129'!$G$1:$H$628,2,0)</f>
        <v>30041180</v>
      </c>
      <c r="AO504" s="7" t="b">
        <f>AN504=R504</f>
        <v>1</v>
      </c>
      <c r="AP504" s="7">
        <f>VLOOKUP(A504,'base ZITRHR129'!G128:W754,17,0)</f>
        <v>1917.36</v>
      </c>
      <c r="AQ504" s="7" t="b">
        <f>AP504=AK504</f>
        <v>1</v>
      </c>
      <c r="AR504" s="78"/>
    </row>
    <row r="505" spans="1:44" s="7" customFormat="1" x14ac:dyDescent="0.25">
      <c r="A505" s="7">
        <v>10075970</v>
      </c>
      <c r="B505" s="8" t="s">
        <v>527</v>
      </c>
      <c r="C505" s="8" t="s">
        <v>713</v>
      </c>
      <c r="D505" s="8" t="s">
        <v>717</v>
      </c>
      <c r="E505" s="8" t="s">
        <v>739</v>
      </c>
      <c r="F505" s="8" t="s">
        <v>1406</v>
      </c>
      <c r="G505" s="8" t="s">
        <v>766</v>
      </c>
      <c r="H505" s="9">
        <v>14</v>
      </c>
      <c r="I505" s="8" t="s">
        <v>659</v>
      </c>
      <c r="J505" s="8" t="s">
        <v>1276</v>
      </c>
      <c r="K505" s="8" t="s">
        <v>6</v>
      </c>
      <c r="L505" s="8" t="s">
        <v>17</v>
      </c>
      <c r="M505" s="10" t="s">
        <v>713</v>
      </c>
      <c r="N505" s="10" t="s">
        <v>717</v>
      </c>
      <c r="O505" s="10" t="s">
        <v>659</v>
      </c>
      <c r="P505" s="1"/>
      <c r="Q505" s="11" t="b">
        <f>O505=P505</f>
        <v>0</v>
      </c>
      <c r="R505" s="30">
        <v>30041181</v>
      </c>
      <c r="S505" s="1"/>
      <c r="T505" s="11" t="b">
        <f>R505=S505</f>
        <v>0</v>
      </c>
      <c r="U505" s="10" t="s">
        <v>6</v>
      </c>
      <c r="V505" s="1"/>
      <c r="W505" s="11" t="b">
        <f>U505=V505</f>
        <v>0</v>
      </c>
      <c r="X505" s="13" t="s">
        <v>15</v>
      </c>
      <c r="Y505" s="1"/>
      <c r="Z505" s="1"/>
      <c r="AA505" s="63">
        <v>22001415</v>
      </c>
      <c r="AB505" s="10" t="s">
        <v>1409</v>
      </c>
      <c r="AD505" s="11" t="b">
        <f>AB505=AC505</f>
        <v>0</v>
      </c>
      <c r="AE505" s="10" t="s">
        <v>766</v>
      </c>
      <c r="AF505" s="1"/>
      <c r="AG505" s="11" t="b">
        <f>AE505=AF505</f>
        <v>0</v>
      </c>
      <c r="AH505" s="1">
        <v>14</v>
      </c>
      <c r="AI505" s="1">
        <v>8.26</v>
      </c>
      <c r="AJ505" s="16">
        <f>AI505*220/30*30.4375</f>
        <v>1843.7008333333335</v>
      </c>
      <c r="AK505" s="18">
        <v>1843.7</v>
      </c>
      <c r="AL505" s="71" t="s">
        <v>659</v>
      </c>
      <c r="AM505" s="19" t="b">
        <f>AL505=O505</f>
        <v>1</v>
      </c>
      <c r="AN505" s="7">
        <f>VLOOKUP(A505,'base ZITRHR129'!$G$1:$H$628,2,0)</f>
        <v>30041181</v>
      </c>
      <c r="AO505" s="7" t="b">
        <f>AN505=R505</f>
        <v>1</v>
      </c>
      <c r="AP505" s="7">
        <f>VLOOKUP(A505,'base ZITRHR129'!G127:W753,17,0)</f>
        <v>1843.7</v>
      </c>
      <c r="AQ505" s="7" t="b">
        <f>AP505=AK505</f>
        <v>1</v>
      </c>
      <c r="AR505" s="78"/>
    </row>
    <row r="506" spans="1:44" s="7" customFormat="1" x14ac:dyDescent="0.25">
      <c r="A506" s="7">
        <v>10075972</v>
      </c>
      <c r="B506" s="8" t="s">
        <v>528</v>
      </c>
      <c r="C506" s="8" t="s">
        <v>684</v>
      </c>
      <c r="D506" s="8" t="s">
        <v>717</v>
      </c>
      <c r="E506" s="8" t="s">
        <v>742</v>
      </c>
      <c r="F506" s="8" t="s">
        <v>1406</v>
      </c>
      <c r="G506" s="8" t="s">
        <v>769</v>
      </c>
      <c r="H506" s="9">
        <v>15</v>
      </c>
      <c r="I506" s="8" t="s">
        <v>657</v>
      </c>
      <c r="J506" s="8" t="s">
        <v>1277</v>
      </c>
      <c r="K506" s="8" t="s">
        <v>16</v>
      </c>
      <c r="L506" s="8" t="s">
        <v>17</v>
      </c>
      <c r="M506" s="10" t="s">
        <v>684</v>
      </c>
      <c r="N506" s="10" t="s">
        <v>717</v>
      </c>
      <c r="O506" s="10" t="s">
        <v>657</v>
      </c>
      <c r="P506" s="1"/>
      <c r="Q506" s="11" t="b">
        <f>O506=P506</f>
        <v>0</v>
      </c>
      <c r="R506" s="30">
        <v>30041182</v>
      </c>
      <c r="S506" s="1"/>
      <c r="T506" s="11" t="b">
        <f>R506=S506</f>
        <v>0</v>
      </c>
      <c r="U506" s="10" t="s">
        <v>16</v>
      </c>
      <c r="V506" s="1"/>
      <c r="W506" s="11" t="b">
        <f>U506=V506</f>
        <v>0</v>
      </c>
      <c r="X506" s="13" t="s">
        <v>15</v>
      </c>
      <c r="Y506" s="1"/>
      <c r="Z506" s="1"/>
      <c r="AA506" s="60">
        <v>22001389</v>
      </c>
      <c r="AB506" s="10" t="s">
        <v>1409</v>
      </c>
      <c r="AD506" s="11" t="b">
        <f>AB506=AC506</f>
        <v>0</v>
      </c>
      <c r="AE506" s="10" t="s">
        <v>769</v>
      </c>
      <c r="AF506" s="1"/>
      <c r="AG506" s="11" t="b">
        <f>AE506=AF506</f>
        <v>0</v>
      </c>
      <c r="AH506" s="1">
        <v>15</v>
      </c>
      <c r="AI506" s="1">
        <v>8.59</v>
      </c>
      <c r="AJ506" s="16">
        <f>AI506*220/30*30.4375</f>
        <v>1917.3595833333334</v>
      </c>
      <c r="AK506" s="18">
        <v>1917.36</v>
      </c>
      <c r="AL506" s="71" t="s">
        <v>657</v>
      </c>
      <c r="AM506" s="19" t="b">
        <f>AL506=O506</f>
        <v>1</v>
      </c>
      <c r="AN506" s="7">
        <f>VLOOKUP(A506,'base ZITRHR129'!$G$1:$H$628,2,0)</f>
        <v>30041182</v>
      </c>
      <c r="AO506" s="7" t="b">
        <f>AN506=R506</f>
        <v>1</v>
      </c>
      <c r="AP506" s="7">
        <f>VLOOKUP(A506,'base ZITRHR129'!G126:W752,17,0)</f>
        <v>1917.36</v>
      </c>
      <c r="AQ506" s="7" t="b">
        <f>AP506=AK506</f>
        <v>1</v>
      </c>
      <c r="AR506" s="78"/>
    </row>
    <row r="507" spans="1:44" s="7" customFormat="1" x14ac:dyDescent="0.25">
      <c r="A507" s="7">
        <v>10075979</v>
      </c>
      <c r="B507" s="8" t="s">
        <v>529</v>
      </c>
      <c r="C507" s="8" t="s">
        <v>701</v>
      </c>
      <c r="D507" s="8" t="s">
        <v>717</v>
      </c>
      <c r="E507" s="8" t="s">
        <v>742</v>
      </c>
      <c r="F507" s="8" t="s">
        <v>1406</v>
      </c>
      <c r="G507" s="8" t="s">
        <v>769</v>
      </c>
      <c r="H507" s="9">
        <v>15</v>
      </c>
      <c r="I507" s="8" t="s">
        <v>668</v>
      </c>
      <c r="J507" s="8" t="s">
        <v>1278</v>
      </c>
      <c r="K507" s="8" t="s">
        <v>16</v>
      </c>
      <c r="L507" s="8" t="s">
        <v>17</v>
      </c>
      <c r="M507" s="10" t="s">
        <v>701</v>
      </c>
      <c r="N507" s="10" t="s">
        <v>717</v>
      </c>
      <c r="O507" s="10" t="s">
        <v>668</v>
      </c>
      <c r="P507" s="1"/>
      <c r="Q507" s="11" t="b">
        <f>O507=P507</f>
        <v>0</v>
      </c>
      <c r="R507" s="30">
        <v>30041183</v>
      </c>
      <c r="S507" s="1"/>
      <c r="T507" s="11" t="b">
        <f>R507=S507</f>
        <v>0</v>
      </c>
      <c r="U507" s="10" t="s">
        <v>16</v>
      </c>
      <c r="V507" s="1"/>
      <c r="W507" s="11" t="b">
        <f>U507=V507</f>
        <v>0</v>
      </c>
      <c r="X507" s="13" t="s">
        <v>15</v>
      </c>
      <c r="Y507" s="1"/>
      <c r="Z507" s="1"/>
      <c r="AA507" s="60">
        <v>22001389</v>
      </c>
      <c r="AB507" s="10" t="s">
        <v>1409</v>
      </c>
      <c r="AD507" s="11" t="b">
        <f>AB507=AC507</f>
        <v>0</v>
      </c>
      <c r="AE507" s="10" t="s">
        <v>769</v>
      </c>
      <c r="AF507" s="1"/>
      <c r="AG507" s="11" t="b">
        <f>AE507=AF507</f>
        <v>0</v>
      </c>
      <c r="AH507" s="1">
        <v>15</v>
      </c>
      <c r="AI507" s="1">
        <v>8.59</v>
      </c>
      <c r="AJ507" s="16">
        <f>AI507*220/30*30.4375</f>
        <v>1917.3595833333334</v>
      </c>
      <c r="AK507" s="18">
        <v>1917.36</v>
      </c>
      <c r="AL507" s="71" t="s">
        <v>668</v>
      </c>
      <c r="AM507" s="19" t="b">
        <f>AL507=O507</f>
        <v>1</v>
      </c>
      <c r="AN507" s="7">
        <f>VLOOKUP(A507,'base ZITRHR129'!$G$1:$H$628,2,0)</f>
        <v>30041183</v>
      </c>
      <c r="AO507" s="7" t="b">
        <f>AN507=R507</f>
        <v>1</v>
      </c>
      <c r="AP507" s="7">
        <f>VLOOKUP(A507,'base ZITRHR129'!G125:W751,17,0)</f>
        <v>1917.36</v>
      </c>
      <c r="AQ507" s="7" t="b">
        <f>AP507=AK507</f>
        <v>1</v>
      </c>
      <c r="AR507" s="78"/>
    </row>
    <row r="508" spans="1:44" s="7" customFormat="1" x14ac:dyDescent="0.25">
      <c r="A508" s="7">
        <v>10075980</v>
      </c>
      <c r="B508" s="8" t="s">
        <v>530</v>
      </c>
      <c r="C508" s="8" t="s">
        <v>683</v>
      </c>
      <c r="D508" s="8" t="s">
        <v>717</v>
      </c>
      <c r="E508" s="8" t="s">
        <v>722</v>
      </c>
      <c r="F508" s="8" t="s">
        <v>1406</v>
      </c>
      <c r="G508" s="8" t="s">
        <v>753</v>
      </c>
      <c r="H508" s="9">
        <v>19</v>
      </c>
      <c r="I508" s="8" t="s">
        <v>656</v>
      </c>
      <c r="J508" s="8" t="s">
        <v>1279</v>
      </c>
      <c r="K508" s="8" t="s">
        <v>6</v>
      </c>
      <c r="L508" s="8" t="s">
        <v>17</v>
      </c>
      <c r="M508" s="10" t="s">
        <v>683</v>
      </c>
      <c r="N508" s="10" t="s">
        <v>717</v>
      </c>
      <c r="O508" s="10" t="s">
        <v>656</v>
      </c>
      <c r="P508" s="1"/>
      <c r="Q508" s="11" t="b">
        <f>O508=P508</f>
        <v>0</v>
      </c>
      <c r="R508" s="30">
        <v>30041184</v>
      </c>
      <c r="S508" s="1"/>
      <c r="T508" s="11" t="b">
        <f>R508=S508</f>
        <v>0</v>
      </c>
      <c r="U508" s="10" t="s">
        <v>6</v>
      </c>
      <c r="V508" s="1"/>
      <c r="W508" s="11" t="b">
        <f>U508=V508</f>
        <v>0</v>
      </c>
      <c r="X508" s="13" t="s">
        <v>15</v>
      </c>
      <c r="Y508" s="1"/>
      <c r="Z508" s="1"/>
      <c r="AA508" s="10">
        <v>22002695</v>
      </c>
      <c r="AB508" s="10" t="s">
        <v>1409</v>
      </c>
      <c r="AD508" s="11" t="b">
        <f>AB508=AC508</f>
        <v>0</v>
      </c>
      <c r="AE508" s="10" t="s">
        <v>753</v>
      </c>
      <c r="AF508" s="1"/>
      <c r="AG508" s="11" t="b">
        <f>AE508=AF508</f>
        <v>0</v>
      </c>
      <c r="AH508" s="1">
        <v>19</v>
      </c>
      <c r="AI508" s="1">
        <v>16.399999999999999</v>
      </c>
      <c r="AJ508" s="16">
        <f>AI508*220/30*30.4375</f>
        <v>3660.6166666666663</v>
      </c>
      <c r="AK508" s="18">
        <v>3660.62</v>
      </c>
      <c r="AL508" s="71" t="s">
        <v>656</v>
      </c>
      <c r="AM508" s="19" t="b">
        <f>AL508=O508</f>
        <v>1</v>
      </c>
      <c r="AN508" s="7">
        <f>VLOOKUP(A508,'base ZITRHR129'!$G$1:$H$628,2,0)</f>
        <v>30041184</v>
      </c>
      <c r="AO508" s="7" t="b">
        <f>AN508=R508</f>
        <v>1</v>
      </c>
      <c r="AP508" s="7">
        <f>VLOOKUP(A508,'base ZITRHR129'!G124:W750,17,0)</f>
        <v>3660.62</v>
      </c>
      <c r="AQ508" s="7" t="b">
        <f>AP508=AK508</f>
        <v>1</v>
      </c>
      <c r="AR508" s="78"/>
    </row>
    <row r="509" spans="1:44" s="7" customFormat="1" x14ac:dyDescent="0.25">
      <c r="A509" s="7">
        <v>10076098</v>
      </c>
      <c r="B509" s="8" t="s">
        <v>531</v>
      </c>
      <c r="C509" s="8" t="s">
        <v>679</v>
      </c>
      <c r="D509" s="8" t="s">
        <v>717</v>
      </c>
      <c r="E509" s="8" t="s">
        <v>742</v>
      </c>
      <c r="F509" s="8" t="s">
        <v>1406</v>
      </c>
      <c r="G509" s="8" t="s">
        <v>769</v>
      </c>
      <c r="H509" s="9">
        <v>15</v>
      </c>
      <c r="I509" s="8" t="s">
        <v>653</v>
      </c>
      <c r="J509" s="8" t="s">
        <v>1280</v>
      </c>
      <c r="K509" s="8" t="s">
        <v>16</v>
      </c>
      <c r="L509" s="8" t="s">
        <v>17</v>
      </c>
      <c r="M509" s="10" t="s">
        <v>679</v>
      </c>
      <c r="N509" s="10" t="s">
        <v>717</v>
      </c>
      <c r="O509" s="10" t="s">
        <v>653</v>
      </c>
      <c r="P509" s="1"/>
      <c r="Q509" s="11" t="b">
        <f>O509=P509</f>
        <v>0</v>
      </c>
      <c r="R509" s="30">
        <v>30041185</v>
      </c>
      <c r="S509" s="1"/>
      <c r="T509" s="11" t="b">
        <f>R509=S509</f>
        <v>0</v>
      </c>
      <c r="U509" s="10" t="s">
        <v>16</v>
      </c>
      <c r="V509" s="1"/>
      <c r="W509" s="11" t="b">
        <f>U509=V509</f>
        <v>0</v>
      </c>
      <c r="X509" s="13" t="s">
        <v>15</v>
      </c>
      <c r="Y509" s="1"/>
      <c r="Z509" s="1"/>
      <c r="AA509" s="60">
        <v>22001389</v>
      </c>
      <c r="AB509" s="10" t="s">
        <v>1409</v>
      </c>
      <c r="AD509" s="11" t="b">
        <f>AB509=AC509</f>
        <v>0</v>
      </c>
      <c r="AE509" s="10" t="s">
        <v>769</v>
      </c>
      <c r="AF509" s="1"/>
      <c r="AG509" s="11" t="b">
        <f>AE509=AF509</f>
        <v>0</v>
      </c>
      <c r="AH509" s="1">
        <v>15</v>
      </c>
      <c r="AI509" s="1">
        <v>8.59</v>
      </c>
      <c r="AJ509" s="16">
        <f>AI509*220/30*30.4375</f>
        <v>1917.3595833333334</v>
      </c>
      <c r="AK509" s="18">
        <v>1917.36</v>
      </c>
      <c r="AL509" s="71" t="s">
        <v>653</v>
      </c>
      <c r="AM509" s="19" t="b">
        <f>AL509=O509</f>
        <v>1</v>
      </c>
      <c r="AN509" s="7">
        <f>VLOOKUP(A509,'base ZITRHR129'!$G$1:$H$628,2,0)</f>
        <v>30041185</v>
      </c>
      <c r="AO509" s="7" t="b">
        <f>AN509=R509</f>
        <v>1</v>
      </c>
      <c r="AP509" s="7">
        <f>VLOOKUP(A509,'base ZITRHR129'!G123:W749,17,0)</f>
        <v>1917.36</v>
      </c>
      <c r="AQ509" s="7" t="b">
        <f>AP509=AK509</f>
        <v>1</v>
      </c>
      <c r="AR509" s="78"/>
    </row>
    <row r="510" spans="1:44" s="7" customFormat="1" x14ac:dyDescent="0.25">
      <c r="A510" s="7">
        <v>10076121</v>
      </c>
      <c r="B510" s="8" t="s">
        <v>532</v>
      </c>
      <c r="C510" s="8" t="s">
        <v>680</v>
      </c>
      <c r="D510" s="8" t="s">
        <v>717</v>
      </c>
      <c r="E510" s="8" t="s">
        <v>737</v>
      </c>
      <c r="F510" s="8" t="s">
        <v>1406</v>
      </c>
      <c r="G510" s="8" t="s">
        <v>765</v>
      </c>
      <c r="H510" s="9">
        <v>14</v>
      </c>
      <c r="I510" s="8" t="s">
        <v>654</v>
      </c>
      <c r="J510" s="8" t="s">
        <v>1281</v>
      </c>
      <c r="K510" s="8" t="s">
        <v>16</v>
      </c>
      <c r="L510" s="8" t="s">
        <v>17</v>
      </c>
      <c r="M510" s="10" t="s">
        <v>680</v>
      </c>
      <c r="N510" s="10" t="s">
        <v>717</v>
      </c>
      <c r="O510" s="10" t="s">
        <v>654</v>
      </c>
      <c r="P510" s="1"/>
      <c r="Q510" s="11" t="b">
        <f>O510=P510</f>
        <v>0</v>
      </c>
      <c r="R510" s="30">
        <v>30041186</v>
      </c>
      <c r="S510" s="1"/>
      <c r="T510" s="11" t="b">
        <f>R510=S510</f>
        <v>0</v>
      </c>
      <c r="U510" s="10" t="s">
        <v>16</v>
      </c>
      <c r="V510" s="1"/>
      <c r="W510" s="11" t="b">
        <f>U510=V510</f>
        <v>0</v>
      </c>
      <c r="X510" s="13" t="s">
        <v>15</v>
      </c>
      <c r="Y510" s="1"/>
      <c r="Z510" s="1"/>
      <c r="AA510" s="10">
        <v>22002830</v>
      </c>
      <c r="AB510" s="10" t="s">
        <v>1409</v>
      </c>
      <c r="AD510" s="11" t="b">
        <f>AB510=AC510</f>
        <v>0</v>
      </c>
      <c r="AE510" s="10" t="s">
        <v>765</v>
      </c>
      <c r="AF510" s="1"/>
      <c r="AG510" s="11" t="b">
        <f>AE510=AF510</f>
        <v>0</v>
      </c>
      <c r="AH510" s="1">
        <v>14</v>
      </c>
      <c r="AI510" s="1">
        <v>8.59</v>
      </c>
      <c r="AJ510" s="16">
        <f>AI510*220/30*30.4375</f>
        <v>1917.3595833333334</v>
      </c>
      <c r="AK510" s="18">
        <v>1917.36</v>
      </c>
      <c r="AL510" s="71" t="s">
        <v>654</v>
      </c>
      <c r="AM510" s="19" t="b">
        <f>AL510=O510</f>
        <v>1</v>
      </c>
      <c r="AN510" s="7">
        <f>VLOOKUP(A510,'base ZITRHR129'!$G$1:$H$628,2,0)</f>
        <v>30041186</v>
      </c>
      <c r="AO510" s="7" t="b">
        <f>AN510=R510</f>
        <v>1</v>
      </c>
      <c r="AP510" s="7">
        <f>VLOOKUP(A510,'base ZITRHR129'!G122:W748,17,0)</f>
        <v>1917.36</v>
      </c>
      <c r="AQ510" s="7" t="b">
        <f>AP510=AK510</f>
        <v>1</v>
      </c>
      <c r="AR510" s="78"/>
    </row>
    <row r="511" spans="1:44" s="7" customFormat="1" x14ac:dyDescent="0.25">
      <c r="A511" s="7">
        <v>10076134</v>
      </c>
      <c r="B511" s="8" t="s">
        <v>533</v>
      </c>
      <c r="C511" s="8" t="s">
        <v>679</v>
      </c>
      <c r="D511" s="8" t="s">
        <v>717</v>
      </c>
      <c r="E511" s="8" t="s">
        <v>742</v>
      </c>
      <c r="F511" s="8" t="s">
        <v>1406</v>
      </c>
      <c r="G511" s="8" t="s">
        <v>769</v>
      </c>
      <c r="H511" s="9">
        <v>15</v>
      </c>
      <c r="I511" s="8" t="s">
        <v>653</v>
      </c>
      <c r="J511" s="8" t="s">
        <v>1282</v>
      </c>
      <c r="K511" s="8" t="s">
        <v>16</v>
      </c>
      <c r="L511" s="8" t="s">
        <v>17</v>
      </c>
      <c r="M511" s="10" t="s">
        <v>679</v>
      </c>
      <c r="N511" s="10" t="s">
        <v>717</v>
      </c>
      <c r="O511" s="10" t="s">
        <v>653</v>
      </c>
      <c r="P511" s="1"/>
      <c r="Q511" s="11" t="b">
        <f>O511=P511</f>
        <v>0</v>
      </c>
      <c r="R511" s="30">
        <v>30041187</v>
      </c>
      <c r="S511" s="1"/>
      <c r="T511" s="11" t="b">
        <f>R511=S511</f>
        <v>0</v>
      </c>
      <c r="U511" s="10" t="s">
        <v>16</v>
      </c>
      <c r="V511" s="1"/>
      <c r="W511" s="11" t="b">
        <f>U511=V511</f>
        <v>0</v>
      </c>
      <c r="X511" s="13" t="s">
        <v>15</v>
      </c>
      <c r="Y511" s="1"/>
      <c r="Z511" s="1"/>
      <c r="AA511" s="60">
        <v>22001389</v>
      </c>
      <c r="AB511" s="10" t="s">
        <v>1409</v>
      </c>
      <c r="AD511" s="11" t="b">
        <f>AB511=AC511</f>
        <v>0</v>
      </c>
      <c r="AE511" s="10" t="s">
        <v>769</v>
      </c>
      <c r="AF511" s="1"/>
      <c r="AG511" s="11" t="b">
        <f>AE511=AF511</f>
        <v>0</v>
      </c>
      <c r="AH511" s="1">
        <v>15</v>
      </c>
      <c r="AI511" s="1">
        <v>8.59</v>
      </c>
      <c r="AJ511" s="16">
        <f>AI511*220/30*30.4375</f>
        <v>1917.3595833333334</v>
      </c>
      <c r="AK511" s="18">
        <v>1917.36</v>
      </c>
      <c r="AL511" s="71" t="s">
        <v>653</v>
      </c>
      <c r="AM511" s="19" t="b">
        <f>AL511=O511</f>
        <v>1</v>
      </c>
      <c r="AN511" s="7">
        <f>VLOOKUP(A511,'base ZITRHR129'!$G$1:$H$628,2,0)</f>
        <v>30041187</v>
      </c>
      <c r="AO511" s="7" t="b">
        <f>AN511=R511</f>
        <v>1</v>
      </c>
      <c r="AP511" s="7">
        <f>VLOOKUP(A511,'base ZITRHR129'!G121:W747,17,0)</f>
        <v>1917.36</v>
      </c>
      <c r="AQ511" s="7" t="b">
        <f>AP511=AK511</f>
        <v>1</v>
      </c>
      <c r="AR511" s="78"/>
    </row>
    <row r="512" spans="1:44" s="7" customFormat="1" x14ac:dyDescent="0.25">
      <c r="A512" s="7">
        <v>10076139</v>
      </c>
      <c r="B512" s="8" t="s">
        <v>534</v>
      </c>
      <c r="C512" s="8" t="s">
        <v>713</v>
      </c>
      <c r="D512" s="8" t="s">
        <v>717</v>
      </c>
      <c r="E512" s="8" t="s">
        <v>739</v>
      </c>
      <c r="F512" s="8" t="s">
        <v>1406</v>
      </c>
      <c r="G512" s="8" t="s">
        <v>766</v>
      </c>
      <c r="H512" s="9">
        <v>14</v>
      </c>
      <c r="I512" s="8" t="s">
        <v>659</v>
      </c>
      <c r="J512" s="8" t="s">
        <v>1283</v>
      </c>
      <c r="K512" s="8" t="s">
        <v>6</v>
      </c>
      <c r="L512" s="8" t="s">
        <v>17</v>
      </c>
      <c r="M512" s="10" t="s">
        <v>713</v>
      </c>
      <c r="N512" s="10" t="s">
        <v>717</v>
      </c>
      <c r="O512" s="10" t="s">
        <v>659</v>
      </c>
      <c r="P512" s="1"/>
      <c r="Q512" s="11" t="b">
        <f>O512=P512</f>
        <v>0</v>
      </c>
      <c r="R512" s="30">
        <v>30041188</v>
      </c>
      <c r="S512" s="1"/>
      <c r="T512" s="11" t="b">
        <f>R512=S512</f>
        <v>0</v>
      </c>
      <c r="U512" s="10" t="s">
        <v>6</v>
      </c>
      <c r="V512" s="1"/>
      <c r="W512" s="11" t="b">
        <f>U512=V512</f>
        <v>0</v>
      </c>
      <c r="X512" s="13" t="s">
        <v>15</v>
      </c>
      <c r="Y512" s="1"/>
      <c r="Z512" s="1"/>
      <c r="AA512" s="63">
        <v>22001415</v>
      </c>
      <c r="AB512" s="10" t="s">
        <v>1409</v>
      </c>
      <c r="AD512" s="11" t="b">
        <f>AB512=AC512</f>
        <v>0</v>
      </c>
      <c r="AE512" s="10" t="s">
        <v>766</v>
      </c>
      <c r="AF512" s="1"/>
      <c r="AG512" s="11" t="b">
        <f>AE512=AF512</f>
        <v>0</v>
      </c>
      <c r="AH512" s="1">
        <v>14</v>
      </c>
      <c r="AI512" s="1">
        <v>7.37</v>
      </c>
      <c r="AJ512" s="16">
        <f>AI512*220/30*30.4375</f>
        <v>1645.0454166666666</v>
      </c>
      <c r="AK512" s="18">
        <v>1645.05</v>
      </c>
      <c r="AL512" s="71" t="s">
        <v>659</v>
      </c>
      <c r="AM512" s="19" t="b">
        <f>AL512=O512</f>
        <v>1</v>
      </c>
      <c r="AN512" s="7">
        <f>VLOOKUP(A512,'base ZITRHR129'!$G$1:$H$628,2,0)</f>
        <v>30041188</v>
      </c>
      <c r="AO512" s="7" t="b">
        <f>AN512=R512</f>
        <v>1</v>
      </c>
      <c r="AP512" s="7">
        <f>VLOOKUP(A512,'base ZITRHR129'!G120:W746,17,0)</f>
        <v>1645.05</v>
      </c>
      <c r="AQ512" s="7" t="b">
        <f>AP512=AK512</f>
        <v>1</v>
      </c>
      <c r="AR512" s="78"/>
    </row>
    <row r="513" spans="1:44" s="7" customFormat="1" x14ac:dyDescent="0.25">
      <c r="A513" s="7">
        <v>10076166</v>
      </c>
      <c r="B513" s="8" t="s">
        <v>535</v>
      </c>
      <c r="C513" s="8" t="s">
        <v>711</v>
      </c>
      <c r="D513" s="8" t="s">
        <v>717</v>
      </c>
      <c r="E513" s="8" t="s">
        <v>737</v>
      </c>
      <c r="F513" s="8" t="s">
        <v>1406</v>
      </c>
      <c r="G513" s="8" t="s">
        <v>765</v>
      </c>
      <c r="H513" s="9">
        <v>14</v>
      </c>
      <c r="I513" s="8" t="s">
        <v>675</v>
      </c>
      <c r="J513" s="8" t="s">
        <v>1284</v>
      </c>
      <c r="K513" s="8" t="s">
        <v>16</v>
      </c>
      <c r="L513" s="8" t="s">
        <v>17</v>
      </c>
      <c r="M513" s="10" t="s">
        <v>711</v>
      </c>
      <c r="N513" s="10" t="s">
        <v>717</v>
      </c>
      <c r="O513" s="10" t="s">
        <v>675</v>
      </c>
      <c r="P513" s="1"/>
      <c r="Q513" s="11" t="b">
        <f>O513=P513</f>
        <v>0</v>
      </c>
      <c r="R513" s="30">
        <v>30041189</v>
      </c>
      <c r="S513" s="1"/>
      <c r="T513" s="11" t="b">
        <f>R513=S513</f>
        <v>0</v>
      </c>
      <c r="U513" s="10" t="s">
        <v>16</v>
      </c>
      <c r="V513" s="1"/>
      <c r="W513" s="11" t="b">
        <f>U513=V513</f>
        <v>0</v>
      </c>
      <c r="X513" s="13" t="s">
        <v>15</v>
      </c>
      <c r="Y513" s="1"/>
      <c r="Z513" s="1"/>
      <c r="AA513" s="63">
        <v>22002830</v>
      </c>
      <c r="AB513" s="10" t="s">
        <v>1409</v>
      </c>
      <c r="AD513" s="11" t="b">
        <f>AB513=AC513</f>
        <v>0</v>
      </c>
      <c r="AE513" s="10" t="s">
        <v>765</v>
      </c>
      <c r="AF513" s="1"/>
      <c r="AG513" s="11" t="b">
        <f>AE513=AF513</f>
        <v>0</v>
      </c>
      <c r="AH513" s="1">
        <v>14</v>
      </c>
      <c r="AI513" s="1">
        <v>8.59</v>
      </c>
      <c r="AJ513" s="16">
        <f>AI513*220/30*30.4375</f>
        <v>1917.3595833333334</v>
      </c>
      <c r="AK513" s="18">
        <v>1917.36</v>
      </c>
      <c r="AL513" s="71" t="s">
        <v>675</v>
      </c>
      <c r="AM513" s="19" t="b">
        <f>AL513=O513</f>
        <v>1</v>
      </c>
      <c r="AN513" s="7">
        <f>VLOOKUP(A513,'base ZITRHR129'!$G$1:$H$628,2,0)</f>
        <v>30041189</v>
      </c>
      <c r="AO513" s="7" t="b">
        <f>AN513=R513</f>
        <v>1</v>
      </c>
      <c r="AP513" s="7">
        <f>VLOOKUP(A513,'base ZITRHR129'!G119:W745,17,0)</f>
        <v>1917.36</v>
      </c>
      <c r="AQ513" s="7" t="b">
        <f>AP513=AK513</f>
        <v>1</v>
      </c>
      <c r="AR513" s="78"/>
    </row>
    <row r="514" spans="1:44" s="7" customFormat="1" x14ac:dyDescent="0.25">
      <c r="A514" s="7">
        <v>10076289</v>
      </c>
      <c r="B514" s="8" t="s">
        <v>536</v>
      </c>
      <c r="C514" s="8" t="s">
        <v>708</v>
      </c>
      <c r="D514" s="8" t="s">
        <v>717</v>
      </c>
      <c r="E514" s="8" t="s">
        <v>737</v>
      </c>
      <c r="F514" s="8" t="s">
        <v>1406</v>
      </c>
      <c r="G514" s="8" t="s">
        <v>765</v>
      </c>
      <c r="H514" s="9">
        <v>14</v>
      </c>
      <c r="I514" s="8" t="s">
        <v>672</v>
      </c>
      <c r="J514" s="8" t="s">
        <v>1285</v>
      </c>
      <c r="K514" s="8" t="s">
        <v>16</v>
      </c>
      <c r="L514" s="8" t="s">
        <v>17</v>
      </c>
      <c r="M514" s="10" t="s">
        <v>708</v>
      </c>
      <c r="N514" s="10" t="s">
        <v>717</v>
      </c>
      <c r="O514" s="10" t="s">
        <v>672</v>
      </c>
      <c r="P514" s="1"/>
      <c r="Q514" s="11" t="b">
        <f>O514=P514</f>
        <v>0</v>
      </c>
      <c r="R514" s="30">
        <v>30041190</v>
      </c>
      <c r="S514" s="1"/>
      <c r="T514" s="11" t="b">
        <f>R514=S514</f>
        <v>0</v>
      </c>
      <c r="U514" s="10" t="s">
        <v>16</v>
      </c>
      <c r="V514" s="1"/>
      <c r="W514" s="11" t="b">
        <f>U514=V514</f>
        <v>0</v>
      </c>
      <c r="X514" s="13" t="s">
        <v>15</v>
      </c>
      <c r="Y514" s="1"/>
      <c r="Z514" s="1"/>
      <c r="AA514" s="10">
        <v>22002830</v>
      </c>
      <c r="AB514" s="10" t="s">
        <v>1409</v>
      </c>
      <c r="AD514" s="11" t="b">
        <f>AB514=AC514</f>
        <v>0</v>
      </c>
      <c r="AE514" s="10" t="s">
        <v>765</v>
      </c>
      <c r="AF514" s="1"/>
      <c r="AG514" s="11" t="b">
        <f>AE514=AF514</f>
        <v>0</v>
      </c>
      <c r="AH514" s="1">
        <v>14</v>
      </c>
      <c r="AI514" s="1">
        <v>8.59</v>
      </c>
      <c r="AJ514" s="16">
        <f>AI514*220/30*30.4375</f>
        <v>1917.3595833333334</v>
      </c>
      <c r="AK514" s="18">
        <v>1917.36</v>
      </c>
      <c r="AL514" s="71" t="s">
        <v>672</v>
      </c>
      <c r="AM514" s="19" t="b">
        <f>AL514=O514</f>
        <v>1</v>
      </c>
      <c r="AN514" s="7">
        <f>VLOOKUP(A514,'base ZITRHR129'!$G$1:$H$628,2,0)</f>
        <v>30041190</v>
      </c>
      <c r="AO514" s="7" t="b">
        <f>AN514=R514</f>
        <v>1</v>
      </c>
      <c r="AP514" s="7">
        <f>VLOOKUP(A514,'base ZITRHR129'!G118:W744,17,0)</f>
        <v>1917.36</v>
      </c>
      <c r="AQ514" s="7" t="b">
        <f>AP514=AK514</f>
        <v>1</v>
      </c>
      <c r="AR514" s="78"/>
    </row>
    <row r="515" spans="1:44" s="7" customFormat="1" x14ac:dyDescent="0.25">
      <c r="A515" s="7">
        <v>10076518</v>
      </c>
      <c r="B515" s="8" t="s">
        <v>537</v>
      </c>
      <c r="C515" s="8" t="s">
        <v>687</v>
      </c>
      <c r="D515" s="8" t="s">
        <v>717</v>
      </c>
      <c r="E515" s="8" t="s">
        <v>737</v>
      </c>
      <c r="F515" s="8" t="s">
        <v>1406</v>
      </c>
      <c r="G515" s="8" t="s">
        <v>765</v>
      </c>
      <c r="H515" s="9">
        <v>14</v>
      </c>
      <c r="I515" s="8" t="s">
        <v>660</v>
      </c>
      <c r="J515" s="8" t="s">
        <v>1286</v>
      </c>
      <c r="K515" s="8" t="s">
        <v>16</v>
      </c>
      <c r="L515" s="8" t="s">
        <v>17</v>
      </c>
      <c r="M515" s="10" t="s">
        <v>687</v>
      </c>
      <c r="N515" s="10" t="s">
        <v>717</v>
      </c>
      <c r="O515" s="10" t="s">
        <v>660</v>
      </c>
      <c r="P515" s="1"/>
      <c r="Q515" s="11" t="b">
        <f>O515=P515</f>
        <v>0</v>
      </c>
      <c r="R515" s="30">
        <v>30041191</v>
      </c>
      <c r="S515" s="1"/>
      <c r="T515" s="11" t="b">
        <f>R515=S515</f>
        <v>0</v>
      </c>
      <c r="U515" s="10" t="s">
        <v>16</v>
      </c>
      <c r="V515" s="1"/>
      <c r="W515" s="11" t="b">
        <f>U515=V515</f>
        <v>0</v>
      </c>
      <c r="X515" s="13" t="s">
        <v>15</v>
      </c>
      <c r="Y515" s="1"/>
      <c r="Z515" s="1"/>
      <c r="AA515" s="63">
        <v>22002830</v>
      </c>
      <c r="AB515" s="10" t="s">
        <v>1409</v>
      </c>
      <c r="AD515" s="11" t="b">
        <f>AB515=AC515</f>
        <v>0</v>
      </c>
      <c r="AE515" s="10" t="s">
        <v>765</v>
      </c>
      <c r="AF515" s="1"/>
      <c r="AG515" s="11" t="b">
        <f>AE515=AF515</f>
        <v>0</v>
      </c>
      <c r="AH515" s="1">
        <v>14</v>
      </c>
      <c r="AI515" s="1">
        <v>8.59</v>
      </c>
      <c r="AJ515" s="16">
        <f>AI515*220/30*30.4375</f>
        <v>1917.3595833333334</v>
      </c>
      <c r="AK515" s="18">
        <v>1917.36</v>
      </c>
      <c r="AL515" s="71" t="s">
        <v>660</v>
      </c>
      <c r="AM515" s="19" t="b">
        <f>AL515=O515</f>
        <v>1</v>
      </c>
      <c r="AN515" s="7">
        <f>VLOOKUP(A515,'base ZITRHR129'!$G$1:$H$628,2,0)</f>
        <v>30041191</v>
      </c>
      <c r="AO515" s="7" t="b">
        <f>AN515=R515</f>
        <v>1</v>
      </c>
      <c r="AP515" s="7">
        <f>VLOOKUP(A515,'base ZITRHR129'!G117:W743,17,0)</f>
        <v>1917.36</v>
      </c>
      <c r="AQ515" s="7" t="b">
        <f>AP515=AK515</f>
        <v>1</v>
      </c>
      <c r="AR515" s="78"/>
    </row>
    <row r="516" spans="1:44" s="7" customFormat="1" x14ac:dyDescent="0.25">
      <c r="A516" s="7">
        <v>10076522</v>
      </c>
      <c r="B516" s="8" t="s">
        <v>538</v>
      </c>
      <c r="C516" s="8" t="s">
        <v>684</v>
      </c>
      <c r="D516" s="8" t="s">
        <v>717</v>
      </c>
      <c r="E516" s="8" t="s">
        <v>728</v>
      </c>
      <c r="F516" s="8" t="s">
        <v>1406</v>
      </c>
      <c r="G516" s="8" t="s">
        <v>757</v>
      </c>
      <c r="H516" s="9">
        <v>13</v>
      </c>
      <c r="I516" s="8" t="s">
        <v>657</v>
      </c>
      <c r="J516" s="8" t="s">
        <v>1287</v>
      </c>
      <c r="K516" s="8" t="s">
        <v>16</v>
      </c>
      <c r="L516" s="8" t="s">
        <v>17</v>
      </c>
      <c r="M516" s="10" t="s">
        <v>684</v>
      </c>
      <c r="N516" s="10" t="s">
        <v>717</v>
      </c>
      <c r="O516" s="10" t="s">
        <v>657</v>
      </c>
      <c r="P516" s="1"/>
      <c r="Q516" s="11" t="b">
        <f>O516=P516</f>
        <v>0</v>
      </c>
      <c r="R516" s="30">
        <v>30041192</v>
      </c>
      <c r="S516" s="1"/>
      <c r="T516" s="11" t="b">
        <f>R516=S516</f>
        <v>0</v>
      </c>
      <c r="U516" s="10" t="s">
        <v>16</v>
      </c>
      <c r="V516" s="1"/>
      <c r="W516" s="11" t="b">
        <f>U516=V516</f>
        <v>0</v>
      </c>
      <c r="X516" s="13" t="s">
        <v>15</v>
      </c>
      <c r="Y516" s="1"/>
      <c r="Z516" s="1"/>
      <c r="AA516" s="14">
        <v>22000878</v>
      </c>
      <c r="AB516" s="10" t="s">
        <v>1409</v>
      </c>
      <c r="AD516" s="11" t="b">
        <f>AB516=AC516</f>
        <v>0</v>
      </c>
      <c r="AE516" s="10" t="s">
        <v>757</v>
      </c>
      <c r="AF516" s="1"/>
      <c r="AG516" s="11" t="b">
        <f>AE516=AF516</f>
        <v>0</v>
      </c>
      <c r="AH516" s="1">
        <v>13</v>
      </c>
      <c r="AI516" s="1">
        <v>7.37</v>
      </c>
      <c r="AJ516" s="16">
        <f>AI516*220/30*30.4375</f>
        <v>1645.0454166666666</v>
      </c>
      <c r="AK516" s="18">
        <v>1645.05</v>
      </c>
      <c r="AL516" s="71" t="s">
        <v>657</v>
      </c>
      <c r="AM516" s="19" t="b">
        <f>AL516=O516</f>
        <v>1</v>
      </c>
      <c r="AN516" s="7">
        <f>VLOOKUP(A516,'base ZITRHR129'!$G$1:$H$628,2,0)</f>
        <v>30041192</v>
      </c>
      <c r="AO516" s="7" t="b">
        <f>AN516=R516</f>
        <v>1</v>
      </c>
      <c r="AP516" s="7">
        <f>VLOOKUP(A516,'base ZITRHR129'!G116:W742,17,0)</f>
        <v>1645.05</v>
      </c>
      <c r="AQ516" s="7" t="b">
        <f>AP516=AK516</f>
        <v>1</v>
      </c>
      <c r="AR516" s="78"/>
    </row>
    <row r="517" spans="1:44" s="7" customFormat="1" x14ac:dyDescent="0.25">
      <c r="A517" s="7">
        <v>10076525</v>
      </c>
      <c r="B517" s="8" t="s">
        <v>539</v>
      </c>
      <c r="C517" s="8" t="s">
        <v>695</v>
      </c>
      <c r="D517" s="8" t="s">
        <v>717</v>
      </c>
      <c r="E517" s="8" t="s">
        <v>737</v>
      </c>
      <c r="F517" s="8" t="s">
        <v>1406</v>
      </c>
      <c r="G517" s="8" t="s">
        <v>765</v>
      </c>
      <c r="H517" s="9">
        <v>14</v>
      </c>
      <c r="I517" s="8" t="s">
        <v>660</v>
      </c>
      <c r="J517" s="8" t="s">
        <v>1288</v>
      </c>
      <c r="K517" s="8" t="s">
        <v>16</v>
      </c>
      <c r="L517" s="8" t="s">
        <v>17</v>
      </c>
      <c r="M517" s="10" t="s">
        <v>695</v>
      </c>
      <c r="N517" s="10" t="s">
        <v>717</v>
      </c>
      <c r="O517" s="10" t="s">
        <v>660</v>
      </c>
      <c r="P517" s="1"/>
      <c r="Q517" s="11" t="b">
        <f>O517=P517</f>
        <v>0</v>
      </c>
      <c r="R517" s="30">
        <v>30041193</v>
      </c>
      <c r="S517" s="1"/>
      <c r="T517" s="11" t="b">
        <f>R517=S517</f>
        <v>0</v>
      </c>
      <c r="U517" s="10" t="s">
        <v>16</v>
      </c>
      <c r="V517" s="1"/>
      <c r="W517" s="11" t="b">
        <f>U517=V517</f>
        <v>0</v>
      </c>
      <c r="X517" s="13" t="s">
        <v>15</v>
      </c>
      <c r="Y517" s="1"/>
      <c r="Z517" s="1"/>
      <c r="AA517" s="10">
        <v>22002830</v>
      </c>
      <c r="AB517" s="10" t="s">
        <v>1409</v>
      </c>
      <c r="AD517" s="11" t="b">
        <f>AB517=AC517</f>
        <v>0</v>
      </c>
      <c r="AE517" s="10" t="s">
        <v>765</v>
      </c>
      <c r="AF517" s="1"/>
      <c r="AG517" s="11" t="b">
        <f>AE517=AF517</f>
        <v>0</v>
      </c>
      <c r="AH517" s="1">
        <v>14</v>
      </c>
      <c r="AI517" s="1">
        <v>8.59</v>
      </c>
      <c r="AJ517" s="16">
        <f>AI517*220/30*30.4375</f>
        <v>1917.3595833333334</v>
      </c>
      <c r="AK517" s="18">
        <v>1917.36</v>
      </c>
      <c r="AL517" s="71" t="s">
        <v>660</v>
      </c>
      <c r="AM517" s="19" t="b">
        <f>AL517=O517</f>
        <v>1</v>
      </c>
      <c r="AN517" s="7">
        <f>VLOOKUP(A517,'base ZITRHR129'!$G$1:$H$628,2,0)</f>
        <v>30041193</v>
      </c>
      <c r="AO517" s="7" t="b">
        <f>AN517=R517</f>
        <v>1</v>
      </c>
      <c r="AP517" s="7">
        <f>VLOOKUP(A517,'base ZITRHR129'!G115:W741,17,0)</f>
        <v>1917.36</v>
      </c>
      <c r="AQ517" s="7" t="b">
        <f>AP517=AK517</f>
        <v>1</v>
      </c>
      <c r="AR517" s="78"/>
    </row>
    <row r="518" spans="1:44" s="7" customFormat="1" x14ac:dyDescent="0.25">
      <c r="A518" s="7">
        <v>10076532</v>
      </c>
      <c r="B518" s="8" t="s">
        <v>540</v>
      </c>
      <c r="C518" s="8" t="s">
        <v>687</v>
      </c>
      <c r="D518" s="8" t="s">
        <v>717</v>
      </c>
      <c r="E518" s="8" t="s">
        <v>737</v>
      </c>
      <c r="F518" s="8" t="s">
        <v>1406</v>
      </c>
      <c r="G518" s="8" t="s">
        <v>765</v>
      </c>
      <c r="H518" s="9">
        <v>14</v>
      </c>
      <c r="I518" s="8" t="s">
        <v>660</v>
      </c>
      <c r="J518" s="8" t="s">
        <v>1289</v>
      </c>
      <c r="K518" s="8" t="s">
        <v>16</v>
      </c>
      <c r="L518" s="8" t="s">
        <v>17</v>
      </c>
      <c r="M518" s="10" t="s">
        <v>687</v>
      </c>
      <c r="N518" s="10" t="s">
        <v>717</v>
      </c>
      <c r="O518" s="10" t="s">
        <v>660</v>
      </c>
      <c r="P518" s="1"/>
      <c r="Q518" s="11" t="b">
        <f>O518=P518</f>
        <v>0</v>
      </c>
      <c r="R518" s="30">
        <v>30041194</v>
      </c>
      <c r="S518" s="1"/>
      <c r="T518" s="11" t="b">
        <f>R518=S518</f>
        <v>0</v>
      </c>
      <c r="U518" s="10" t="s">
        <v>16</v>
      </c>
      <c r="V518" s="1"/>
      <c r="W518" s="11" t="b">
        <f>U518=V518</f>
        <v>0</v>
      </c>
      <c r="X518" s="13" t="s">
        <v>15</v>
      </c>
      <c r="Y518" s="1"/>
      <c r="Z518" s="1"/>
      <c r="AA518" s="63">
        <v>22002830</v>
      </c>
      <c r="AB518" s="10" t="s">
        <v>1409</v>
      </c>
      <c r="AD518" s="11" t="b">
        <f>AB518=AC518</f>
        <v>0</v>
      </c>
      <c r="AE518" s="10" t="s">
        <v>765</v>
      </c>
      <c r="AF518" s="1"/>
      <c r="AG518" s="11" t="b">
        <f>AE518=AF518</f>
        <v>0</v>
      </c>
      <c r="AH518" s="1">
        <v>14</v>
      </c>
      <c r="AI518" s="1">
        <v>8.59</v>
      </c>
      <c r="AJ518" s="16">
        <f>AI518*220/30*30.4375</f>
        <v>1917.3595833333334</v>
      </c>
      <c r="AK518" s="18">
        <v>1917.36</v>
      </c>
      <c r="AL518" s="71" t="s">
        <v>660</v>
      </c>
      <c r="AM518" s="19" t="b">
        <f>AL518=O518</f>
        <v>1</v>
      </c>
      <c r="AN518" s="7">
        <f>VLOOKUP(A518,'base ZITRHR129'!$G$1:$H$628,2,0)</f>
        <v>30041194</v>
      </c>
      <c r="AO518" s="7" t="b">
        <f>AN518=R518</f>
        <v>1</v>
      </c>
      <c r="AP518" s="7">
        <f>VLOOKUP(A518,'base ZITRHR129'!G114:W740,17,0)</f>
        <v>1917.36</v>
      </c>
      <c r="AQ518" s="7" t="b">
        <f>AP518=AK518</f>
        <v>1</v>
      </c>
      <c r="AR518" s="78"/>
    </row>
    <row r="519" spans="1:44" s="7" customFormat="1" x14ac:dyDescent="0.25">
      <c r="A519" s="7">
        <v>10076545</v>
      </c>
      <c r="B519" s="8" t="s">
        <v>541</v>
      </c>
      <c r="C519" s="8" t="s">
        <v>684</v>
      </c>
      <c r="D519" s="8" t="s">
        <v>717</v>
      </c>
      <c r="E519" s="8" t="s">
        <v>742</v>
      </c>
      <c r="F519" s="8" t="s">
        <v>1406</v>
      </c>
      <c r="G519" s="8" t="s">
        <v>769</v>
      </c>
      <c r="H519" s="9">
        <v>15</v>
      </c>
      <c r="I519" s="8" t="s">
        <v>657</v>
      </c>
      <c r="J519" s="8" t="s">
        <v>1290</v>
      </c>
      <c r="K519" s="8" t="s">
        <v>16</v>
      </c>
      <c r="L519" s="8" t="s">
        <v>17</v>
      </c>
      <c r="M519" s="10" t="s">
        <v>684</v>
      </c>
      <c r="N519" s="10" t="s">
        <v>717</v>
      </c>
      <c r="O519" s="10" t="s">
        <v>657</v>
      </c>
      <c r="P519" s="1"/>
      <c r="Q519" s="11" t="b">
        <f>O519=P519</f>
        <v>0</v>
      </c>
      <c r="R519" s="30">
        <v>30041195</v>
      </c>
      <c r="S519" s="1"/>
      <c r="T519" s="11" t="b">
        <f>R519=S519</f>
        <v>0</v>
      </c>
      <c r="U519" s="10" t="s">
        <v>16</v>
      </c>
      <c r="V519" s="1"/>
      <c r="W519" s="11" t="b">
        <f>U519=V519</f>
        <v>0</v>
      </c>
      <c r="X519" s="13" t="s">
        <v>15</v>
      </c>
      <c r="Y519" s="1"/>
      <c r="Z519" s="1"/>
      <c r="AA519" s="60">
        <v>22001389</v>
      </c>
      <c r="AB519" s="10" t="s">
        <v>1409</v>
      </c>
      <c r="AD519" s="11" t="b">
        <f>AB519=AC519</f>
        <v>0</v>
      </c>
      <c r="AE519" s="10" t="s">
        <v>769</v>
      </c>
      <c r="AF519" s="1"/>
      <c r="AG519" s="11" t="b">
        <f>AE519=AF519</f>
        <v>0</v>
      </c>
      <c r="AH519" s="1">
        <v>15</v>
      </c>
      <c r="AI519" s="1">
        <v>8.59</v>
      </c>
      <c r="AJ519" s="16">
        <f>AI519*220/30*30.4375</f>
        <v>1917.3595833333334</v>
      </c>
      <c r="AK519" s="18">
        <v>1917.36</v>
      </c>
      <c r="AL519" s="71" t="s">
        <v>657</v>
      </c>
      <c r="AM519" s="19" t="b">
        <f>AL519=O519</f>
        <v>1</v>
      </c>
      <c r="AN519" s="7">
        <f>VLOOKUP(A519,'base ZITRHR129'!$G$1:$H$628,2,0)</f>
        <v>30041195</v>
      </c>
      <c r="AO519" s="7" t="b">
        <f>AN519=R519</f>
        <v>1</v>
      </c>
      <c r="AP519" s="7">
        <f>VLOOKUP(A519,'base ZITRHR129'!G113:W739,17,0)</f>
        <v>1917.36</v>
      </c>
      <c r="AQ519" s="7" t="b">
        <f>AP519=AK519</f>
        <v>1</v>
      </c>
      <c r="AR519" s="78"/>
    </row>
    <row r="520" spans="1:44" s="7" customFormat="1" x14ac:dyDescent="0.25">
      <c r="A520" s="20">
        <v>10076713</v>
      </c>
      <c r="B520" s="21" t="s">
        <v>542</v>
      </c>
      <c r="C520" s="21" t="s">
        <v>695</v>
      </c>
      <c r="D520" s="21" t="s">
        <v>717</v>
      </c>
      <c r="E520" s="21" t="s">
        <v>737</v>
      </c>
      <c r="F520" s="21" t="s">
        <v>1406</v>
      </c>
      <c r="G520" s="21" t="s">
        <v>765</v>
      </c>
      <c r="H520" s="22">
        <v>14</v>
      </c>
      <c r="I520" s="21" t="s">
        <v>660</v>
      </c>
      <c r="J520" s="21" t="s">
        <v>1291</v>
      </c>
      <c r="K520" s="21" t="s">
        <v>16</v>
      </c>
      <c r="L520" s="21" t="s">
        <v>17</v>
      </c>
      <c r="M520" s="21" t="s">
        <v>695</v>
      </c>
      <c r="N520" s="21" t="s">
        <v>717</v>
      </c>
      <c r="O520" s="21" t="s">
        <v>660</v>
      </c>
      <c r="P520" s="23"/>
      <c r="Q520" s="24" t="b">
        <f>O520=P520</f>
        <v>0</v>
      </c>
      <c r="R520" s="31">
        <v>30041196</v>
      </c>
      <c r="S520" s="23"/>
      <c r="T520" s="24" t="b">
        <f>R520=S520</f>
        <v>0</v>
      </c>
      <c r="U520" s="21" t="s">
        <v>16</v>
      </c>
      <c r="V520" s="23"/>
      <c r="W520" s="24" t="b">
        <f>U520=V520</f>
        <v>0</v>
      </c>
      <c r="X520" s="25" t="s">
        <v>15</v>
      </c>
      <c r="Y520" s="23"/>
      <c r="Z520" s="23"/>
      <c r="AA520" s="65">
        <v>22002830</v>
      </c>
      <c r="AB520" s="21" t="s">
        <v>1409</v>
      </c>
      <c r="AC520" s="20"/>
      <c r="AD520" s="24" t="b">
        <f>AB520=AC520</f>
        <v>0</v>
      </c>
      <c r="AE520" s="21" t="s">
        <v>765</v>
      </c>
      <c r="AF520" s="23"/>
      <c r="AG520" s="24" t="b">
        <f>AE520=AF520</f>
        <v>0</v>
      </c>
      <c r="AH520" s="23">
        <v>14</v>
      </c>
      <c r="AI520" s="23">
        <v>8.59</v>
      </c>
      <c r="AJ520" s="26">
        <f>AI520*220/30*30.4375</f>
        <v>1917.3595833333334</v>
      </c>
      <c r="AK520" s="27">
        <v>1917.36</v>
      </c>
      <c r="AL520" s="73" t="s">
        <v>660</v>
      </c>
      <c r="AM520" s="28" t="b">
        <f>AL520=O520</f>
        <v>1</v>
      </c>
      <c r="AN520" s="20">
        <f>VLOOKUP(A520,'base ZITRHR129'!$G$1:$H$628,2,0)</f>
        <v>30032474</v>
      </c>
      <c r="AO520" s="20" t="b">
        <f>AN520=R520</f>
        <v>0</v>
      </c>
      <c r="AP520" s="20">
        <f>VLOOKUP(A520,'base ZITRHR129'!G112:W738,17,0)</f>
        <v>1889.8</v>
      </c>
      <c r="AQ520" s="20" t="b">
        <f>AP520=AK520</f>
        <v>0</v>
      </c>
      <c r="AR520" s="78" t="s">
        <v>1515</v>
      </c>
    </row>
    <row r="521" spans="1:44" s="7" customFormat="1" x14ac:dyDescent="0.25">
      <c r="A521" s="7">
        <v>10076714</v>
      </c>
      <c r="B521" s="8" t="s">
        <v>543</v>
      </c>
      <c r="C521" s="8" t="s">
        <v>713</v>
      </c>
      <c r="D521" s="8" t="s">
        <v>717</v>
      </c>
      <c r="E521" s="8" t="s">
        <v>739</v>
      </c>
      <c r="F521" s="8" t="s">
        <v>1406</v>
      </c>
      <c r="G521" s="8" t="s">
        <v>766</v>
      </c>
      <c r="H521" s="9">
        <v>14</v>
      </c>
      <c r="I521" s="8" t="s">
        <v>659</v>
      </c>
      <c r="J521" s="8" t="s">
        <v>1292</v>
      </c>
      <c r="K521" s="8" t="s">
        <v>6</v>
      </c>
      <c r="L521" s="8" t="s">
        <v>17</v>
      </c>
      <c r="M521" s="10" t="s">
        <v>713</v>
      </c>
      <c r="N521" s="10" t="s">
        <v>717</v>
      </c>
      <c r="O521" s="10" t="s">
        <v>659</v>
      </c>
      <c r="P521" s="1"/>
      <c r="Q521" s="11" t="b">
        <f>O521=P521</f>
        <v>0</v>
      </c>
      <c r="R521" s="30">
        <v>30041197</v>
      </c>
      <c r="S521" s="1"/>
      <c r="T521" s="11" t="b">
        <f>R521=S521</f>
        <v>0</v>
      </c>
      <c r="U521" s="10" t="s">
        <v>6</v>
      </c>
      <c r="V521" s="1"/>
      <c r="W521" s="11" t="b">
        <f>U521=V521</f>
        <v>0</v>
      </c>
      <c r="X521" s="13" t="s">
        <v>15</v>
      </c>
      <c r="Y521" s="1"/>
      <c r="Z521" s="1"/>
      <c r="AA521" s="63">
        <v>22001415</v>
      </c>
      <c r="AB521" s="10" t="s">
        <v>1409</v>
      </c>
      <c r="AD521" s="11" t="b">
        <f>AB521=AC521</f>
        <v>0</v>
      </c>
      <c r="AE521" s="10" t="s">
        <v>766</v>
      </c>
      <c r="AF521" s="1"/>
      <c r="AG521" s="11" t="b">
        <f>AE521=AF521</f>
        <v>0</v>
      </c>
      <c r="AH521" s="1">
        <v>14</v>
      </c>
      <c r="AI521" s="1">
        <v>8.26</v>
      </c>
      <c r="AJ521" s="16">
        <f>AI521*220/30*30.4375</f>
        <v>1843.7008333333335</v>
      </c>
      <c r="AK521" s="18">
        <v>1843.7</v>
      </c>
      <c r="AL521" s="71" t="s">
        <v>659</v>
      </c>
      <c r="AM521" s="19" t="b">
        <f>AL521=O521</f>
        <v>1</v>
      </c>
      <c r="AN521" s="7">
        <f>VLOOKUP(A521,'base ZITRHR129'!$G$1:$H$628,2,0)</f>
        <v>30041197</v>
      </c>
      <c r="AO521" s="7" t="b">
        <f>AN521=R521</f>
        <v>1</v>
      </c>
      <c r="AP521" s="7">
        <f>VLOOKUP(A521,'base ZITRHR129'!G111:W737,17,0)</f>
        <v>1843.7</v>
      </c>
      <c r="AQ521" s="7" t="b">
        <f>AP521=AK521</f>
        <v>1</v>
      </c>
      <c r="AR521" s="78"/>
    </row>
    <row r="522" spans="1:44" s="7" customFormat="1" x14ac:dyDescent="0.25">
      <c r="A522" s="7">
        <v>10076822</v>
      </c>
      <c r="B522" s="8" t="s">
        <v>544</v>
      </c>
      <c r="C522" s="8" t="s">
        <v>680</v>
      </c>
      <c r="D522" s="8" t="s">
        <v>717</v>
      </c>
      <c r="E522" s="8" t="s">
        <v>737</v>
      </c>
      <c r="F522" s="8" t="s">
        <v>1406</v>
      </c>
      <c r="G522" s="8" t="s">
        <v>765</v>
      </c>
      <c r="H522" s="9">
        <v>14</v>
      </c>
      <c r="I522" s="8" t="s">
        <v>654</v>
      </c>
      <c r="J522" s="8" t="s">
        <v>1293</v>
      </c>
      <c r="K522" s="8" t="s">
        <v>16</v>
      </c>
      <c r="L522" s="8" t="s">
        <v>17</v>
      </c>
      <c r="M522" s="10" t="s">
        <v>680</v>
      </c>
      <c r="N522" s="10" t="s">
        <v>717</v>
      </c>
      <c r="O522" s="10" t="s">
        <v>654</v>
      </c>
      <c r="P522" s="1"/>
      <c r="Q522" s="11" t="b">
        <f>O522=P522</f>
        <v>0</v>
      </c>
      <c r="R522" s="30">
        <v>30041198</v>
      </c>
      <c r="S522" s="1"/>
      <c r="T522" s="11" t="b">
        <f>R522=S522</f>
        <v>0</v>
      </c>
      <c r="U522" s="10" t="s">
        <v>16</v>
      </c>
      <c r="V522" s="1"/>
      <c r="W522" s="11" t="b">
        <f>U522=V522</f>
        <v>0</v>
      </c>
      <c r="X522" s="13" t="s">
        <v>15</v>
      </c>
      <c r="Y522" s="1"/>
      <c r="Z522" s="1"/>
      <c r="AA522" s="10">
        <v>22002830</v>
      </c>
      <c r="AB522" s="10" t="s">
        <v>1409</v>
      </c>
      <c r="AD522" s="11" t="b">
        <f>AB522=AC522</f>
        <v>0</v>
      </c>
      <c r="AE522" s="10" t="s">
        <v>765</v>
      </c>
      <c r="AF522" s="1"/>
      <c r="AG522" s="11" t="b">
        <f>AE522=AF522</f>
        <v>0</v>
      </c>
      <c r="AH522" s="1">
        <v>14</v>
      </c>
      <c r="AI522" s="1">
        <v>8.59</v>
      </c>
      <c r="AJ522" s="16">
        <f>AI522*220/30*30.4375</f>
        <v>1917.3595833333334</v>
      </c>
      <c r="AK522" s="18">
        <v>1917.36</v>
      </c>
      <c r="AL522" s="71" t="s">
        <v>654</v>
      </c>
      <c r="AM522" s="19" t="b">
        <f>AL522=O522</f>
        <v>1</v>
      </c>
      <c r="AN522" s="7">
        <f>VLOOKUP(A522,'base ZITRHR129'!$G$1:$H$628,2,0)</f>
        <v>30041198</v>
      </c>
      <c r="AO522" s="7" t="b">
        <f>AN522=R522</f>
        <v>1</v>
      </c>
      <c r="AP522" s="7">
        <f>VLOOKUP(A522,'base ZITRHR129'!G110:W736,17,0)</f>
        <v>1917.36</v>
      </c>
      <c r="AQ522" s="7" t="b">
        <f>AP522=AK522</f>
        <v>1</v>
      </c>
      <c r="AR522" s="78"/>
    </row>
    <row r="523" spans="1:44" s="7" customFormat="1" x14ac:dyDescent="0.25">
      <c r="A523" s="49">
        <v>10076828</v>
      </c>
      <c r="B523" s="50" t="s">
        <v>545</v>
      </c>
      <c r="C523" s="50" t="s">
        <v>700</v>
      </c>
      <c r="D523" s="50" t="s">
        <v>717</v>
      </c>
      <c r="E523" s="50" t="s">
        <v>746</v>
      </c>
      <c r="F523" s="50" t="s">
        <v>1407</v>
      </c>
      <c r="G523" s="50" t="s">
        <v>757</v>
      </c>
      <c r="H523" s="51">
        <v>13</v>
      </c>
      <c r="I523" s="50" t="s">
        <v>666</v>
      </c>
      <c r="J523" s="50" t="s">
        <v>1294</v>
      </c>
      <c r="K523" s="50" t="s">
        <v>16</v>
      </c>
      <c r="L523" s="50" t="s">
        <v>17</v>
      </c>
      <c r="M523" s="50" t="s">
        <v>700</v>
      </c>
      <c r="N523" s="50" t="s">
        <v>717</v>
      </c>
      <c r="O523" s="50" t="s">
        <v>666</v>
      </c>
      <c r="P523" s="52"/>
      <c r="Q523" s="53" t="b">
        <f>O523=P523</f>
        <v>0</v>
      </c>
      <c r="R523" s="54">
        <v>30041199</v>
      </c>
      <c r="S523" s="52"/>
      <c r="T523" s="53" t="b">
        <f>R523=S523</f>
        <v>0</v>
      </c>
      <c r="U523" s="50" t="s">
        <v>16</v>
      </c>
      <c r="V523" s="52"/>
      <c r="W523" s="53" t="b">
        <f>U523=V523</f>
        <v>0</v>
      </c>
      <c r="X523" s="55" t="s">
        <v>15</v>
      </c>
      <c r="Y523" s="52"/>
      <c r="Z523" s="52"/>
      <c r="AA523" s="62">
        <v>22000018</v>
      </c>
      <c r="AB523" s="50" t="s">
        <v>1410</v>
      </c>
      <c r="AC523" s="49"/>
      <c r="AD523" s="53" t="b">
        <f>AB523=AC523</f>
        <v>0</v>
      </c>
      <c r="AE523" s="50" t="s">
        <v>757</v>
      </c>
      <c r="AF523" s="52"/>
      <c r="AG523" s="53" t="b">
        <f>AE523=AF523</f>
        <v>0</v>
      </c>
      <c r="AH523" s="52">
        <v>13</v>
      </c>
      <c r="AI523" s="52">
        <v>9.01</v>
      </c>
      <c r="AJ523" s="56">
        <f>AI523*180/30*30.4375</f>
        <v>1645.4512499999998</v>
      </c>
      <c r="AK523" s="57">
        <v>1645.45</v>
      </c>
      <c r="AL523" s="74" t="s">
        <v>666</v>
      </c>
      <c r="AM523" s="58" t="b">
        <f>AL523=O523</f>
        <v>1</v>
      </c>
      <c r="AN523" s="49">
        <f>VLOOKUP(A523,'base ZITRHR129'!$G$1:$H$628,2,0)</f>
        <v>30041199</v>
      </c>
      <c r="AO523" s="49" t="b">
        <f>AN523=R523</f>
        <v>1</v>
      </c>
      <c r="AP523" s="49">
        <f>VLOOKUP(A523,'base ZITRHR129'!G109:W735,17,0)</f>
        <v>1645.45</v>
      </c>
      <c r="AQ523" s="49" t="b">
        <f>AP523=AK523</f>
        <v>1</v>
      </c>
      <c r="AR523" s="78"/>
    </row>
    <row r="524" spans="1:44" s="7" customFormat="1" ht="12" x14ac:dyDescent="0.2">
      <c r="A524" s="20">
        <v>10076904</v>
      </c>
      <c r="B524" s="21" t="s">
        <v>546</v>
      </c>
      <c r="C524" s="21" t="s">
        <v>700</v>
      </c>
      <c r="D524" s="21" t="s">
        <v>717</v>
      </c>
      <c r="E524" s="21" t="s">
        <v>746</v>
      </c>
      <c r="F524" s="21" t="s">
        <v>1407</v>
      </c>
      <c r="G524" s="21" t="s">
        <v>757</v>
      </c>
      <c r="H524" s="22">
        <v>13</v>
      </c>
      <c r="I524" s="21" t="s">
        <v>666</v>
      </c>
      <c r="J524" s="21" t="s">
        <v>1295</v>
      </c>
      <c r="K524" s="21" t="s">
        <v>16</v>
      </c>
      <c r="L524" s="21" t="s">
        <v>17</v>
      </c>
      <c r="M524" s="21" t="s">
        <v>700</v>
      </c>
      <c r="N524" s="21" t="s">
        <v>717</v>
      </c>
      <c r="O524" s="21" t="s">
        <v>666</v>
      </c>
      <c r="P524" s="23"/>
      <c r="Q524" s="24" t="b">
        <f>O524=P524</f>
        <v>0</v>
      </c>
      <c r="R524" s="31">
        <v>30041200</v>
      </c>
      <c r="S524" s="23"/>
      <c r="T524" s="24" t="b">
        <f>R524=S524</f>
        <v>0</v>
      </c>
      <c r="U524" s="21" t="s">
        <v>16</v>
      </c>
      <c r="V524" s="23"/>
      <c r="W524" s="24" t="b">
        <f>U524=V524</f>
        <v>0</v>
      </c>
      <c r="X524" s="25" t="s">
        <v>15</v>
      </c>
      <c r="Y524" s="23"/>
      <c r="Z524" s="23"/>
      <c r="AA524" s="64">
        <v>22000018</v>
      </c>
      <c r="AB524" s="21" t="s">
        <v>1410</v>
      </c>
      <c r="AC524" s="20"/>
      <c r="AD524" s="24" t="b">
        <f>AB524=AC524</f>
        <v>0</v>
      </c>
      <c r="AE524" s="21" t="s">
        <v>757</v>
      </c>
      <c r="AF524" s="23"/>
      <c r="AG524" s="24" t="b">
        <f>AE524=AF524</f>
        <v>0</v>
      </c>
      <c r="AH524" s="23">
        <v>13</v>
      </c>
      <c r="AI524" s="23">
        <v>9.01</v>
      </c>
      <c r="AJ524" s="26">
        <f>AI524*180/30*30.4375</f>
        <v>1645.4512499999998</v>
      </c>
      <c r="AK524" s="27">
        <v>1645.45</v>
      </c>
      <c r="AL524" s="73" t="s">
        <v>666</v>
      </c>
      <c r="AM524" s="28" t="b">
        <f>AL524=O524</f>
        <v>1</v>
      </c>
      <c r="AN524" s="20">
        <f>VLOOKUP(A524,'base ZITRHR129'!$G$1:$H$628,2,0)</f>
        <v>30041200</v>
      </c>
      <c r="AO524" s="20" t="b">
        <f>AN524=R524</f>
        <v>1</v>
      </c>
      <c r="AP524" s="20">
        <f>VLOOKUP(A524,'base ZITRHR129'!G108:W734,17,0)</f>
        <v>9.01</v>
      </c>
      <c r="AQ524" s="20" t="b">
        <f>AP524=AK524</f>
        <v>0</v>
      </c>
      <c r="AR524" s="69" t="s">
        <v>1516</v>
      </c>
    </row>
    <row r="525" spans="1:44" s="7" customFormat="1" x14ac:dyDescent="0.25">
      <c r="A525" s="7">
        <v>10076907</v>
      </c>
      <c r="B525" s="8" t="s">
        <v>547</v>
      </c>
      <c r="C525" s="8" t="s">
        <v>705</v>
      </c>
      <c r="D525" s="8" t="s">
        <v>717</v>
      </c>
      <c r="E525" s="8" t="s">
        <v>737</v>
      </c>
      <c r="F525" s="8" t="s">
        <v>1406</v>
      </c>
      <c r="G525" s="8" t="s">
        <v>765</v>
      </c>
      <c r="H525" s="9">
        <v>14</v>
      </c>
      <c r="I525" s="8" t="s">
        <v>670</v>
      </c>
      <c r="J525" s="8" t="s">
        <v>1296</v>
      </c>
      <c r="K525" s="8" t="s">
        <v>16</v>
      </c>
      <c r="L525" s="8" t="s">
        <v>17</v>
      </c>
      <c r="M525" s="10" t="s">
        <v>705</v>
      </c>
      <c r="N525" s="10" t="s">
        <v>717</v>
      </c>
      <c r="O525" s="10" t="s">
        <v>670</v>
      </c>
      <c r="P525" s="1"/>
      <c r="Q525" s="11" t="b">
        <f>O525=P525</f>
        <v>0</v>
      </c>
      <c r="R525" s="30">
        <v>30041201</v>
      </c>
      <c r="S525" s="1"/>
      <c r="T525" s="11" t="b">
        <f>R525=S525</f>
        <v>0</v>
      </c>
      <c r="U525" s="10" t="s">
        <v>16</v>
      </c>
      <c r="V525" s="1"/>
      <c r="W525" s="11" t="b">
        <f>U525=V525</f>
        <v>0</v>
      </c>
      <c r="X525" s="13" t="s">
        <v>15</v>
      </c>
      <c r="Y525" s="1"/>
      <c r="Z525" s="1"/>
      <c r="AA525" s="10">
        <v>22002830</v>
      </c>
      <c r="AB525" s="10" t="s">
        <v>1409</v>
      </c>
      <c r="AD525" s="11" t="b">
        <f>AB525=AC525</f>
        <v>0</v>
      </c>
      <c r="AE525" s="10" t="s">
        <v>765</v>
      </c>
      <c r="AF525" s="1"/>
      <c r="AG525" s="11" t="b">
        <f>AE525=AF525</f>
        <v>0</v>
      </c>
      <c r="AH525" s="1">
        <v>14</v>
      </c>
      <c r="AI525" s="1">
        <v>8.59</v>
      </c>
      <c r="AJ525" s="16">
        <f>AI525*220/30*30.4375</f>
        <v>1917.3595833333334</v>
      </c>
      <c r="AK525" s="18">
        <v>1917.36</v>
      </c>
      <c r="AL525" s="71" t="s">
        <v>670</v>
      </c>
      <c r="AM525" s="19" t="b">
        <f>AL525=O525</f>
        <v>1</v>
      </c>
      <c r="AN525" s="7">
        <f>VLOOKUP(A525,'base ZITRHR129'!$G$1:$H$628,2,0)</f>
        <v>30041201</v>
      </c>
      <c r="AO525" s="7" t="b">
        <f>AN525=R525</f>
        <v>1</v>
      </c>
      <c r="AP525" s="7">
        <f>VLOOKUP(A525,'base ZITRHR129'!G107:W733,17,0)</f>
        <v>1917.36</v>
      </c>
      <c r="AQ525" s="7" t="b">
        <f>AP525=AK525</f>
        <v>1</v>
      </c>
      <c r="AR525" s="78"/>
    </row>
    <row r="526" spans="1:44" s="7" customFormat="1" x14ac:dyDescent="0.25">
      <c r="A526" s="7">
        <v>10076915</v>
      </c>
      <c r="B526" s="8" t="s">
        <v>548</v>
      </c>
      <c r="C526" s="8" t="s">
        <v>689</v>
      </c>
      <c r="D526" s="8" t="s">
        <v>717</v>
      </c>
      <c r="E526" s="8" t="s">
        <v>744</v>
      </c>
      <c r="F526" s="8" t="s">
        <v>1406</v>
      </c>
      <c r="G526" s="8" t="s">
        <v>771</v>
      </c>
      <c r="H526" s="9">
        <v>14</v>
      </c>
      <c r="I526" s="8" t="s">
        <v>662</v>
      </c>
      <c r="J526" s="8" t="s">
        <v>1297</v>
      </c>
      <c r="K526" s="8" t="s">
        <v>16</v>
      </c>
      <c r="L526" s="8" t="s">
        <v>17</v>
      </c>
      <c r="M526" s="10" t="s">
        <v>689</v>
      </c>
      <c r="N526" s="10" t="s">
        <v>717</v>
      </c>
      <c r="O526" s="10" t="s">
        <v>662</v>
      </c>
      <c r="P526" s="1"/>
      <c r="Q526" s="11" t="b">
        <f>O526=P526</f>
        <v>0</v>
      </c>
      <c r="R526" s="30">
        <v>30041202</v>
      </c>
      <c r="S526" s="1"/>
      <c r="T526" s="11" t="b">
        <f>R526=S526</f>
        <v>0</v>
      </c>
      <c r="U526" s="10" t="s">
        <v>16</v>
      </c>
      <c r="V526" s="1"/>
      <c r="W526" s="11" t="b">
        <f>U526=V526</f>
        <v>0</v>
      </c>
      <c r="X526" s="13" t="s">
        <v>15</v>
      </c>
      <c r="Y526" s="1"/>
      <c r="Z526" s="1"/>
      <c r="AA526" s="10">
        <v>22002677</v>
      </c>
      <c r="AB526" s="10" t="s">
        <v>1409</v>
      </c>
      <c r="AD526" s="11" t="b">
        <f>AB526=AC526</f>
        <v>0</v>
      </c>
      <c r="AE526" s="10" t="s">
        <v>771</v>
      </c>
      <c r="AF526" s="1"/>
      <c r="AG526" s="11" t="b">
        <f>AE526=AF526</f>
        <v>0</v>
      </c>
      <c r="AH526" s="1">
        <v>14</v>
      </c>
      <c r="AI526" s="1">
        <v>8.56</v>
      </c>
      <c r="AJ526" s="16">
        <f>AI526*220/30*30.4375</f>
        <v>1910.6633333333334</v>
      </c>
      <c r="AK526" s="18">
        <v>1910.66</v>
      </c>
      <c r="AL526" s="71" t="s">
        <v>662</v>
      </c>
      <c r="AM526" s="19" t="b">
        <f>AL526=O526</f>
        <v>1</v>
      </c>
      <c r="AN526" s="7">
        <f>VLOOKUP(A526,'base ZITRHR129'!$G$1:$H$628,2,0)</f>
        <v>30041202</v>
      </c>
      <c r="AO526" s="7" t="b">
        <f>AN526=R526</f>
        <v>1</v>
      </c>
      <c r="AP526" s="7">
        <f>VLOOKUP(A526,'base ZITRHR129'!G106:W732,17,0)</f>
        <v>1910.66</v>
      </c>
      <c r="AQ526" s="7" t="b">
        <f>AP526=AK526</f>
        <v>1</v>
      </c>
      <c r="AR526" s="78"/>
    </row>
    <row r="527" spans="1:44" s="7" customFormat="1" x14ac:dyDescent="0.25">
      <c r="A527" s="7">
        <v>10076976</v>
      </c>
      <c r="B527" s="8" t="s">
        <v>549</v>
      </c>
      <c r="C527" s="8" t="s">
        <v>695</v>
      </c>
      <c r="D527" s="8" t="s">
        <v>717</v>
      </c>
      <c r="E527" s="8" t="s">
        <v>737</v>
      </c>
      <c r="F527" s="8" t="s">
        <v>1406</v>
      </c>
      <c r="G527" s="8" t="s">
        <v>765</v>
      </c>
      <c r="H527" s="9">
        <v>14</v>
      </c>
      <c r="I527" s="8" t="s">
        <v>660</v>
      </c>
      <c r="J527" s="8" t="s">
        <v>1298</v>
      </c>
      <c r="K527" s="8" t="s">
        <v>16</v>
      </c>
      <c r="L527" s="8" t="s">
        <v>17</v>
      </c>
      <c r="M527" s="10" t="s">
        <v>695</v>
      </c>
      <c r="N527" s="10" t="s">
        <v>717</v>
      </c>
      <c r="O527" s="10" t="s">
        <v>660</v>
      </c>
      <c r="P527" s="1"/>
      <c r="Q527" s="11" t="b">
        <f>O527=P527</f>
        <v>0</v>
      </c>
      <c r="R527" s="30">
        <v>30041203</v>
      </c>
      <c r="S527" s="1"/>
      <c r="T527" s="11" t="b">
        <f>R527=S527</f>
        <v>0</v>
      </c>
      <c r="U527" s="10" t="s">
        <v>16</v>
      </c>
      <c r="V527" s="1"/>
      <c r="W527" s="11" t="b">
        <f>U527=V527</f>
        <v>0</v>
      </c>
      <c r="X527" s="13" t="s">
        <v>15</v>
      </c>
      <c r="Y527" s="1"/>
      <c r="Z527" s="1"/>
      <c r="AA527" s="63">
        <v>22002830</v>
      </c>
      <c r="AB527" s="10" t="s">
        <v>1409</v>
      </c>
      <c r="AD527" s="11" t="b">
        <f>AB527=AC527</f>
        <v>0</v>
      </c>
      <c r="AE527" s="10" t="s">
        <v>765</v>
      </c>
      <c r="AF527" s="1"/>
      <c r="AG527" s="11" t="b">
        <f>AE527=AF527</f>
        <v>0</v>
      </c>
      <c r="AH527" s="1">
        <v>14</v>
      </c>
      <c r="AI527" s="1">
        <v>8.59</v>
      </c>
      <c r="AJ527" s="16">
        <f>AI527*220/30*30.4375</f>
        <v>1917.3595833333334</v>
      </c>
      <c r="AK527" s="18">
        <v>1917.36</v>
      </c>
      <c r="AL527" s="71" t="s">
        <v>660</v>
      </c>
      <c r="AM527" s="19" t="b">
        <f>AL527=O527</f>
        <v>1</v>
      </c>
      <c r="AN527" s="7">
        <f>VLOOKUP(A527,'base ZITRHR129'!$G$1:$H$628,2,0)</f>
        <v>30041203</v>
      </c>
      <c r="AO527" s="7" t="b">
        <f>AN527=R527</f>
        <v>1</v>
      </c>
      <c r="AP527" s="7">
        <f>VLOOKUP(A527,'base ZITRHR129'!G105:W731,17,0)</f>
        <v>1917.36</v>
      </c>
      <c r="AQ527" s="7" t="b">
        <f>AP527=AK527</f>
        <v>1</v>
      </c>
      <c r="AR527" s="78"/>
    </row>
    <row r="528" spans="1:44" s="7" customFormat="1" x14ac:dyDescent="0.25">
      <c r="A528" s="20">
        <v>10076978</v>
      </c>
      <c r="B528" s="21" t="s">
        <v>550</v>
      </c>
      <c r="C528" s="21" t="s">
        <v>687</v>
      </c>
      <c r="D528" s="21" t="s">
        <v>717</v>
      </c>
      <c r="E528" s="21" t="s">
        <v>737</v>
      </c>
      <c r="F528" s="21" t="s">
        <v>1406</v>
      </c>
      <c r="G528" s="21" t="s">
        <v>765</v>
      </c>
      <c r="H528" s="22">
        <v>14</v>
      </c>
      <c r="I528" s="21" t="s">
        <v>660</v>
      </c>
      <c r="J528" s="21" t="s">
        <v>1299</v>
      </c>
      <c r="K528" s="21" t="s">
        <v>16</v>
      </c>
      <c r="L528" s="21" t="s">
        <v>17</v>
      </c>
      <c r="M528" s="21" t="s">
        <v>687</v>
      </c>
      <c r="N528" s="21" t="s">
        <v>717</v>
      </c>
      <c r="O528" s="21" t="s">
        <v>660</v>
      </c>
      <c r="P528" s="23"/>
      <c r="Q528" s="24" t="b">
        <f>O528=P528</f>
        <v>0</v>
      </c>
      <c r="R528" s="31">
        <v>30041204</v>
      </c>
      <c r="S528" s="23"/>
      <c r="T528" s="24" t="b">
        <f>R528=S528</f>
        <v>0</v>
      </c>
      <c r="U528" s="21" t="s">
        <v>16</v>
      </c>
      <c r="V528" s="23"/>
      <c r="W528" s="24" t="b">
        <f>U528=V528</f>
        <v>0</v>
      </c>
      <c r="X528" s="25" t="s">
        <v>15</v>
      </c>
      <c r="Y528" s="23"/>
      <c r="Z528" s="23"/>
      <c r="AA528" s="65">
        <v>22002830</v>
      </c>
      <c r="AB528" s="21" t="s">
        <v>1409</v>
      </c>
      <c r="AC528" s="20"/>
      <c r="AD528" s="24" t="b">
        <f>AB528=AC528</f>
        <v>0</v>
      </c>
      <c r="AE528" s="21" t="s">
        <v>765</v>
      </c>
      <c r="AF528" s="23"/>
      <c r="AG528" s="24" t="b">
        <f>AE528=AF528</f>
        <v>0</v>
      </c>
      <c r="AH528" s="23">
        <v>14</v>
      </c>
      <c r="AI528" s="23">
        <v>8.59</v>
      </c>
      <c r="AJ528" s="26">
        <f>AI528*220/30*30.4375</f>
        <v>1917.3595833333334</v>
      </c>
      <c r="AK528" s="27">
        <v>1917.36</v>
      </c>
      <c r="AL528" s="73" t="s">
        <v>660</v>
      </c>
      <c r="AM528" s="28" t="b">
        <f>AL528=O528</f>
        <v>1</v>
      </c>
      <c r="AN528" s="20">
        <f>VLOOKUP(A528,'base ZITRHR129'!$G$1:$H$628,2,0)</f>
        <v>30032525</v>
      </c>
      <c r="AO528" s="20" t="b">
        <f>AN528=R528</f>
        <v>0</v>
      </c>
      <c r="AP528" s="20">
        <f>VLOOKUP(A528,'base ZITRHR129'!G104:W730,17,0)</f>
        <v>1889.8</v>
      </c>
      <c r="AQ528" s="20" t="b">
        <f>AP528=AK528</f>
        <v>0</v>
      </c>
      <c r="AR528" s="78" t="s">
        <v>1515</v>
      </c>
    </row>
    <row r="529" spans="1:44" s="7" customFormat="1" x14ac:dyDescent="0.25">
      <c r="A529" s="7">
        <v>10076980</v>
      </c>
      <c r="B529" s="8" t="s">
        <v>551</v>
      </c>
      <c r="C529" s="8" t="s">
        <v>687</v>
      </c>
      <c r="D529" s="8" t="s">
        <v>717</v>
      </c>
      <c r="E529" s="8" t="s">
        <v>737</v>
      </c>
      <c r="F529" s="8" t="s">
        <v>1406</v>
      </c>
      <c r="G529" s="8" t="s">
        <v>765</v>
      </c>
      <c r="H529" s="9">
        <v>14</v>
      </c>
      <c r="I529" s="8" t="s">
        <v>660</v>
      </c>
      <c r="J529" s="8" t="s">
        <v>1300</v>
      </c>
      <c r="K529" s="8" t="s">
        <v>16</v>
      </c>
      <c r="L529" s="8" t="s">
        <v>17</v>
      </c>
      <c r="M529" s="10" t="s">
        <v>687</v>
      </c>
      <c r="N529" s="10" t="s">
        <v>717</v>
      </c>
      <c r="O529" s="10" t="s">
        <v>660</v>
      </c>
      <c r="P529" s="1"/>
      <c r="Q529" s="11" t="b">
        <f>O529=P529</f>
        <v>0</v>
      </c>
      <c r="R529" s="30">
        <v>30041205</v>
      </c>
      <c r="S529" s="1"/>
      <c r="T529" s="11" t="b">
        <f>R529=S529</f>
        <v>0</v>
      </c>
      <c r="U529" s="10" t="s">
        <v>16</v>
      </c>
      <c r="V529" s="1"/>
      <c r="W529" s="11" t="b">
        <f>U529=V529</f>
        <v>0</v>
      </c>
      <c r="X529" s="13" t="s">
        <v>15</v>
      </c>
      <c r="Y529" s="1"/>
      <c r="Z529" s="1"/>
      <c r="AA529" s="10">
        <v>22002830</v>
      </c>
      <c r="AB529" s="10" t="s">
        <v>1409</v>
      </c>
      <c r="AD529" s="11" t="b">
        <f>AB529=AC529</f>
        <v>0</v>
      </c>
      <c r="AE529" s="10" t="s">
        <v>765</v>
      </c>
      <c r="AF529" s="1"/>
      <c r="AG529" s="11" t="b">
        <f>AE529=AF529</f>
        <v>0</v>
      </c>
      <c r="AH529" s="1">
        <v>14</v>
      </c>
      <c r="AI529" s="1">
        <v>8.59</v>
      </c>
      <c r="AJ529" s="16">
        <f>AI529*220/30*30.4375</f>
        <v>1917.3595833333334</v>
      </c>
      <c r="AK529" s="18">
        <v>1917.36</v>
      </c>
      <c r="AL529" s="71" t="s">
        <v>660</v>
      </c>
      <c r="AM529" s="19" t="b">
        <f>AL529=O529</f>
        <v>1</v>
      </c>
      <c r="AN529" s="7">
        <f>VLOOKUP(A529,'base ZITRHR129'!$G$1:$H$628,2,0)</f>
        <v>30041205</v>
      </c>
      <c r="AO529" s="7" t="b">
        <f>AN529=R529</f>
        <v>1</v>
      </c>
      <c r="AP529" s="7">
        <f>VLOOKUP(A529,'base ZITRHR129'!G103:W729,17,0)</f>
        <v>1917.36</v>
      </c>
      <c r="AQ529" s="7" t="b">
        <f>AP529=AK529</f>
        <v>1</v>
      </c>
      <c r="AR529" s="78"/>
    </row>
    <row r="530" spans="1:44" s="7" customFormat="1" x14ac:dyDescent="0.25">
      <c r="A530" s="7">
        <v>10076985</v>
      </c>
      <c r="B530" s="8" t="s">
        <v>552</v>
      </c>
      <c r="C530" s="8" t="s">
        <v>681</v>
      </c>
      <c r="D530" s="8" t="s">
        <v>717</v>
      </c>
      <c r="E530" s="8" t="s">
        <v>742</v>
      </c>
      <c r="F530" s="8" t="s">
        <v>1406</v>
      </c>
      <c r="G530" s="8" t="s">
        <v>769</v>
      </c>
      <c r="H530" s="9">
        <v>15</v>
      </c>
      <c r="I530" s="8" t="s">
        <v>653</v>
      </c>
      <c r="J530" s="8" t="s">
        <v>1301</v>
      </c>
      <c r="K530" s="8" t="s">
        <v>16</v>
      </c>
      <c r="L530" s="8" t="s">
        <v>17</v>
      </c>
      <c r="M530" s="10" t="s">
        <v>681</v>
      </c>
      <c r="N530" s="10" t="s">
        <v>717</v>
      </c>
      <c r="O530" s="10" t="s">
        <v>653</v>
      </c>
      <c r="P530" s="1"/>
      <c r="Q530" s="11" t="b">
        <f>O530=P530</f>
        <v>0</v>
      </c>
      <c r="R530" s="30">
        <v>30041206</v>
      </c>
      <c r="S530" s="1"/>
      <c r="T530" s="11" t="b">
        <f>R530=S530</f>
        <v>0</v>
      </c>
      <c r="U530" s="10" t="s">
        <v>16</v>
      </c>
      <c r="V530" s="1"/>
      <c r="W530" s="11" t="b">
        <f>U530=V530</f>
        <v>0</v>
      </c>
      <c r="X530" s="13" t="s">
        <v>15</v>
      </c>
      <c r="Y530" s="1"/>
      <c r="Z530" s="1"/>
      <c r="AA530" s="14">
        <v>22001389</v>
      </c>
      <c r="AB530" s="10" t="s">
        <v>1409</v>
      </c>
      <c r="AD530" s="11" t="b">
        <f>AB530=AC530</f>
        <v>0</v>
      </c>
      <c r="AE530" s="10" t="s">
        <v>769</v>
      </c>
      <c r="AF530" s="1"/>
      <c r="AG530" s="11" t="b">
        <f>AE530=AF530</f>
        <v>0</v>
      </c>
      <c r="AH530" s="1">
        <v>15</v>
      </c>
      <c r="AI530" s="1">
        <v>8.59</v>
      </c>
      <c r="AJ530" s="16">
        <f>AI530*220/30*30.4375</f>
        <v>1917.3595833333334</v>
      </c>
      <c r="AK530" s="18">
        <v>1917.36</v>
      </c>
      <c r="AL530" s="71" t="s">
        <v>653</v>
      </c>
      <c r="AM530" s="19" t="b">
        <f>AL530=O530</f>
        <v>1</v>
      </c>
      <c r="AN530" s="7">
        <f>VLOOKUP(A530,'base ZITRHR129'!$G$1:$H$628,2,0)</f>
        <v>30041206</v>
      </c>
      <c r="AO530" s="7" t="b">
        <f>AN530=R530</f>
        <v>1</v>
      </c>
      <c r="AP530" s="7">
        <f>VLOOKUP(A530,'base ZITRHR129'!G102:W728,17,0)</f>
        <v>1917.36</v>
      </c>
      <c r="AQ530" s="7" t="b">
        <f>AP530=AK530</f>
        <v>1</v>
      </c>
      <c r="AR530" s="78"/>
    </row>
    <row r="531" spans="1:44" s="7" customFormat="1" x14ac:dyDescent="0.25">
      <c r="A531" s="7">
        <v>10076988</v>
      </c>
      <c r="B531" s="8" t="s">
        <v>553</v>
      </c>
      <c r="C531" s="8" t="s">
        <v>679</v>
      </c>
      <c r="D531" s="8" t="s">
        <v>717</v>
      </c>
      <c r="E531" s="8" t="s">
        <v>742</v>
      </c>
      <c r="F531" s="8" t="s">
        <v>1406</v>
      </c>
      <c r="G531" s="8" t="s">
        <v>769</v>
      </c>
      <c r="H531" s="9">
        <v>15</v>
      </c>
      <c r="I531" s="8" t="s">
        <v>653</v>
      </c>
      <c r="J531" s="8" t="s">
        <v>1302</v>
      </c>
      <c r="K531" s="8" t="s">
        <v>16</v>
      </c>
      <c r="L531" s="8" t="s">
        <v>17</v>
      </c>
      <c r="M531" s="10" t="s">
        <v>679</v>
      </c>
      <c r="N531" s="10" t="s">
        <v>717</v>
      </c>
      <c r="O531" s="10" t="s">
        <v>653</v>
      </c>
      <c r="P531" s="1"/>
      <c r="Q531" s="11" t="b">
        <f>O531=P531</f>
        <v>0</v>
      </c>
      <c r="R531" s="30">
        <v>30041207</v>
      </c>
      <c r="S531" s="1"/>
      <c r="T531" s="11" t="b">
        <f>R531=S531</f>
        <v>0</v>
      </c>
      <c r="U531" s="10" t="s">
        <v>16</v>
      </c>
      <c r="V531" s="1"/>
      <c r="W531" s="11" t="b">
        <f>U531=V531</f>
        <v>0</v>
      </c>
      <c r="X531" s="13" t="s">
        <v>15</v>
      </c>
      <c r="Y531" s="1"/>
      <c r="Z531" s="1"/>
      <c r="AA531" s="60">
        <v>22001389</v>
      </c>
      <c r="AB531" s="10" t="s">
        <v>1409</v>
      </c>
      <c r="AD531" s="11" t="b">
        <f>AB531=AC531</f>
        <v>0</v>
      </c>
      <c r="AE531" s="10" t="s">
        <v>769</v>
      </c>
      <c r="AF531" s="1"/>
      <c r="AG531" s="11" t="b">
        <f>AE531=AF531</f>
        <v>0</v>
      </c>
      <c r="AH531" s="1">
        <v>15</v>
      </c>
      <c r="AI531" s="1">
        <v>8.59</v>
      </c>
      <c r="AJ531" s="16">
        <f>AI531*220/30*30.4375</f>
        <v>1917.3595833333334</v>
      </c>
      <c r="AK531" s="18">
        <v>1917.36</v>
      </c>
      <c r="AL531" s="71" t="s">
        <v>653</v>
      </c>
      <c r="AM531" s="19" t="b">
        <f>AL531=O531</f>
        <v>1</v>
      </c>
      <c r="AN531" s="7">
        <f>VLOOKUP(A531,'base ZITRHR129'!$G$1:$H$628,2,0)</f>
        <v>30041207</v>
      </c>
      <c r="AO531" s="7" t="b">
        <f>AN531=R531</f>
        <v>1</v>
      </c>
      <c r="AP531" s="7">
        <f>VLOOKUP(A531,'base ZITRHR129'!G101:W727,17,0)</f>
        <v>1917.36</v>
      </c>
      <c r="AQ531" s="7" t="b">
        <f>AP531=AK531</f>
        <v>1</v>
      </c>
      <c r="AR531" s="78"/>
    </row>
    <row r="532" spans="1:44" s="7" customFormat="1" x14ac:dyDescent="0.25">
      <c r="A532" s="7">
        <v>10077110</v>
      </c>
      <c r="B532" s="8" t="s">
        <v>554</v>
      </c>
      <c r="C532" s="8" t="s">
        <v>680</v>
      </c>
      <c r="D532" s="8" t="s">
        <v>717</v>
      </c>
      <c r="E532" s="8" t="s">
        <v>737</v>
      </c>
      <c r="F532" s="8" t="s">
        <v>1406</v>
      </c>
      <c r="G532" s="8" t="s">
        <v>765</v>
      </c>
      <c r="H532" s="9">
        <v>14</v>
      </c>
      <c r="I532" s="8" t="s">
        <v>654</v>
      </c>
      <c r="J532" s="8" t="s">
        <v>1303</v>
      </c>
      <c r="K532" s="8" t="s">
        <v>16</v>
      </c>
      <c r="L532" s="8" t="s">
        <v>17</v>
      </c>
      <c r="M532" s="10" t="s">
        <v>680</v>
      </c>
      <c r="N532" s="10" t="s">
        <v>717</v>
      </c>
      <c r="O532" s="10" t="s">
        <v>654</v>
      </c>
      <c r="P532" s="1"/>
      <c r="Q532" s="11" t="b">
        <f>O532=P532</f>
        <v>0</v>
      </c>
      <c r="R532" s="30">
        <v>30041208</v>
      </c>
      <c r="S532" s="1"/>
      <c r="T532" s="11" t="b">
        <f>R532=S532</f>
        <v>0</v>
      </c>
      <c r="U532" s="10" t="s">
        <v>16</v>
      </c>
      <c r="V532" s="1"/>
      <c r="W532" s="11" t="b">
        <f>U532=V532</f>
        <v>0</v>
      </c>
      <c r="X532" s="13" t="s">
        <v>15</v>
      </c>
      <c r="Y532" s="1"/>
      <c r="Z532" s="1"/>
      <c r="AA532" s="10">
        <v>22002830</v>
      </c>
      <c r="AB532" s="10" t="s">
        <v>1409</v>
      </c>
      <c r="AD532" s="11" t="b">
        <f>AB532=AC532</f>
        <v>0</v>
      </c>
      <c r="AE532" s="10" t="s">
        <v>765</v>
      </c>
      <c r="AF532" s="1"/>
      <c r="AG532" s="11" t="b">
        <f>AE532=AF532</f>
        <v>0</v>
      </c>
      <c r="AH532" s="1">
        <v>14</v>
      </c>
      <c r="AI532" s="1">
        <v>8.59</v>
      </c>
      <c r="AJ532" s="16">
        <f>AI532*220/30*30.4375</f>
        <v>1917.3595833333334</v>
      </c>
      <c r="AK532" s="18">
        <v>1917.36</v>
      </c>
      <c r="AL532" s="71" t="s">
        <v>654</v>
      </c>
      <c r="AM532" s="19" t="b">
        <f>AL532=O532</f>
        <v>1</v>
      </c>
      <c r="AN532" s="7">
        <f>VLOOKUP(A532,'base ZITRHR129'!$G$1:$H$628,2,0)</f>
        <v>30041208</v>
      </c>
      <c r="AO532" s="7" t="b">
        <f>AN532=R532</f>
        <v>1</v>
      </c>
      <c r="AP532" s="7">
        <f>VLOOKUP(A532,'base ZITRHR129'!G100:W726,17,0)</f>
        <v>1917.36</v>
      </c>
      <c r="AQ532" s="7" t="b">
        <f>AP532=AK532</f>
        <v>1</v>
      </c>
      <c r="AR532" s="78"/>
    </row>
    <row r="533" spans="1:44" s="7" customFormat="1" x14ac:dyDescent="0.25">
      <c r="A533" s="7">
        <v>10077613</v>
      </c>
      <c r="B533" s="8" t="s">
        <v>555</v>
      </c>
      <c r="C533" s="8" t="s">
        <v>695</v>
      </c>
      <c r="D533" s="8" t="s">
        <v>717</v>
      </c>
      <c r="E533" s="8" t="s">
        <v>737</v>
      </c>
      <c r="F533" s="8" t="s">
        <v>1406</v>
      </c>
      <c r="G533" s="8" t="s">
        <v>765</v>
      </c>
      <c r="H533" s="9">
        <v>14</v>
      </c>
      <c r="I533" s="8" t="s">
        <v>660</v>
      </c>
      <c r="J533" s="8" t="s">
        <v>1304</v>
      </c>
      <c r="K533" s="8" t="s">
        <v>16</v>
      </c>
      <c r="L533" s="8" t="s">
        <v>17</v>
      </c>
      <c r="M533" s="10" t="s">
        <v>695</v>
      </c>
      <c r="N533" s="10" t="s">
        <v>717</v>
      </c>
      <c r="O533" s="10" t="s">
        <v>660</v>
      </c>
      <c r="P533" s="1"/>
      <c r="Q533" s="11" t="b">
        <f>O533=P533</f>
        <v>0</v>
      </c>
      <c r="R533" s="30">
        <v>30041209</v>
      </c>
      <c r="S533" s="1"/>
      <c r="T533" s="11" t="b">
        <f>R533=S533</f>
        <v>0</v>
      </c>
      <c r="U533" s="10" t="s">
        <v>16</v>
      </c>
      <c r="V533" s="1"/>
      <c r="W533" s="11" t="b">
        <f>U533=V533</f>
        <v>0</v>
      </c>
      <c r="X533" s="13" t="s">
        <v>15</v>
      </c>
      <c r="Y533" s="1"/>
      <c r="Z533" s="1"/>
      <c r="AA533" s="10">
        <v>22002830</v>
      </c>
      <c r="AB533" s="10" t="s">
        <v>1409</v>
      </c>
      <c r="AD533" s="11" t="b">
        <f>AB533=AC533</f>
        <v>0</v>
      </c>
      <c r="AE533" s="10" t="s">
        <v>765</v>
      </c>
      <c r="AF533" s="1"/>
      <c r="AG533" s="11" t="b">
        <f>AE533=AF533</f>
        <v>0</v>
      </c>
      <c r="AH533" s="1">
        <v>14</v>
      </c>
      <c r="AI533" s="1">
        <v>8.59</v>
      </c>
      <c r="AJ533" s="16">
        <f>AI533*220/30*30.4375</f>
        <v>1917.3595833333334</v>
      </c>
      <c r="AK533" s="18">
        <v>1917.36</v>
      </c>
      <c r="AL533" s="71" t="s">
        <v>660</v>
      </c>
      <c r="AM533" s="19" t="b">
        <f>AL533=O533</f>
        <v>1</v>
      </c>
      <c r="AN533" s="7">
        <f>VLOOKUP(A533,'base ZITRHR129'!$G$1:$H$628,2,0)</f>
        <v>30041209</v>
      </c>
      <c r="AO533" s="7" t="b">
        <f>AN533=R533</f>
        <v>1</v>
      </c>
      <c r="AP533" s="7">
        <f>VLOOKUP(A533,'base ZITRHR129'!G99:W725,17,0)</f>
        <v>1917.36</v>
      </c>
      <c r="AQ533" s="7" t="b">
        <f>AP533=AK533</f>
        <v>1</v>
      </c>
      <c r="AR533" s="78"/>
    </row>
    <row r="534" spans="1:44" s="7" customFormat="1" x14ac:dyDescent="0.25">
      <c r="A534" s="7">
        <v>10077666</v>
      </c>
      <c r="B534" s="8" t="s">
        <v>556</v>
      </c>
      <c r="C534" s="8" t="s">
        <v>679</v>
      </c>
      <c r="D534" s="8" t="s">
        <v>717</v>
      </c>
      <c r="E534" s="8" t="s">
        <v>728</v>
      </c>
      <c r="F534" s="8" t="s">
        <v>1406</v>
      </c>
      <c r="G534" s="8" t="s">
        <v>757</v>
      </c>
      <c r="H534" s="9">
        <v>13</v>
      </c>
      <c r="I534" s="8" t="s">
        <v>653</v>
      </c>
      <c r="J534" s="8" t="s">
        <v>1305</v>
      </c>
      <c r="K534" s="8" t="s">
        <v>16</v>
      </c>
      <c r="L534" s="8" t="s">
        <v>17</v>
      </c>
      <c r="M534" s="10" t="s">
        <v>679</v>
      </c>
      <c r="N534" s="10" t="s">
        <v>717</v>
      </c>
      <c r="O534" s="10" t="s">
        <v>653</v>
      </c>
      <c r="P534" s="1"/>
      <c r="Q534" s="11" t="b">
        <f>O534=P534</f>
        <v>0</v>
      </c>
      <c r="R534" s="30">
        <v>30041210</v>
      </c>
      <c r="S534" s="1"/>
      <c r="T534" s="11" t="b">
        <f>R534=S534</f>
        <v>0</v>
      </c>
      <c r="U534" s="10" t="s">
        <v>16</v>
      </c>
      <c r="V534" s="1"/>
      <c r="W534" s="11" t="b">
        <f>U534=V534</f>
        <v>0</v>
      </c>
      <c r="X534" s="13" t="s">
        <v>15</v>
      </c>
      <c r="Y534" s="1"/>
      <c r="Z534" s="1"/>
      <c r="AA534" s="60">
        <v>22000878</v>
      </c>
      <c r="AB534" s="10" t="s">
        <v>1409</v>
      </c>
      <c r="AD534" s="11" t="b">
        <f>AB534=AC534</f>
        <v>0</v>
      </c>
      <c r="AE534" s="10" t="s">
        <v>757</v>
      </c>
      <c r="AF534" s="1"/>
      <c r="AG534" s="11" t="b">
        <f>AE534=AF534</f>
        <v>0</v>
      </c>
      <c r="AH534" s="1">
        <v>13</v>
      </c>
      <c r="AI534" s="1">
        <v>7.37</v>
      </c>
      <c r="AJ534" s="16">
        <f>AI534*220/30*30.4375</f>
        <v>1645.0454166666666</v>
      </c>
      <c r="AK534" s="18">
        <v>1645.05</v>
      </c>
      <c r="AL534" s="71" t="s">
        <v>653</v>
      </c>
      <c r="AM534" s="19" t="b">
        <f>AL534=O534</f>
        <v>1</v>
      </c>
      <c r="AN534" s="7">
        <f>VLOOKUP(A534,'base ZITRHR129'!$G$1:$H$628,2,0)</f>
        <v>30041210</v>
      </c>
      <c r="AO534" s="7" t="b">
        <f>AN534=R534</f>
        <v>1</v>
      </c>
      <c r="AP534" s="7">
        <f>VLOOKUP(A534,'base ZITRHR129'!G98:W724,17,0)</f>
        <v>1645.05</v>
      </c>
      <c r="AQ534" s="7" t="b">
        <f>AP534=AK534</f>
        <v>1</v>
      </c>
      <c r="AR534" s="78"/>
    </row>
    <row r="535" spans="1:44" s="7" customFormat="1" x14ac:dyDescent="0.25">
      <c r="A535" s="7">
        <v>10077688</v>
      </c>
      <c r="B535" s="8" t="s">
        <v>557</v>
      </c>
      <c r="C535" s="8" t="s">
        <v>701</v>
      </c>
      <c r="D535" s="8" t="s">
        <v>717</v>
      </c>
      <c r="E535" s="8" t="s">
        <v>728</v>
      </c>
      <c r="F535" s="8" t="s">
        <v>1406</v>
      </c>
      <c r="G535" s="8" t="s">
        <v>757</v>
      </c>
      <c r="H535" s="9">
        <v>13</v>
      </c>
      <c r="I535" s="8" t="s">
        <v>668</v>
      </c>
      <c r="J535" s="8" t="s">
        <v>1306</v>
      </c>
      <c r="K535" s="8" t="s">
        <v>16</v>
      </c>
      <c r="L535" s="8" t="s">
        <v>17</v>
      </c>
      <c r="M535" s="10" t="s">
        <v>701</v>
      </c>
      <c r="N535" s="10" t="s">
        <v>717</v>
      </c>
      <c r="O535" s="10" t="s">
        <v>668</v>
      </c>
      <c r="P535" s="1"/>
      <c r="Q535" s="11" t="b">
        <f>O535=P535</f>
        <v>0</v>
      </c>
      <c r="R535" s="30">
        <v>30041211</v>
      </c>
      <c r="S535" s="1"/>
      <c r="T535" s="11" t="b">
        <f>R535=S535</f>
        <v>0</v>
      </c>
      <c r="U535" s="10" t="s">
        <v>16</v>
      </c>
      <c r="V535" s="1"/>
      <c r="W535" s="11" t="b">
        <f>U535=V535</f>
        <v>0</v>
      </c>
      <c r="X535" s="13" t="s">
        <v>15</v>
      </c>
      <c r="Y535" s="1"/>
      <c r="Z535" s="1"/>
      <c r="AA535" s="60">
        <v>22000878</v>
      </c>
      <c r="AB535" s="10" t="s">
        <v>1409</v>
      </c>
      <c r="AD535" s="11" t="b">
        <f>AB535=AC535</f>
        <v>0</v>
      </c>
      <c r="AE535" s="10" t="s">
        <v>757</v>
      </c>
      <c r="AF535" s="1"/>
      <c r="AG535" s="11" t="b">
        <f>AE535=AF535</f>
        <v>0</v>
      </c>
      <c r="AH535" s="1">
        <v>13</v>
      </c>
      <c r="AI535" s="1">
        <v>7.37</v>
      </c>
      <c r="AJ535" s="16">
        <f>AI535*220/30*30.4375</f>
        <v>1645.0454166666666</v>
      </c>
      <c r="AK535" s="18">
        <v>1645.05</v>
      </c>
      <c r="AL535" s="71" t="s">
        <v>668</v>
      </c>
      <c r="AM535" s="19" t="b">
        <f>AL535=O535</f>
        <v>1</v>
      </c>
      <c r="AN535" s="7">
        <f>VLOOKUP(A535,'base ZITRHR129'!$G$1:$H$628,2,0)</f>
        <v>30041211</v>
      </c>
      <c r="AO535" s="7" t="b">
        <f>AN535=R535</f>
        <v>1</v>
      </c>
      <c r="AP535" s="7">
        <f>VLOOKUP(A535,'base ZITRHR129'!G97:W723,17,0)</f>
        <v>1645.05</v>
      </c>
      <c r="AQ535" s="7" t="b">
        <f>AP535=AK535</f>
        <v>1</v>
      </c>
      <c r="AR535" s="78"/>
    </row>
    <row r="536" spans="1:44" s="7" customFormat="1" x14ac:dyDescent="0.25">
      <c r="A536" s="7">
        <v>10077692</v>
      </c>
      <c r="B536" s="8" t="s">
        <v>558</v>
      </c>
      <c r="C536" s="8" t="s">
        <v>713</v>
      </c>
      <c r="D536" s="8" t="s">
        <v>717</v>
      </c>
      <c r="E536" s="8" t="s">
        <v>739</v>
      </c>
      <c r="F536" s="8" t="s">
        <v>1406</v>
      </c>
      <c r="G536" s="8" t="s">
        <v>766</v>
      </c>
      <c r="H536" s="9">
        <v>14</v>
      </c>
      <c r="I536" s="8" t="s">
        <v>659</v>
      </c>
      <c r="J536" s="8" t="s">
        <v>1307</v>
      </c>
      <c r="K536" s="8" t="s">
        <v>6</v>
      </c>
      <c r="L536" s="8" t="s">
        <v>17</v>
      </c>
      <c r="M536" s="10" t="s">
        <v>713</v>
      </c>
      <c r="N536" s="10" t="s">
        <v>717</v>
      </c>
      <c r="O536" s="10" t="s">
        <v>659</v>
      </c>
      <c r="P536" s="1"/>
      <c r="Q536" s="11" t="b">
        <f>O536=P536</f>
        <v>0</v>
      </c>
      <c r="R536" s="30">
        <v>30041212</v>
      </c>
      <c r="S536" s="1"/>
      <c r="T536" s="11" t="b">
        <f>R536=S536</f>
        <v>0</v>
      </c>
      <c r="U536" s="10" t="s">
        <v>6</v>
      </c>
      <c r="V536" s="1"/>
      <c r="W536" s="11" t="b">
        <f>U536=V536</f>
        <v>0</v>
      </c>
      <c r="X536" s="13" t="s">
        <v>15</v>
      </c>
      <c r="Y536" s="1"/>
      <c r="Z536" s="1"/>
      <c r="AA536" s="63">
        <v>22001415</v>
      </c>
      <c r="AB536" s="10" t="s">
        <v>1409</v>
      </c>
      <c r="AD536" s="11" t="b">
        <f>AB536=AC536</f>
        <v>0</v>
      </c>
      <c r="AE536" s="10" t="s">
        <v>766</v>
      </c>
      <c r="AF536" s="1"/>
      <c r="AG536" s="11" t="b">
        <f>AE536=AF536</f>
        <v>0</v>
      </c>
      <c r="AH536" s="1">
        <v>14</v>
      </c>
      <c r="AI536" s="1">
        <v>8.26</v>
      </c>
      <c r="AJ536" s="16">
        <f>AI536*220/30*30.4375</f>
        <v>1843.7008333333335</v>
      </c>
      <c r="AK536" s="18">
        <v>1843.7</v>
      </c>
      <c r="AL536" s="71" t="s">
        <v>659</v>
      </c>
      <c r="AM536" s="19" t="b">
        <f>AL536=O536</f>
        <v>1</v>
      </c>
      <c r="AN536" s="7">
        <f>VLOOKUP(A536,'base ZITRHR129'!$G$1:$H$628,2,0)</f>
        <v>30041212</v>
      </c>
      <c r="AO536" s="7" t="b">
        <f>AN536=R536</f>
        <v>1</v>
      </c>
      <c r="AP536" s="7">
        <f>VLOOKUP(A536,'base ZITRHR129'!G96:W722,17,0)</f>
        <v>1843.7</v>
      </c>
      <c r="AQ536" s="7" t="b">
        <f>AP536=AK536</f>
        <v>1</v>
      </c>
      <c r="AR536" s="78"/>
    </row>
    <row r="537" spans="1:44" s="7" customFormat="1" x14ac:dyDescent="0.25">
      <c r="A537" s="7">
        <v>10077726</v>
      </c>
      <c r="B537" s="8" t="s">
        <v>559</v>
      </c>
      <c r="C537" s="8" t="s">
        <v>683</v>
      </c>
      <c r="D537" s="8" t="s">
        <v>717</v>
      </c>
      <c r="E537" s="8" t="s">
        <v>722</v>
      </c>
      <c r="F537" s="8" t="s">
        <v>1406</v>
      </c>
      <c r="G537" s="8" t="s">
        <v>753</v>
      </c>
      <c r="H537" s="9">
        <v>19</v>
      </c>
      <c r="I537" s="8" t="s">
        <v>656</v>
      </c>
      <c r="J537" s="8" t="s">
        <v>1308</v>
      </c>
      <c r="K537" s="8" t="s">
        <v>6</v>
      </c>
      <c r="L537" s="8" t="s">
        <v>17</v>
      </c>
      <c r="M537" s="10" t="s">
        <v>683</v>
      </c>
      <c r="N537" s="10" t="s">
        <v>717</v>
      </c>
      <c r="O537" s="10" t="s">
        <v>656</v>
      </c>
      <c r="P537" s="1"/>
      <c r="Q537" s="11" t="b">
        <f>O537=P537</f>
        <v>0</v>
      </c>
      <c r="R537" s="30">
        <v>30041213</v>
      </c>
      <c r="S537" s="1"/>
      <c r="T537" s="11" t="b">
        <f>R537=S537</f>
        <v>0</v>
      </c>
      <c r="U537" s="10" t="s">
        <v>6</v>
      </c>
      <c r="V537" s="1"/>
      <c r="W537" s="11" t="b">
        <f>U537=V537</f>
        <v>0</v>
      </c>
      <c r="X537" s="13" t="s">
        <v>15</v>
      </c>
      <c r="Y537" s="1"/>
      <c r="Z537" s="1"/>
      <c r="AA537" s="10">
        <v>22002695</v>
      </c>
      <c r="AB537" s="10" t="s">
        <v>1409</v>
      </c>
      <c r="AD537" s="11" t="b">
        <f>AB537=AC537</f>
        <v>0</v>
      </c>
      <c r="AE537" s="10" t="s">
        <v>753</v>
      </c>
      <c r="AF537" s="1"/>
      <c r="AG537" s="11" t="b">
        <f>AE537=AF537</f>
        <v>0</v>
      </c>
      <c r="AH537" s="1">
        <v>19</v>
      </c>
      <c r="AI537" s="1">
        <v>16.53</v>
      </c>
      <c r="AJ537" s="16">
        <f>AI537*220/30*30.4375</f>
        <v>3689.6337500000004</v>
      </c>
      <c r="AK537" s="18">
        <v>3689.63</v>
      </c>
      <c r="AL537" s="71" t="s">
        <v>656</v>
      </c>
      <c r="AM537" s="19" t="b">
        <f>AL537=O537</f>
        <v>1</v>
      </c>
      <c r="AN537" s="7">
        <f>VLOOKUP(A537,'base ZITRHR129'!$G$1:$H$628,2,0)</f>
        <v>30041213</v>
      </c>
      <c r="AO537" s="7" t="b">
        <f>AN537=R537</f>
        <v>1</v>
      </c>
      <c r="AP537" s="7">
        <f>VLOOKUP(A537,'base ZITRHR129'!G95:W721,17,0)</f>
        <v>3689.63</v>
      </c>
      <c r="AQ537" s="7" t="b">
        <f>AP537=AK537</f>
        <v>1</v>
      </c>
      <c r="AR537" s="78"/>
    </row>
    <row r="538" spans="1:44" s="7" customFormat="1" x14ac:dyDescent="0.25">
      <c r="A538" s="7">
        <v>10077757</v>
      </c>
      <c r="B538" s="8" t="s">
        <v>560</v>
      </c>
      <c r="C538" s="8" t="s">
        <v>698</v>
      </c>
      <c r="D538" s="8" t="s">
        <v>717</v>
      </c>
      <c r="E538" s="8" t="s">
        <v>741</v>
      </c>
      <c r="F538" s="8" t="s">
        <v>1406</v>
      </c>
      <c r="G538" s="8" t="s">
        <v>768</v>
      </c>
      <c r="H538" s="9">
        <v>16</v>
      </c>
      <c r="I538" s="8" t="s">
        <v>664</v>
      </c>
      <c r="J538" s="8" t="s">
        <v>1309</v>
      </c>
      <c r="K538" s="8" t="s">
        <v>16</v>
      </c>
      <c r="L538" s="8" t="s">
        <v>17</v>
      </c>
      <c r="M538" s="10" t="s">
        <v>698</v>
      </c>
      <c r="N538" s="10" t="s">
        <v>717</v>
      </c>
      <c r="O538" s="10" t="s">
        <v>664</v>
      </c>
      <c r="P538" s="1"/>
      <c r="Q538" s="11" t="b">
        <f>O538=P538</f>
        <v>0</v>
      </c>
      <c r="R538" s="30">
        <v>30041214</v>
      </c>
      <c r="S538" s="1"/>
      <c r="T538" s="11" t="b">
        <f>R538=S538</f>
        <v>0</v>
      </c>
      <c r="U538" s="10" t="s">
        <v>16</v>
      </c>
      <c r="V538" s="1"/>
      <c r="W538" s="11" t="b">
        <f>U538=V538</f>
        <v>0</v>
      </c>
      <c r="X538" s="13" t="s">
        <v>15</v>
      </c>
      <c r="Y538" s="1"/>
      <c r="Z538" s="1"/>
      <c r="AA538" s="10">
        <v>22002748</v>
      </c>
      <c r="AB538" s="10" t="s">
        <v>1409</v>
      </c>
      <c r="AD538" s="11" t="b">
        <f>AB538=AC538</f>
        <v>0</v>
      </c>
      <c r="AE538" s="10" t="s">
        <v>768</v>
      </c>
      <c r="AF538" s="1"/>
      <c r="AG538" s="11" t="b">
        <f>AE538=AF538</f>
        <v>0</v>
      </c>
      <c r="AH538" s="1">
        <v>16</v>
      </c>
      <c r="AI538" s="1">
        <v>8.51</v>
      </c>
      <c r="AJ538" s="16">
        <f>AI538*220/30*30.4375</f>
        <v>1899.5029166666666</v>
      </c>
      <c r="AK538" s="18">
        <v>1899.5</v>
      </c>
      <c r="AL538" s="71" t="s">
        <v>664</v>
      </c>
      <c r="AM538" s="19" t="b">
        <f>AL538=O538</f>
        <v>1</v>
      </c>
      <c r="AN538" s="7">
        <f>VLOOKUP(A538,'base ZITRHR129'!$G$1:$H$628,2,0)</f>
        <v>30041214</v>
      </c>
      <c r="AO538" s="7" t="b">
        <f>AN538=R538</f>
        <v>1</v>
      </c>
      <c r="AP538" s="7">
        <f>VLOOKUP(A538,'base ZITRHR129'!G94:W720,17,0)</f>
        <v>1899.5</v>
      </c>
      <c r="AQ538" s="7" t="b">
        <f>AP538=AK538</f>
        <v>1</v>
      </c>
      <c r="AR538" s="78"/>
    </row>
    <row r="539" spans="1:44" s="7" customFormat="1" x14ac:dyDescent="0.25">
      <c r="A539" s="7">
        <v>10077762</v>
      </c>
      <c r="B539" s="8" t="s">
        <v>561</v>
      </c>
      <c r="C539" s="8" t="s">
        <v>679</v>
      </c>
      <c r="D539" s="8" t="s">
        <v>717</v>
      </c>
      <c r="E539" s="8" t="s">
        <v>742</v>
      </c>
      <c r="F539" s="8" t="s">
        <v>1406</v>
      </c>
      <c r="G539" s="8" t="s">
        <v>769</v>
      </c>
      <c r="H539" s="9">
        <v>15</v>
      </c>
      <c r="I539" s="8" t="s">
        <v>653</v>
      </c>
      <c r="J539" s="8" t="s">
        <v>1310</v>
      </c>
      <c r="K539" s="8" t="s">
        <v>16</v>
      </c>
      <c r="L539" s="8" t="s">
        <v>17</v>
      </c>
      <c r="M539" s="10" t="s">
        <v>679</v>
      </c>
      <c r="N539" s="10" t="s">
        <v>717</v>
      </c>
      <c r="O539" s="10" t="s">
        <v>653</v>
      </c>
      <c r="P539" s="1"/>
      <c r="Q539" s="11" t="b">
        <f>O539=P539</f>
        <v>0</v>
      </c>
      <c r="R539" s="30">
        <v>30041215</v>
      </c>
      <c r="S539" s="1"/>
      <c r="T539" s="11" t="b">
        <f>R539=S539</f>
        <v>0</v>
      </c>
      <c r="U539" s="10" t="s">
        <v>16</v>
      </c>
      <c r="V539" s="1"/>
      <c r="W539" s="11" t="b">
        <f>U539=V539</f>
        <v>0</v>
      </c>
      <c r="X539" s="13" t="s">
        <v>15</v>
      </c>
      <c r="Y539" s="1"/>
      <c r="Z539" s="1"/>
      <c r="AA539" s="60">
        <v>22001389</v>
      </c>
      <c r="AB539" s="10" t="s">
        <v>1409</v>
      </c>
      <c r="AD539" s="11" t="b">
        <f>AB539=AC539</f>
        <v>0</v>
      </c>
      <c r="AE539" s="10" t="s">
        <v>769</v>
      </c>
      <c r="AF539" s="1"/>
      <c r="AG539" s="11" t="b">
        <f>AE539=AF539</f>
        <v>0</v>
      </c>
      <c r="AH539" s="1">
        <v>15</v>
      </c>
      <c r="AI539" s="1">
        <v>8.59</v>
      </c>
      <c r="AJ539" s="16">
        <f>AI539*220/30*30.4375</f>
        <v>1917.3595833333334</v>
      </c>
      <c r="AK539" s="18">
        <v>1917.36</v>
      </c>
      <c r="AL539" s="71" t="s">
        <v>653</v>
      </c>
      <c r="AM539" s="19" t="b">
        <f>AL539=O539</f>
        <v>1</v>
      </c>
      <c r="AN539" s="7">
        <f>VLOOKUP(A539,'base ZITRHR129'!$G$1:$H$628,2,0)</f>
        <v>30041215</v>
      </c>
      <c r="AO539" s="7" t="b">
        <f>AN539=R539</f>
        <v>1</v>
      </c>
      <c r="AP539" s="7">
        <f>VLOOKUP(A539,'base ZITRHR129'!G93:W719,17,0)</f>
        <v>1917.36</v>
      </c>
      <c r="AQ539" s="7" t="b">
        <f>AP539=AK539</f>
        <v>1</v>
      </c>
      <c r="AR539" s="78"/>
    </row>
    <row r="540" spans="1:44" s="7" customFormat="1" ht="12" x14ac:dyDescent="0.2">
      <c r="A540" s="20">
        <v>10077787</v>
      </c>
      <c r="B540" s="21" t="s">
        <v>562</v>
      </c>
      <c r="C540" s="21" t="s">
        <v>700</v>
      </c>
      <c r="D540" s="21" t="s">
        <v>717</v>
      </c>
      <c r="E540" s="21" t="s">
        <v>746</v>
      </c>
      <c r="F540" s="21" t="s">
        <v>1407</v>
      </c>
      <c r="G540" s="21" t="s">
        <v>757</v>
      </c>
      <c r="H540" s="22">
        <v>13</v>
      </c>
      <c r="I540" s="21" t="s">
        <v>666</v>
      </c>
      <c r="J540" s="21" t="s">
        <v>1311</v>
      </c>
      <c r="K540" s="21" t="s">
        <v>16</v>
      </c>
      <c r="L540" s="21" t="s">
        <v>17</v>
      </c>
      <c r="M540" s="21" t="s">
        <v>700</v>
      </c>
      <c r="N540" s="21" t="s">
        <v>717</v>
      </c>
      <c r="O540" s="21" t="s">
        <v>666</v>
      </c>
      <c r="P540" s="23"/>
      <c r="Q540" s="24" t="b">
        <f>O540=P540</f>
        <v>0</v>
      </c>
      <c r="R540" s="31">
        <v>30041216</v>
      </c>
      <c r="S540" s="23"/>
      <c r="T540" s="24" t="b">
        <f>R540=S540</f>
        <v>0</v>
      </c>
      <c r="U540" s="21" t="s">
        <v>16</v>
      </c>
      <c r="V540" s="23"/>
      <c r="W540" s="24" t="b">
        <f>U540=V540</f>
        <v>0</v>
      </c>
      <c r="X540" s="25" t="s">
        <v>15</v>
      </c>
      <c r="Y540" s="23"/>
      <c r="Z540" s="23"/>
      <c r="AA540" s="64">
        <v>22000018</v>
      </c>
      <c r="AB540" s="21" t="s">
        <v>1410</v>
      </c>
      <c r="AC540" s="20"/>
      <c r="AD540" s="24" t="b">
        <f>AB540=AC540</f>
        <v>0</v>
      </c>
      <c r="AE540" s="21" t="s">
        <v>757</v>
      </c>
      <c r="AF540" s="23"/>
      <c r="AG540" s="24" t="b">
        <f>AE540=AF540</f>
        <v>0</v>
      </c>
      <c r="AH540" s="23">
        <v>13</v>
      </c>
      <c r="AI540" s="23">
        <v>9.01</v>
      </c>
      <c r="AJ540" s="26">
        <f>AI540*180/30*30.4375</f>
        <v>1645.4512499999998</v>
      </c>
      <c r="AK540" s="27">
        <v>1645.45</v>
      </c>
      <c r="AL540" s="73" t="s">
        <v>666</v>
      </c>
      <c r="AM540" s="28" t="b">
        <f>AL540=O540</f>
        <v>1</v>
      </c>
      <c r="AN540" s="20">
        <f>VLOOKUP(A540,'base ZITRHR129'!$G$1:$H$628,2,0)</f>
        <v>30041216</v>
      </c>
      <c r="AO540" s="20" t="b">
        <f>AN540=R540</f>
        <v>1</v>
      </c>
      <c r="AP540" s="20">
        <f>VLOOKUP(A540,'base ZITRHR129'!G92:W718,17,0)</f>
        <v>9.01</v>
      </c>
      <c r="AQ540" s="20" t="b">
        <f>AP540=AK540</f>
        <v>0</v>
      </c>
      <c r="AR540" s="69" t="s">
        <v>1516</v>
      </c>
    </row>
    <row r="541" spans="1:44" s="7" customFormat="1" x14ac:dyDescent="0.25">
      <c r="A541" s="7">
        <v>10077788</v>
      </c>
      <c r="B541" s="8" t="s">
        <v>563</v>
      </c>
      <c r="C541" s="8" t="s">
        <v>711</v>
      </c>
      <c r="D541" s="8" t="s">
        <v>717</v>
      </c>
      <c r="E541" s="8" t="s">
        <v>737</v>
      </c>
      <c r="F541" s="8" t="s">
        <v>1406</v>
      </c>
      <c r="G541" s="8" t="s">
        <v>765</v>
      </c>
      <c r="H541" s="9">
        <v>14</v>
      </c>
      <c r="I541" s="8" t="s">
        <v>675</v>
      </c>
      <c r="J541" s="8" t="s">
        <v>1312</v>
      </c>
      <c r="K541" s="8" t="s">
        <v>16</v>
      </c>
      <c r="L541" s="8" t="s">
        <v>17</v>
      </c>
      <c r="M541" s="10" t="s">
        <v>711</v>
      </c>
      <c r="N541" s="10" t="s">
        <v>717</v>
      </c>
      <c r="O541" s="10" t="s">
        <v>675</v>
      </c>
      <c r="P541" s="1"/>
      <c r="Q541" s="11" t="b">
        <f>O541=P541</f>
        <v>0</v>
      </c>
      <c r="R541" s="30">
        <v>30041217</v>
      </c>
      <c r="S541" s="1"/>
      <c r="T541" s="11" t="b">
        <f>R541=S541</f>
        <v>0</v>
      </c>
      <c r="U541" s="10" t="s">
        <v>16</v>
      </c>
      <c r="V541" s="1"/>
      <c r="W541" s="11" t="b">
        <f>U541=V541</f>
        <v>0</v>
      </c>
      <c r="X541" s="13" t="s">
        <v>15</v>
      </c>
      <c r="Y541" s="1"/>
      <c r="Z541" s="1"/>
      <c r="AA541" s="10">
        <v>22002830</v>
      </c>
      <c r="AB541" s="10" t="s">
        <v>1409</v>
      </c>
      <c r="AD541" s="11" t="b">
        <f>AB541=AC541</f>
        <v>0</v>
      </c>
      <c r="AE541" s="10" t="s">
        <v>765</v>
      </c>
      <c r="AF541" s="1"/>
      <c r="AG541" s="11" t="b">
        <f>AE541=AF541</f>
        <v>0</v>
      </c>
      <c r="AH541" s="1">
        <v>14</v>
      </c>
      <c r="AI541" s="1">
        <v>8.59</v>
      </c>
      <c r="AJ541" s="16">
        <f>AI541*220/30*30.4375</f>
        <v>1917.3595833333334</v>
      </c>
      <c r="AK541" s="18">
        <v>1917.36</v>
      </c>
      <c r="AL541" s="71" t="s">
        <v>675</v>
      </c>
      <c r="AM541" s="19" t="b">
        <f>AL541=O541</f>
        <v>1</v>
      </c>
      <c r="AN541" s="7">
        <f>VLOOKUP(A541,'base ZITRHR129'!$G$1:$H$628,2,0)</f>
        <v>30041217</v>
      </c>
      <c r="AO541" s="7" t="b">
        <f>AN541=R541</f>
        <v>1</v>
      </c>
      <c r="AP541" s="7">
        <f>VLOOKUP(A541,'base ZITRHR129'!G91:W717,17,0)</f>
        <v>1917.36</v>
      </c>
      <c r="AQ541" s="7" t="b">
        <f>AP541=AK541</f>
        <v>1</v>
      </c>
      <c r="AR541" s="78"/>
    </row>
    <row r="542" spans="1:44" s="7" customFormat="1" x14ac:dyDescent="0.25">
      <c r="A542" s="7">
        <v>10077901</v>
      </c>
      <c r="B542" s="8" t="s">
        <v>564</v>
      </c>
      <c r="C542" s="8" t="s">
        <v>691</v>
      </c>
      <c r="D542" s="8" t="s">
        <v>717</v>
      </c>
      <c r="E542" s="8" t="s">
        <v>737</v>
      </c>
      <c r="F542" s="8" t="s">
        <v>1406</v>
      </c>
      <c r="G542" s="8" t="s">
        <v>765</v>
      </c>
      <c r="H542" s="9">
        <v>14</v>
      </c>
      <c r="I542" s="8" t="s">
        <v>664</v>
      </c>
      <c r="J542" s="8" t="s">
        <v>1313</v>
      </c>
      <c r="K542" s="8" t="s">
        <v>16</v>
      </c>
      <c r="L542" s="8" t="s">
        <v>17</v>
      </c>
      <c r="M542" s="10" t="s">
        <v>691</v>
      </c>
      <c r="N542" s="10" t="s">
        <v>717</v>
      </c>
      <c r="O542" s="10" t="s">
        <v>664</v>
      </c>
      <c r="P542" s="1"/>
      <c r="Q542" s="11" t="b">
        <f>O542=P542</f>
        <v>0</v>
      </c>
      <c r="R542" s="30">
        <v>30041218</v>
      </c>
      <c r="S542" s="1"/>
      <c r="T542" s="11" t="b">
        <f>R542=S542</f>
        <v>0</v>
      </c>
      <c r="U542" s="10" t="s">
        <v>16</v>
      </c>
      <c r="V542" s="1"/>
      <c r="W542" s="11" t="b">
        <f>U542=V542</f>
        <v>0</v>
      </c>
      <c r="X542" s="13" t="s">
        <v>15</v>
      </c>
      <c r="Y542" s="1"/>
      <c r="Z542" s="1"/>
      <c r="AA542" s="10">
        <v>22002830</v>
      </c>
      <c r="AB542" s="10" t="s">
        <v>1409</v>
      </c>
      <c r="AD542" s="11" t="b">
        <f>AB542=AC542</f>
        <v>0</v>
      </c>
      <c r="AE542" s="10" t="s">
        <v>765</v>
      </c>
      <c r="AF542" s="1"/>
      <c r="AG542" s="11" t="b">
        <f>AE542=AF542</f>
        <v>0</v>
      </c>
      <c r="AH542" s="1">
        <v>14</v>
      </c>
      <c r="AI542" s="1">
        <v>8.59</v>
      </c>
      <c r="AJ542" s="16">
        <f>AI542*220/30*30.4375</f>
        <v>1917.3595833333334</v>
      </c>
      <c r="AK542" s="18">
        <v>1917.36</v>
      </c>
      <c r="AL542" s="71" t="s">
        <v>664</v>
      </c>
      <c r="AM542" s="19" t="b">
        <f>AL542=O542</f>
        <v>1</v>
      </c>
      <c r="AN542" s="7">
        <f>VLOOKUP(A542,'base ZITRHR129'!$G$1:$H$628,2,0)</f>
        <v>30041218</v>
      </c>
      <c r="AO542" s="7" t="b">
        <f>AN542=R542</f>
        <v>1</v>
      </c>
      <c r="AP542" s="7">
        <f>VLOOKUP(A542,'base ZITRHR129'!G90:W716,17,0)</f>
        <v>1917.36</v>
      </c>
      <c r="AQ542" s="7" t="b">
        <f>AP542=AK542</f>
        <v>1</v>
      </c>
      <c r="AR542" s="78"/>
    </row>
    <row r="543" spans="1:44" s="7" customFormat="1" x14ac:dyDescent="0.25">
      <c r="A543" s="7">
        <v>10078031</v>
      </c>
      <c r="B543" s="8" t="s">
        <v>565</v>
      </c>
      <c r="C543" s="8" t="s">
        <v>706</v>
      </c>
      <c r="D543" s="8" t="s">
        <v>717</v>
      </c>
      <c r="E543" s="8" t="s">
        <v>737</v>
      </c>
      <c r="F543" s="8" t="s">
        <v>1406</v>
      </c>
      <c r="G543" s="8" t="s">
        <v>765</v>
      </c>
      <c r="H543" s="9">
        <v>14</v>
      </c>
      <c r="I543" s="8" t="s">
        <v>660</v>
      </c>
      <c r="J543" s="8" t="s">
        <v>1314</v>
      </c>
      <c r="K543" s="8" t="s">
        <v>16</v>
      </c>
      <c r="L543" s="8" t="s">
        <v>17</v>
      </c>
      <c r="M543" s="10" t="s">
        <v>706</v>
      </c>
      <c r="N543" s="10" t="s">
        <v>717</v>
      </c>
      <c r="O543" s="10" t="s">
        <v>660</v>
      </c>
      <c r="P543" s="1"/>
      <c r="Q543" s="11" t="b">
        <f>O543=P543</f>
        <v>0</v>
      </c>
      <c r="R543" s="30">
        <v>30041219</v>
      </c>
      <c r="S543" s="1"/>
      <c r="T543" s="11" t="b">
        <f>R543=S543</f>
        <v>0</v>
      </c>
      <c r="U543" s="10" t="s">
        <v>16</v>
      </c>
      <c r="V543" s="1"/>
      <c r="W543" s="11" t="b">
        <f>U543=V543</f>
        <v>0</v>
      </c>
      <c r="X543" s="13" t="s">
        <v>15</v>
      </c>
      <c r="Y543" s="1"/>
      <c r="Z543" s="1"/>
      <c r="AA543" s="63">
        <v>22002830</v>
      </c>
      <c r="AB543" s="10" t="s">
        <v>1409</v>
      </c>
      <c r="AD543" s="11" t="b">
        <f>AB543=AC543</f>
        <v>0</v>
      </c>
      <c r="AE543" s="10" t="s">
        <v>765</v>
      </c>
      <c r="AF543" s="1"/>
      <c r="AG543" s="11" t="b">
        <f>AE543=AF543</f>
        <v>0</v>
      </c>
      <c r="AH543" s="1">
        <v>14</v>
      </c>
      <c r="AI543" s="1">
        <v>8.59</v>
      </c>
      <c r="AJ543" s="16">
        <f>AI543*220/30*30.4375</f>
        <v>1917.3595833333334</v>
      </c>
      <c r="AK543" s="18">
        <v>1917.36</v>
      </c>
      <c r="AL543" s="71" t="s">
        <v>660</v>
      </c>
      <c r="AM543" s="19" t="b">
        <f>AL543=O543</f>
        <v>1</v>
      </c>
      <c r="AN543" s="7">
        <f>VLOOKUP(A543,'base ZITRHR129'!$G$1:$H$628,2,0)</f>
        <v>30041219</v>
      </c>
      <c r="AO543" s="7" t="b">
        <f>AN543=R543</f>
        <v>1</v>
      </c>
      <c r="AP543" s="7">
        <f>VLOOKUP(A543,'base ZITRHR129'!G89:W715,17,0)</f>
        <v>1917.36</v>
      </c>
      <c r="AQ543" s="7" t="b">
        <f>AP543=AK543</f>
        <v>1</v>
      </c>
      <c r="AR543" s="78"/>
    </row>
    <row r="544" spans="1:44" s="7" customFormat="1" x14ac:dyDescent="0.25">
      <c r="A544" s="7">
        <v>10078038</v>
      </c>
      <c r="B544" s="8" t="s">
        <v>566</v>
      </c>
      <c r="C544" s="8" t="s">
        <v>686</v>
      </c>
      <c r="D544" s="8" t="s">
        <v>717</v>
      </c>
      <c r="E544" s="8" t="s">
        <v>739</v>
      </c>
      <c r="F544" s="8" t="s">
        <v>1406</v>
      </c>
      <c r="G544" s="8" t="s">
        <v>766</v>
      </c>
      <c r="H544" s="9">
        <v>14</v>
      </c>
      <c r="I544" s="8" t="s">
        <v>659</v>
      </c>
      <c r="J544" s="8" t="s">
        <v>1315</v>
      </c>
      <c r="K544" s="8" t="s">
        <v>6</v>
      </c>
      <c r="L544" s="8" t="s">
        <v>17</v>
      </c>
      <c r="M544" s="10" t="s">
        <v>686</v>
      </c>
      <c r="N544" s="10" t="s">
        <v>717</v>
      </c>
      <c r="O544" s="10" t="s">
        <v>659</v>
      </c>
      <c r="P544" s="1"/>
      <c r="Q544" s="11" t="b">
        <f>O544=P544</f>
        <v>0</v>
      </c>
      <c r="R544" s="30">
        <v>30041220</v>
      </c>
      <c r="S544" s="1"/>
      <c r="T544" s="11" t="b">
        <f>R544=S544</f>
        <v>0</v>
      </c>
      <c r="U544" s="10" t="s">
        <v>6</v>
      </c>
      <c r="V544" s="1"/>
      <c r="W544" s="11" t="b">
        <f>U544=V544</f>
        <v>0</v>
      </c>
      <c r="X544" s="13" t="s">
        <v>15</v>
      </c>
      <c r="Y544" s="1"/>
      <c r="Z544" s="1"/>
      <c r="AA544" s="63">
        <v>22001415</v>
      </c>
      <c r="AB544" s="10" t="s">
        <v>1409</v>
      </c>
      <c r="AD544" s="11" t="b">
        <f>AB544=AC544</f>
        <v>0</v>
      </c>
      <c r="AE544" s="10" t="s">
        <v>766</v>
      </c>
      <c r="AF544" s="1"/>
      <c r="AG544" s="11" t="b">
        <f>AE544=AF544</f>
        <v>0</v>
      </c>
      <c r="AH544" s="1">
        <v>14</v>
      </c>
      <c r="AI544" s="1">
        <v>7.37</v>
      </c>
      <c r="AJ544" s="16">
        <f>AI544*220/30*30.4375</f>
        <v>1645.0454166666666</v>
      </c>
      <c r="AK544" s="18">
        <v>1645.05</v>
      </c>
      <c r="AL544" s="71" t="s">
        <v>659</v>
      </c>
      <c r="AM544" s="19" t="b">
        <f>AL544=O544</f>
        <v>1</v>
      </c>
      <c r="AN544" s="7">
        <f>VLOOKUP(A544,'base ZITRHR129'!$G$1:$H$628,2,0)</f>
        <v>30041220</v>
      </c>
      <c r="AO544" s="7" t="b">
        <f>AN544=R544</f>
        <v>1</v>
      </c>
      <c r="AP544" s="7">
        <f>VLOOKUP(A544,'base ZITRHR129'!G88:W714,17,0)</f>
        <v>1645.05</v>
      </c>
      <c r="AQ544" s="7" t="b">
        <f>AP544=AK544</f>
        <v>1</v>
      </c>
      <c r="AR544" s="78"/>
    </row>
    <row r="545" spans="1:44" s="7" customFormat="1" x14ac:dyDescent="0.25">
      <c r="A545" s="7">
        <v>10078209</v>
      </c>
      <c r="B545" s="8" t="s">
        <v>567</v>
      </c>
      <c r="C545" s="8" t="s">
        <v>701</v>
      </c>
      <c r="D545" s="8" t="s">
        <v>717</v>
      </c>
      <c r="E545" s="8" t="s">
        <v>742</v>
      </c>
      <c r="F545" s="8" t="s">
        <v>1406</v>
      </c>
      <c r="G545" s="8" t="s">
        <v>769</v>
      </c>
      <c r="H545" s="9">
        <v>15</v>
      </c>
      <c r="I545" s="8" t="s">
        <v>668</v>
      </c>
      <c r="J545" s="8" t="s">
        <v>1316</v>
      </c>
      <c r="K545" s="8" t="s">
        <v>16</v>
      </c>
      <c r="L545" s="8" t="s">
        <v>17</v>
      </c>
      <c r="M545" s="10" t="s">
        <v>701</v>
      </c>
      <c r="N545" s="10" t="s">
        <v>717</v>
      </c>
      <c r="O545" s="10" t="s">
        <v>668</v>
      </c>
      <c r="P545" s="1"/>
      <c r="Q545" s="11" t="b">
        <f>O545=P545</f>
        <v>0</v>
      </c>
      <c r="R545" s="30">
        <v>30041221</v>
      </c>
      <c r="S545" s="1"/>
      <c r="T545" s="11" t="b">
        <f>R545=S545</f>
        <v>0</v>
      </c>
      <c r="U545" s="10" t="s">
        <v>16</v>
      </c>
      <c r="V545" s="1"/>
      <c r="W545" s="11" t="b">
        <f>U545=V545</f>
        <v>0</v>
      </c>
      <c r="X545" s="13" t="s">
        <v>15</v>
      </c>
      <c r="Y545" s="1"/>
      <c r="Z545" s="1"/>
      <c r="AA545" s="60">
        <v>22001389</v>
      </c>
      <c r="AB545" s="10" t="s">
        <v>1409</v>
      </c>
      <c r="AD545" s="11" t="b">
        <f>AB545=AC545</f>
        <v>0</v>
      </c>
      <c r="AE545" s="10" t="s">
        <v>769</v>
      </c>
      <c r="AF545" s="1"/>
      <c r="AG545" s="11" t="b">
        <f>AE545=AF545</f>
        <v>0</v>
      </c>
      <c r="AH545" s="1">
        <v>15</v>
      </c>
      <c r="AI545" s="1">
        <v>8.59</v>
      </c>
      <c r="AJ545" s="16">
        <f>AI545*220/30*30.4375</f>
        <v>1917.3595833333334</v>
      </c>
      <c r="AK545" s="18">
        <v>1917.36</v>
      </c>
      <c r="AL545" s="71" t="s">
        <v>668</v>
      </c>
      <c r="AM545" s="19" t="b">
        <f>AL545=O545</f>
        <v>1</v>
      </c>
      <c r="AN545" s="7">
        <f>VLOOKUP(A545,'base ZITRHR129'!$G$1:$H$628,2,0)</f>
        <v>30041221</v>
      </c>
      <c r="AO545" s="7" t="b">
        <f>AN545=R545</f>
        <v>1</v>
      </c>
      <c r="AP545" s="7">
        <f>VLOOKUP(A545,'base ZITRHR129'!G87:W713,17,0)</f>
        <v>1917.36</v>
      </c>
      <c r="AQ545" s="7" t="b">
        <f>AP545=AK545</f>
        <v>1</v>
      </c>
      <c r="AR545" s="78"/>
    </row>
    <row r="546" spans="1:44" s="7" customFormat="1" x14ac:dyDescent="0.25">
      <c r="A546" s="7">
        <v>10078411</v>
      </c>
      <c r="B546" s="8" t="s">
        <v>568</v>
      </c>
      <c r="C546" s="8" t="s">
        <v>687</v>
      </c>
      <c r="D546" s="8" t="s">
        <v>717</v>
      </c>
      <c r="E546" s="8" t="s">
        <v>737</v>
      </c>
      <c r="F546" s="8" t="s">
        <v>1406</v>
      </c>
      <c r="G546" s="8" t="s">
        <v>765</v>
      </c>
      <c r="H546" s="9">
        <v>14</v>
      </c>
      <c r="I546" s="8" t="s">
        <v>660</v>
      </c>
      <c r="J546" s="8" t="s">
        <v>1317</v>
      </c>
      <c r="K546" s="8" t="s">
        <v>16</v>
      </c>
      <c r="L546" s="8" t="s">
        <v>17</v>
      </c>
      <c r="M546" s="10" t="s">
        <v>687</v>
      </c>
      <c r="N546" s="10" t="s">
        <v>717</v>
      </c>
      <c r="O546" s="10" t="s">
        <v>660</v>
      </c>
      <c r="P546" s="1"/>
      <c r="Q546" s="11" t="b">
        <f>O546=P546</f>
        <v>0</v>
      </c>
      <c r="R546" s="30">
        <v>30041222</v>
      </c>
      <c r="S546" s="1"/>
      <c r="T546" s="11" t="b">
        <f>R546=S546</f>
        <v>0</v>
      </c>
      <c r="U546" s="10" t="s">
        <v>16</v>
      </c>
      <c r="V546" s="1"/>
      <c r="W546" s="11" t="b">
        <f>U546=V546</f>
        <v>0</v>
      </c>
      <c r="X546" s="13" t="s">
        <v>15</v>
      </c>
      <c r="Y546" s="1"/>
      <c r="Z546" s="1"/>
      <c r="AA546" s="10">
        <v>22002830</v>
      </c>
      <c r="AB546" s="10" t="s">
        <v>1409</v>
      </c>
      <c r="AD546" s="11" t="b">
        <f>AB546=AC546</f>
        <v>0</v>
      </c>
      <c r="AE546" s="10" t="s">
        <v>765</v>
      </c>
      <c r="AF546" s="1"/>
      <c r="AG546" s="11" t="b">
        <f>AE546=AF546</f>
        <v>0</v>
      </c>
      <c r="AH546" s="1">
        <v>14</v>
      </c>
      <c r="AI546" s="1">
        <v>8.59</v>
      </c>
      <c r="AJ546" s="16">
        <f>AI546*220/30*30.4375</f>
        <v>1917.3595833333334</v>
      </c>
      <c r="AK546" s="18">
        <v>1917.36</v>
      </c>
      <c r="AL546" s="71" t="s">
        <v>660</v>
      </c>
      <c r="AM546" s="19" t="b">
        <f>AL546=O546</f>
        <v>1</v>
      </c>
      <c r="AN546" s="7">
        <f>VLOOKUP(A546,'base ZITRHR129'!$G$1:$H$628,2,0)</f>
        <v>30041222</v>
      </c>
      <c r="AO546" s="7" t="b">
        <f>AN546=R546</f>
        <v>1</v>
      </c>
      <c r="AP546" s="7">
        <f>VLOOKUP(A546,'base ZITRHR129'!G86:W712,17,0)</f>
        <v>1917.36</v>
      </c>
      <c r="AQ546" s="7" t="b">
        <f>AP546=AK546</f>
        <v>1</v>
      </c>
      <c r="AR546" s="78"/>
    </row>
    <row r="547" spans="1:44" s="7" customFormat="1" x14ac:dyDescent="0.25">
      <c r="A547" s="7">
        <v>10078419</v>
      </c>
      <c r="B547" s="8" t="s">
        <v>569</v>
      </c>
      <c r="C547" s="8" t="s">
        <v>711</v>
      </c>
      <c r="D547" s="8" t="s">
        <v>717</v>
      </c>
      <c r="E547" s="8" t="s">
        <v>737</v>
      </c>
      <c r="F547" s="8" t="s">
        <v>1406</v>
      </c>
      <c r="G547" s="8" t="s">
        <v>765</v>
      </c>
      <c r="H547" s="9">
        <v>14</v>
      </c>
      <c r="I547" s="8" t="s">
        <v>675</v>
      </c>
      <c r="J547" s="8" t="s">
        <v>1318</v>
      </c>
      <c r="K547" s="8" t="s">
        <v>16</v>
      </c>
      <c r="L547" s="8" t="s">
        <v>17</v>
      </c>
      <c r="M547" s="10" t="s">
        <v>711</v>
      </c>
      <c r="N547" s="10" t="s">
        <v>717</v>
      </c>
      <c r="O547" s="10" t="s">
        <v>675</v>
      </c>
      <c r="P547" s="1"/>
      <c r="Q547" s="11" t="b">
        <f>O547=P547</f>
        <v>0</v>
      </c>
      <c r="R547" s="30">
        <v>30041223</v>
      </c>
      <c r="S547" s="1"/>
      <c r="T547" s="11" t="b">
        <f>R547=S547</f>
        <v>0</v>
      </c>
      <c r="U547" s="10" t="s">
        <v>16</v>
      </c>
      <c r="V547" s="1"/>
      <c r="W547" s="11" t="b">
        <f>U547=V547</f>
        <v>0</v>
      </c>
      <c r="X547" s="13" t="s">
        <v>15</v>
      </c>
      <c r="Y547" s="1"/>
      <c r="Z547" s="1"/>
      <c r="AA547" s="63">
        <v>22002830</v>
      </c>
      <c r="AB547" s="10" t="s">
        <v>1409</v>
      </c>
      <c r="AD547" s="11" t="b">
        <f>AB547=AC547</f>
        <v>0</v>
      </c>
      <c r="AE547" s="10" t="s">
        <v>765</v>
      </c>
      <c r="AF547" s="1"/>
      <c r="AG547" s="11" t="b">
        <f>AE547=AF547</f>
        <v>0</v>
      </c>
      <c r="AH547" s="1">
        <v>14</v>
      </c>
      <c r="AI547" s="1">
        <v>8.59</v>
      </c>
      <c r="AJ547" s="16">
        <f>AI547*220/30*30.4375</f>
        <v>1917.3595833333334</v>
      </c>
      <c r="AK547" s="18">
        <v>1917.36</v>
      </c>
      <c r="AL547" s="71" t="s">
        <v>675</v>
      </c>
      <c r="AM547" s="19" t="b">
        <f>AL547=O547</f>
        <v>1</v>
      </c>
      <c r="AN547" s="7">
        <f>VLOOKUP(A547,'base ZITRHR129'!$G$1:$H$628,2,0)</f>
        <v>30041223</v>
      </c>
      <c r="AO547" s="7" t="b">
        <f>AN547=R547</f>
        <v>1</v>
      </c>
      <c r="AP547" s="7">
        <f>VLOOKUP(A547,'base ZITRHR129'!G85:W711,17,0)</f>
        <v>1917.36</v>
      </c>
      <c r="AQ547" s="7" t="b">
        <f>AP547=AK547</f>
        <v>1</v>
      </c>
      <c r="AR547" s="78"/>
    </row>
    <row r="548" spans="1:44" s="7" customFormat="1" x14ac:dyDescent="0.25">
      <c r="A548" s="7">
        <v>10078420</v>
      </c>
      <c r="B548" s="8" t="s">
        <v>570</v>
      </c>
      <c r="C548" s="8" t="s">
        <v>714</v>
      </c>
      <c r="D548" s="8" t="s">
        <v>717</v>
      </c>
      <c r="E548" s="8" t="s">
        <v>737</v>
      </c>
      <c r="F548" s="8" t="s">
        <v>1406</v>
      </c>
      <c r="G548" s="8" t="s">
        <v>765</v>
      </c>
      <c r="H548" s="9">
        <v>14</v>
      </c>
      <c r="I548" s="8" t="s">
        <v>677</v>
      </c>
      <c r="J548" s="8" t="s">
        <v>1319</v>
      </c>
      <c r="K548" s="8" t="s">
        <v>16</v>
      </c>
      <c r="L548" s="8" t="s">
        <v>17</v>
      </c>
      <c r="M548" s="10" t="s">
        <v>714</v>
      </c>
      <c r="N548" s="10" t="s">
        <v>717</v>
      </c>
      <c r="O548" s="10" t="s">
        <v>677</v>
      </c>
      <c r="P548" s="1"/>
      <c r="Q548" s="11" t="b">
        <f>O548=P548</f>
        <v>0</v>
      </c>
      <c r="R548" s="30">
        <v>30041224</v>
      </c>
      <c r="S548" s="1"/>
      <c r="T548" s="11" t="b">
        <f>R548=S548</f>
        <v>0</v>
      </c>
      <c r="U548" s="10" t="s">
        <v>16</v>
      </c>
      <c r="V548" s="1"/>
      <c r="W548" s="11" t="b">
        <f>U548=V548</f>
        <v>0</v>
      </c>
      <c r="X548" s="13" t="s">
        <v>15</v>
      </c>
      <c r="Y548" s="1"/>
      <c r="Z548" s="1"/>
      <c r="AA548" s="63">
        <v>22002830</v>
      </c>
      <c r="AB548" s="10" t="s">
        <v>1409</v>
      </c>
      <c r="AD548" s="11" t="b">
        <f>AB548=AC548</f>
        <v>0</v>
      </c>
      <c r="AE548" s="10" t="s">
        <v>765</v>
      </c>
      <c r="AF548" s="1"/>
      <c r="AG548" s="11" t="b">
        <f>AE548=AF548</f>
        <v>0</v>
      </c>
      <c r="AH548" s="1">
        <v>14</v>
      </c>
      <c r="AI548" s="1">
        <v>8.59</v>
      </c>
      <c r="AJ548" s="16">
        <f>AI548*220/30*30.4375</f>
        <v>1917.3595833333334</v>
      </c>
      <c r="AK548" s="18">
        <v>1917.36</v>
      </c>
      <c r="AL548" s="71" t="s">
        <v>677</v>
      </c>
      <c r="AM548" s="19" t="b">
        <f>AL548=O548</f>
        <v>1</v>
      </c>
      <c r="AN548" s="7">
        <f>VLOOKUP(A548,'base ZITRHR129'!$G$1:$H$628,2,0)</f>
        <v>30041224</v>
      </c>
      <c r="AO548" s="7" t="b">
        <f>AN548=R548</f>
        <v>1</v>
      </c>
      <c r="AP548" s="7">
        <f>VLOOKUP(A548,'base ZITRHR129'!G84:W710,17,0)</f>
        <v>1917.36</v>
      </c>
      <c r="AQ548" s="7" t="b">
        <f>AP548=AK548</f>
        <v>1</v>
      </c>
      <c r="AR548" s="78"/>
    </row>
    <row r="549" spans="1:44" s="7" customFormat="1" x14ac:dyDescent="0.25">
      <c r="A549" s="7">
        <v>10078544</v>
      </c>
      <c r="B549" s="8" t="s">
        <v>571</v>
      </c>
      <c r="C549" s="8" t="s">
        <v>714</v>
      </c>
      <c r="D549" s="8" t="s">
        <v>717</v>
      </c>
      <c r="E549" s="8" t="s">
        <v>737</v>
      </c>
      <c r="F549" s="8" t="s">
        <v>1406</v>
      </c>
      <c r="G549" s="8" t="s">
        <v>765</v>
      </c>
      <c r="H549" s="9">
        <v>14</v>
      </c>
      <c r="I549" s="8" t="s">
        <v>677</v>
      </c>
      <c r="J549" s="8" t="s">
        <v>1320</v>
      </c>
      <c r="K549" s="8" t="s">
        <v>16</v>
      </c>
      <c r="L549" s="8" t="s">
        <v>17</v>
      </c>
      <c r="M549" s="10" t="s">
        <v>714</v>
      </c>
      <c r="N549" s="10" t="s">
        <v>717</v>
      </c>
      <c r="O549" s="10" t="s">
        <v>677</v>
      </c>
      <c r="P549" s="1"/>
      <c r="Q549" s="11" t="b">
        <f>O549=P549</f>
        <v>0</v>
      </c>
      <c r="R549" s="30">
        <v>30041225</v>
      </c>
      <c r="S549" s="1"/>
      <c r="T549" s="11" t="b">
        <f>R549=S549</f>
        <v>0</v>
      </c>
      <c r="U549" s="10" t="s">
        <v>16</v>
      </c>
      <c r="V549" s="1"/>
      <c r="W549" s="11" t="b">
        <f>U549=V549</f>
        <v>0</v>
      </c>
      <c r="X549" s="13" t="s">
        <v>15</v>
      </c>
      <c r="Y549" s="1"/>
      <c r="Z549" s="1"/>
      <c r="AA549" s="10">
        <v>22002830</v>
      </c>
      <c r="AB549" s="10" t="s">
        <v>1409</v>
      </c>
      <c r="AD549" s="11" t="b">
        <f>AB549=AC549</f>
        <v>0</v>
      </c>
      <c r="AE549" s="10" t="s">
        <v>765</v>
      </c>
      <c r="AF549" s="1"/>
      <c r="AG549" s="11" t="b">
        <f>AE549=AF549</f>
        <v>0</v>
      </c>
      <c r="AH549" s="1">
        <v>14</v>
      </c>
      <c r="AI549" s="1">
        <v>8.59</v>
      </c>
      <c r="AJ549" s="16">
        <f>AI549*220/30*30.4375</f>
        <v>1917.3595833333334</v>
      </c>
      <c r="AK549" s="18">
        <v>1917.36</v>
      </c>
      <c r="AL549" s="71" t="s">
        <v>677</v>
      </c>
      <c r="AM549" s="19" t="b">
        <f>AL549=O549</f>
        <v>1</v>
      </c>
      <c r="AN549" s="7">
        <f>VLOOKUP(A549,'base ZITRHR129'!$G$1:$H$628,2,0)</f>
        <v>30041225</v>
      </c>
      <c r="AO549" s="7" t="b">
        <f>AN549=R549</f>
        <v>1</v>
      </c>
      <c r="AP549" s="7">
        <f>VLOOKUP(A549,'base ZITRHR129'!G83:W709,17,0)</f>
        <v>1917.36</v>
      </c>
      <c r="AQ549" s="7" t="b">
        <f>AP549=AK549</f>
        <v>1</v>
      </c>
      <c r="AR549" s="78"/>
    </row>
    <row r="550" spans="1:44" s="7" customFormat="1" x14ac:dyDescent="0.25">
      <c r="A550" s="7">
        <v>10078593</v>
      </c>
      <c r="B550" s="8" t="s">
        <v>572</v>
      </c>
      <c r="C550" s="8" t="s">
        <v>685</v>
      </c>
      <c r="D550" s="8" t="s">
        <v>717</v>
      </c>
      <c r="E550" s="8" t="s">
        <v>742</v>
      </c>
      <c r="F550" s="8" t="s">
        <v>1406</v>
      </c>
      <c r="G550" s="8" t="s">
        <v>769</v>
      </c>
      <c r="H550" s="9">
        <v>15</v>
      </c>
      <c r="I550" s="8" t="s">
        <v>655</v>
      </c>
      <c r="J550" s="8" t="s">
        <v>1321</v>
      </c>
      <c r="K550" s="8" t="s">
        <v>16</v>
      </c>
      <c r="L550" s="8" t="s">
        <v>17</v>
      </c>
      <c r="M550" s="10" t="s">
        <v>685</v>
      </c>
      <c r="N550" s="10" t="s">
        <v>717</v>
      </c>
      <c r="O550" s="10" t="s">
        <v>655</v>
      </c>
      <c r="P550" s="1"/>
      <c r="Q550" s="11" t="b">
        <f>O550=P550</f>
        <v>0</v>
      </c>
      <c r="R550" s="30">
        <v>30041226</v>
      </c>
      <c r="S550" s="1"/>
      <c r="T550" s="11" t="b">
        <f>R550=S550</f>
        <v>0</v>
      </c>
      <c r="U550" s="10" t="s">
        <v>16</v>
      </c>
      <c r="V550" s="1"/>
      <c r="W550" s="11" t="b">
        <f>U550=V550</f>
        <v>0</v>
      </c>
      <c r="X550" s="13" t="s">
        <v>15</v>
      </c>
      <c r="Y550" s="1"/>
      <c r="Z550" s="1"/>
      <c r="AA550" s="60">
        <v>22001389</v>
      </c>
      <c r="AB550" s="10" t="s">
        <v>1409</v>
      </c>
      <c r="AD550" s="11" t="b">
        <f>AB550=AC550</f>
        <v>0</v>
      </c>
      <c r="AE550" s="10" t="s">
        <v>769</v>
      </c>
      <c r="AF550" s="1"/>
      <c r="AG550" s="11" t="b">
        <f>AE550=AF550</f>
        <v>0</v>
      </c>
      <c r="AH550" s="1">
        <v>15</v>
      </c>
      <c r="AI550" s="1">
        <v>8.59</v>
      </c>
      <c r="AJ550" s="16">
        <f>AI550*220/30*30.4375</f>
        <v>1917.3595833333334</v>
      </c>
      <c r="AK550" s="18">
        <v>1917.36</v>
      </c>
      <c r="AL550" s="71" t="s">
        <v>655</v>
      </c>
      <c r="AM550" s="19" t="b">
        <f>AL550=O550</f>
        <v>1</v>
      </c>
      <c r="AN550" s="7">
        <f>VLOOKUP(A550,'base ZITRHR129'!$G$1:$H$628,2,0)</f>
        <v>30041226</v>
      </c>
      <c r="AO550" s="7" t="b">
        <f>AN550=R550</f>
        <v>1</v>
      </c>
      <c r="AP550" s="7">
        <f>VLOOKUP(A550,'base ZITRHR129'!G82:W708,17,0)</f>
        <v>1917.36</v>
      </c>
      <c r="AQ550" s="7" t="b">
        <f>AP550=AK550</f>
        <v>1</v>
      </c>
      <c r="AR550" s="78"/>
    </row>
    <row r="551" spans="1:44" s="7" customFormat="1" x14ac:dyDescent="0.25">
      <c r="A551" s="7">
        <v>10078704</v>
      </c>
      <c r="B551" s="8" t="s">
        <v>573</v>
      </c>
      <c r="C551" s="8" t="s">
        <v>714</v>
      </c>
      <c r="D551" s="8" t="s">
        <v>717</v>
      </c>
      <c r="E551" s="8" t="s">
        <v>737</v>
      </c>
      <c r="F551" s="8" t="s">
        <v>1406</v>
      </c>
      <c r="G551" s="8" t="s">
        <v>765</v>
      </c>
      <c r="H551" s="9">
        <v>14</v>
      </c>
      <c r="I551" s="8" t="s">
        <v>677</v>
      </c>
      <c r="J551" s="8" t="s">
        <v>1322</v>
      </c>
      <c r="K551" s="8" t="s">
        <v>16</v>
      </c>
      <c r="L551" s="8" t="s">
        <v>17</v>
      </c>
      <c r="M551" s="10" t="s">
        <v>714</v>
      </c>
      <c r="N551" s="10" t="s">
        <v>717</v>
      </c>
      <c r="O551" s="10" t="s">
        <v>677</v>
      </c>
      <c r="P551" s="1"/>
      <c r="Q551" s="11" t="b">
        <f>O551=P551</f>
        <v>0</v>
      </c>
      <c r="R551" s="30">
        <v>30041227</v>
      </c>
      <c r="S551" s="1"/>
      <c r="T551" s="11" t="b">
        <f>R551=S551</f>
        <v>0</v>
      </c>
      <c r="U551" s="10" t="s">
        <v>16</v>
      </c>
      <c r="V551" s="1"/>
      <c r="W551" s="11" t="b">
        <f>U551=V551</f>
        <v>0</v>
      </c>
      <c r="X551" s="13" t="s">
        <v>15</v>
      </c>
      <c r="Y551" s="1"/>
      <c r="Z551" s="1"/>
      <c r="AA551" s="10">
        <v>22002830</v>
      </c>
      <c r="AB551" s="10" t="s">
        <v>1409</v>
      </c>
      <c r="AD551" s="11" t="b">
        <f>AB551=AC551</f>
        <v>0</v>
      </c>
      <c r="AE551" s="10" t="s">
        <v>765</v>
      </c>
      <c r="AF551" s="1"/>
      <c r="AG551" s="11" t="b">
        <f>AE551=AF551</f>
        <v>0</v>
      </c>
      <c r="AH551" s="1">
        <v>14</v>
      </c>
      <c r="AI551" s="1">
        <v>8.59</v>
      </c>
      <c r="AJ551" s="16">
        <f>AI551*220/30*30.4375</f>
        <v>1917.3595833333334</v>
      </c>
      <c r="AK551" s="18">
        <v>1917.36</v>
      </c>
      <c r="AL551" s="71" t="s">
        <v>677</v>
      </c>
      <c r="AM551" s="19" t="b">
        <f>AL551=O551</f>
        <v>1</v>
      </c>
      <c r="AN551" s="7">
        <f>VLOOKUP(A551,'base ZITRHR129'!$G$1:$H$628,2,0)</f>
        <v>30041227</v>
      </c>
      <c r="AO551" s="7" t="b">
        <f>AN551=R551</f>
        <v>1</v>
      </c>
      <c r="AP551" s="7">
        <f>VLOOKUP(A551,'base ZITRHR129'!G81:W707,17,0)</f>
        <v>1917.36</v>
      </c>
      <c r="AQ551" s="7" t="b">
        <f>AP551=AK551</f>
        <v>1</v>
      </c>
      <c r="AR551" s="78"/>
    </row>
    <row r="552" spans="1:44" s="7" customFormat="1" x14ac:dyDescent="0.25">
      <c r="A552" s="7">
        <v>10078735</v>
      </c>
      <c r="B552" s="8" t="s">
        <v>574</v>
      </c>
      <c r="C552" s="8" t="s">
        <v>686</v>
      </c>
      <c r="D552" s="8" t="s">
        <v>717</v>
      </c>
      <c r="E552" s="8" t="s">
        <v>739</v>
      </c>
      <c r="F552" s="8" t="s">
        <v>1406</v>
      </c>
      <c r="G552" s="8" t="s">
        <v>766</v>
      </c>
      <c r="H552" s="9">
        <v>14</v>
      </c>
      <c r="I552" s="8" t="s">
        <v>659</v>
      </c>
      <c r="J552" s="8" t="s">
        <v>1323</v>
      </c>
      <c r="K552" s="8" t="s">
        <v>6</v>
      </c>
      <c r="L552" s="8" t="s">
        <v>17</v>
      </c>
      <c r="M552" s="10" t="s">
        <v>686</v>
      </c>
      <c r="N552" s="10" t="s">
        <v>717</v>
      </c>
      <c r="O552" s="10" t="s">
        <v>659</v>
      </c>
      <c r="P552" s="1"/>
      <c r="Q552" s="11" t="b">
        <f>O552=P552</f>
        <v>0</v>
      </c>
      <c r="R552" s="30">
        <v>30041228</v>
      </c>
      <c r="S552" s="1"/>
      <c r="T552" s="11" t="b">
        <f>R552=S552</f>
        <v>0</v>
      </c>
      <c r="U552" s="10" t="s">
        <v>6</v>
      </c>
      <c r="V552" s="1"/>
      <c r="W552" s="11" t="b">
        <f>U552=V552</f>
        <v>0</v>
      </c>
      <c r="X552" s="13" t="s">
        <v>15</v>
      </c>
      <c r="Y552" s="1"/>
      <c r="Z552" s="1"/>
      <c r="AA552" s="63">
        <v>22001415</v>
      </c>
      <c r="AB552" s="10" t="s">
        <v>1409</v>
      </c>
      <c r="AD552" s="11" t="b">
        <f>AB552=AC552</f>
        <v>0</v>
      </c>
      <c r="AE552" s="10" t="s">
        <v>766</v>
      </c>
      <c r="AF552" s="1"/>
      <c r="AG552" s="11" t="b">
        <f>AE552=AF552</f>
        <v>0</v>
      </c>
      <c r="AH552" s="1">
        <v>14</v>
      </c>
      <c r="AI552" s="1">
        <v>7.37</v>
      </c>
      <c r="AJ552" s="16">
        <f>AI552*220/30*30.4375</f>
        <v>1645.0454166666666</v>
      </c>
      <c r="AK552" s="18">
        <v>1645.05</v>
      </c>
      <c r="AL552" s="71" t="s">
        <v>659</v>
      </c>
      <c r="AM552" s="19" t="b">
        <f>AL552=O552</f>
        <v>1</v>
      </c>
      <c r="AN552" s="7">
        <f>VLOOKUP(A552,'base ZITRHR129'!$G$1:$H$628,2,0)</f>
        <v>30041228</v>
      </c>
      <c r="AO552" s="7" t="b">
        <f>AN552=R552</f>
        <v>1</v>
      </c>
      <c r="AP552" s="7">
        <f>VLOOKUP(A552,'base ZITRHR129'!G80:W706,17,0)</f>
        <v>1645.05</v>
      </c>
      <c r="AQ552" s="7" t="b">
        <f>AP552=AK552</f>
        <v>1</v>
      </c>
      <c r="AR552" s="78"/>
    </row>
    <row r="553" spans="1:44" s="7" customFormat="1" x14ac:dyDescent="0.25">
      <c r="A553" s="7">
        <v>10078830</v>
      </c>
      <c r="B553" s="8" t="s">
        <v>575</v>
      </c>
      <c r="C553" s="8" t="s">
        <v>703</v>
      </c>
      <c r="D553" s="8" t="s">
        <v>717</v>
      </c>
      <c r="E553" s="8" t="s">
        <v>742</v>
      </c>
      <c r="F553" s="8" t="s">
        <v>1406</v>
      </c>
      <c r="G553" s="8" t="s">
        <v>769</v>
      </c>
      <c r="H553" s="9">
        <v>15</v>
      </c>
      <c r="I553" s="8" t="s">
        <v>668</v>
      </c>
      <c r="J553" s="8" t="s">
        <v>1324</v>
      </c>
      <c r="K553" s="8" t="s">
        <v>16</v>
      </c>
      <c r="L553" s="8" t="s">
        <v>17</v>
      </c>
      <c r="M553" s="10" t="s">
        <v>703</v>
      </c>
      <c r="N553" s="10" t="s">
        <v>717</v>
      </c>
      <c r="O553" s="10" t="s">
        <v>668</v>
      </c>
      <c r="P553" s="1"/>
      <c r="Q553" s="11" t="b">
        <f>O553=P553</f>
        <v>0</v>
      </c>
      <c r="R553" s="30">
        <v>30041229</v>
      </c>
      <c r="S553" s="1"/>
      <c r="T553" s="11" t="b">
        <f>R553=S553</f>
        <v>0</v>
      </c>
      <c r="U553" s="10" t="s">
        <v>16</v>
      </c>
      <c r="V553" s="1"/>
      <c r="W553" s="11" t="b">
        <f>U553=V553</f>
        <v>0</v>
      </c>
      <c r="X553" s="13" t="s">
        <v>15</v>
      </c>
      <c r="Y553" s="1"/>
      <c r="Z553" s="1"/>
      <c r="AA553" s="60">
        <v>22001389</v>
      </c>
      <c r="AB553" s="10" t="s">
        <v>1409</v>
      </c>
      <c r="AD553" s="11" t="b">
        <f>AB553=AC553</f>
        <v>0</v>
      </c>
      <c r="AE553" s="10" t="s">
        <v>769</v>
      </c>
      <c r="AF553" s="1"/>
      <c r="AG553" s="11" t="b">
        <f>AE553=AF553</f>
        <v>0</v>
      </c>
      <c r="AH553" s="1">
        <v>15</v>
      </c>
      <c r="AI553" s="1">
        <v>8.59</v>
      </c>
      <c r="AJ553" s="16">
        <f>AI553*220/30*30.4375</f>
        <v>1917.3595833333334</v>
      </c>
      <c r="AK553" s="18">
        <v>1917.36</v>
      </c>
      <c r="AL553" s="71" t="s">
        <v>668</v>
      </c>
      <c r="AM553" s="19" t="b">
        <f>AL553=O553</f>
        <v>1</v>
      </c>
      <c r="AN553" s="7">
        <f>VLOOKUP(A553,'base ZITRHR129'!$G$1:$H$628,2,0)</f>
        <v>30041229</v>
      </c>
      <c r="AO553" s="7" t="b">
        <f>AN553=R553</f>
        <v>1</v>
      </c>
      <c r="AP553" s="7">
        <f>VLOOKUP(A553,'base ZITRHR129'!G79:W705,17,0)</f>
        <v>1917.36</v>
      </c>
      <c r="AQ553" s="7" t="b">
        <f>AP553=AK553</f>
        <v>1</v>
      </c>
      <c r="AR553" s="78"/>
    </row>
    <row r="554" spans="1:44" s="7" customFormat="1" ht="12" x14ac:dyDescent="0.2">
      <c r="A554" s="7">
        <v>10078833</v>
      </c>
      <c r="B554" s="8" t="s">
        <v>576</v>
      </c>
      <c r="C554" s="8" t="s">
        <v>702</v>
      </c>
      <c r="D554" s="8" t="s">
        <v>717</v>
      </c>
      <c r="E554" s="8" t="s">
        <v>742</v>
      </c>
      <c r="F554" s="8" t="s">
        <v>1406</v>
      </c>
      <c r="G554" s="8" t="s">
        <v>769</v>
      </c>
      <c r="H554" s="9">
        <v>15</v>
      </c>
      <c r="I554" s="8" t="s">
        <v>668</v>
      </c>
      <c r="J554" s="8" t="s">
        <v>1325</v>
      </c>
      <c r="K554" s="8" t="s">
        <v>16</v>
      </c>
      <c r="L554" s="8" t="s">
        <v>17</v>
      </c>
      <c r="M554" s="10" t="s">
        <v>702</v>
      </c>
      <c r="N554" s="10" t="s">
        <v>717</v>
      </c>
      <c r="O554" s="10" t="s">
        <v>668</v>
      </c>
      <c r="P554" s="1"/>
      <c r="Q554" s="11" t="b">
        <f>O554=P554</f>
        <v>0</v>
      </c>
      <c r="R554" s="30">
        <v>30041230</v>
      </c>
      <c r="S554" s="1"/>
      <c r="T554" s="11" t="b">
        <f>R554=S554</f>
        <v>0</v>
      </c>
      <c r="U554" s="10" t="s">
        <v>16</v>
      </c>
      <c r="V554" s="1"/>
      <c r="W554" s="11" t="b">
        <f>U554=V554</f>
        <v>0</v>
      </c>
      <c r="X554" s="13" t="s">
        <v>15</v>
      </c>
      <c r="Y554" s="1"/>
      <c r="Z554" s="1"/>
      <c r="AA554" s="60">
        <v>22001389</v>
      </c>
      <c r="AB554" s="10" t="s">
        <v>1409</v>
      </c>
      <c r="AD554" s="11" t="b">
        <f>AB554=AC554</f>
        <v>0</v>
      </c>
      <c r="AE554" s="10" t="s">
        <v>769</v>
      </c>
      <c r="AF554" s="1"/>
      <c r="AG554" s="11" t="b">
        <f>AE554=AF554</f>
        <v>0</v>
      </c>
      <c r="AH554" s="1">
        <v>15</v>
      </c>
      <c r="AI554" s="1">
        <v>8.59</v>
      </c>
      <c r="AJ554" s="16">
        <f>AI554*220/30*30.4375</f>
        <v>1917.3595833333334</v>
      </c>
      <c r="AK554" s="18">
        <v>1917.36</v>
      </c>
      <c r="AL554" s="71" t="s">
        <v>668</v>
      </c>
      <c r="AM554" s="19" t="b">
        <f>AL554=O554</f>
        <v>1</v>
      </c>
      <c r="AN554" s="7">
        <f>VLOOKUP(A554,'base ZITRHR129'!$G$1:$H$628,2,0)</f>
        <v>30041230</v>
      </c>
      <c r="AO554" s="7" t="b">
        <f>AN554=R554</f>
        <v>1</v>
      </c>
      <c r="AP554" s="7">
        <f>VLOOKUP(A554,'base ZITRHR129'!G78:W704,17,0)</f>
        <v>1917.36</v>
      </c>
      <c r="AQ554" s="7" t="b">
        <f>AP554=AK554</f>
        <v>1</v>
      </c>
      <c r="AR554" s="69"/>
    </row>
    <row r="555" spans="1:44" s="7" customFormat="1" ht="12" x14ac:dyDescent="0.2">
      <c r="A555" s="7">
        <v>10078838</v>
      </c>
      <c r="B555" s="8" t="s">
        <v>577</v>
      </c>
      <c r="C555" s="8" t="s">
        <v>701</v>
      </c>
      <c r="D555" s="8" t="s">
        <v>717</v>
      </c>
      <c r="E555" s="8" t="s">
        <v>742</v>
      </c>
      <c r="F555" s="8" t="s">
        <v>1406</v>
      </c>
      <c r="G555" s="8" t="s">
        <v>769</v>
      </c>
      <c r="H555" s="9">
        <v>15</v>
      </c>
      <c r="I555" s="8" t="s">
        <v>668</v>
      </c>
      <c r="J555" s="8" t="s">
        <v>1326</v>
      </c>
      <c r="K555" s="8" t="s">
        <v>16</v>
      </c>
      <c r="L555" s="8" t="s">
        <v>17</v>
      </c>
      <c r="M555" s="10" t="s">
        <v>701</v>
      </c>
      <c r="N555" s="10" t="s">
        <v>717</v>
      </c>
      <c r="O555" s="10" t="s">
        <v>668</v>
      </c>
      <c r="P555" s="1"/>
      <c r="Q555" s="11" t="b">
        <f>O555=P555</f>
        <v>0</v>
      </c>
      <c r="R555" s="30">
        <v>30041231</v>
      </c>
      <c r="S555" s="1"/>
      <c r="T555" s="11" t="b">
        <f>R555=S555</f>
        <v>0</v>
      </c>
      <c r="U555" s="10" t="s">
        <v>16</v>
      </c>
      <c r="V555" s="1"/>
      <c r="W555" s="11" t="b">
        <f>U555=V555</f>
        <v>0</v>
      </c>
      <c r="X555" s="13" t="s">
        <v>15</v>
      </c>
      <c r="Y555" s="1"/>
      <c r="Z555" s="1"/>
      <c r="AA555" s="60">
        <v>22001389</v>
      </c>
      <c r="AB555" s="10" t="s">
        <v>1409</v>
      </c>
      <c r="AD555" s="11" t="b">
        <f>AB555=AC555</f>
        <v>0</v>
      </c>
      <c r="AE555" s="10" t="s">
        <v>769</v>
      </c>
      <c r="AF555" s="1"/>
      <c r="AG555" s="11" t="b">
        <f>AE555=AF555</f>
        <v>0</v>
      </c>
      <c r="AH555" s="1">
        <v>15</v>
      </c>
      <c r="AI555" s="1">
        <v>8.59</v>
      </c>
      <c r="AJ555" s="16">
        <f>AI555*220/30*30.4375</f>
        <v>1917.3595833333334</v>
      </c>
      <c r="AK555" s="18">
        <v>1917.36</v>
      </c>
      <c r="AL555" s="71" t="s">
        <v>668</v>
      </c>
      <c r="AM555" s="19" t="b">
        <f>AL555=O555</f>
        <v>1</v>
      </c>
      <c r="AN555" s="7">
        <f>VLOOKUP(A555,'base ZITRHR129'!$G$1:$H$628,2,0)</f>
        <v>30041231</v>
      </c>
      <c r="AO555" s="7" t="b">
        <f>AN555=R555</f>
        <v>1</v>
      </c>
      <c r="AP555" s="7">
        <f>VLOOKUP(A555,'base ZITRHR129'!G77:W703,17,0)</f>
        <v>1917.36</v>
      </c>
      <c r="AQ555" s="7" t="b">
        <f>AP555=AK555</f>
        <v>1</v>
      </c>
      <c r="AR555" s="69"/>
    </row>
    <row r="556" spans="1:44" s="7" customFormat="1" ht="12" x14ac:dyDescent="0.2">
      <c r="A556" s="7">
        <v>10078839</v>
      </c>
      <c r="B556" s="8" t="s">
        <v>578</v>
      </c>
      <c r="C556" s="8" t="s">
        <v>701</v>
      </c>
      <c r="D556" s="8" t="s">
        <v>717</v>
      </c>
      <c r="E556" s="8" t="s">
        <v>742</v>
      </c>
      <c r="F556" s="8" t="s">
        <v>1406</v>
      </c>
      <c r="G556" s="8" t="s">
        <v>769</v>
      </c>
      <c r="H556" s="9">
        <v>15</v>
      </c>
      <c r="I556" s="8" t="s">
        <v>668</v>
      </c>
      <c r="J556" s="8" t="s">
        <v>1327</v>
      </c>
      <c r="K556" s="8" t="s">
        <v>16</v>
      </c>
      <c r="L556" s="8" t="s">
        <v>17</v>
      </c>
      <c r="M556" s="10" t="s">
        <v>701</v>
      </c>
      <c r="N556" s="10" t="s">
        <v>717</v>
      </c>
      <c r="O556" s="10" t="s">
        <v>668</v>
      </c>
      <c r="P556" s="1"/>
      <c r="Q556" s="11" t="b">
        <f>O556=P556</f>
        <v>0</v>
      </c>
      <c r="R556" s="30">
        <v>30041232</v>
      </c>
      <c r="S556" s="1"/>
      <c r="T556" s="11" t="b">
        <f>R556=S556</f>
        <v>0</v>
      </c>
      <c r="U556" s="10" t="s">
        <v>16</v>
      </c>
      <c r="V556" s="1"/>
      <c r="W556" s="11" t="b">
        <f>U556=V556</f>
        <v>0</v>
      </c>
      <c r="X556" s="13" t="s">
        <v>15</v>
      </c>
      <c r="Y556" s="1"/>
      <c r="Z556" s="1"/>
      <c r="AA556" s="60">
        <v>22001389</v>
      </c>
      <c r="AB556" s="10" t="s">
        <v>1409</v>
      </c>
      <c r="AD556" s="11" t="b">
        <f>AB556=AC556</f>
        <v>0</v>
      </c>
      <c r="AE556" s="10" t="s">
        <v>769</v>
      </c>
      <c r="AF556" s="1"/>
      <c r="AG556" s="11" t="b">
        <f>AE556=AF556</f>
        <v>0</v>
      </c>
      <c r="AH556" s="1">
        <v>15</v>
      </c>
      <c r="AI556" s="1">
        <v>8.59</v>
      </c>
      <c r="AJ556" s="16">
        <f>AI556*220/30*30.4375</f>
        <v>1917.3595833333334</v>
      </c>
      <c r="AK556" s="18">
        <v>1917.36</v>
      </c>
      <c r="AL556" s="71" t="s">
        <v>668</v>
      </c>
      <c r="AM556" s="19" t="b">
        <f>AL556=O556</f>
        <v>1</v>
      </c>
      <c r="AN556" s="7">
        <f>VLOOKUP(A556,'base ZITRHR129'!$G$1:$H$628,2,0)</f>
        <v>30041232</v>
      </c>
      <c r="AO556" s="7" t="b">
        <f>AN556=R556</f>
        <v>1</v>
      </c>
      <c r="AP556" s="7">
        <f>VLOOKUP(A556,'base ZITRHR129'!G76:W702,17,0)</f>
        <v>1917.36</v>
      </c>
      <c r="AQ556" s="7" t="b">
        <f>AP556=AK556</f>
        <v>1</v>
      </c>
      <c r="AR556" s="69"/>
    </row>
    <row r="557" spans="1:44" s="7" customFormat="1" ht="12" x14ac:dyDescent="0.2">
      <c r="A557" s="7">
        <v>10078853</v>
      </c>
      <c r="B557" s="8" t="s">
        <v>579</v>
      </c>
      <c r="C557" s="8" t="s">
        <v>679</v>
      </c>
      <c r="D557" s="8" t="s">
        <v>717</v>
      </c>
      <c r="E557" s="8" t="s">
        <v>742</v>
      </c>
      <c r="F557" s="8" t="s">
        <v>1406</v>
      </c>
      <c r="G557" s="8" t="s">
        <v>769</v>
      </c>
      <c r="H557" s="9">
        <v>15</v>
      </c>
      <c r="I557" s="8" t="s">
        <v>653</v>
      </c>
      <c r="J557" s="8" t="s">
        <v>1328</v>
      </c>
      <c r="K557" s="8" t="s">
        <v>16</v>
      </c>
      <c r="L557" s="8" t="s">
        <v>17</v>
      </c>
      <c r="M557" s="10" t="s">
        <v>679</v>
      </c>
      <c r="N557" s="10" t="s">
        <v>717</v>
      </c>
      <c r="O557" s="10" t="s">
        <v>653</v>
      </c>
      <c r="P557" s="1"/>
      <c r="Q557" s="11" t="b">
        <f>O557=P557</f>
        <v>0</v>
      </c>
      <c r="R557" s="30">
        <v>30041233</v>
      </c>
      <c r="S557" s="1"/>
      <c r="T557" s="11" t="b">
        <f>R557=S557</f>
        <v>0</v>
      </c>
      <c r="U557" s="10" t="s">
        <v>16</v>
      </c>
      <c r="V557" s="1"/>
      <c r="W557" s="11" t="b">
        <f>U557=V557</f>
        <v>0</v>
      </c>
      <c r="X557" s="13" t="s">
        <v>15</v>
      </c>
      <c r="Y557" s="1"/>
      <c r="Z557" s="1"/>
      <c r="AA557" s="60">
        <v>22001389</v>
      </c>
      <c r="AB557" s="10" t="s">
        <v>1409</v>
      </c>
      <c r="AD557" s="11" t="b">
        <f>AB557=AC557</f>
        <v>0</v>
      </c>
      <c r="AE557" s="10" t="s">
        <v>769</v>
      </c>
      <c r="AF557" s="1"/>
      <c r="AG557" s="11" t="b">
        <f>AE557=AF557</f>
        <v>0</v>
      </c>
      <c r="AH557" s="1">
        <v>15</v>
      </c>
      <c r="AI557" s="1">
        <v>8.59</v>
      </c>
      <c r="AJ557" s="16">
        <f>AI557*220/30*30.4375</f>
        <v>1917.3595833333334</v>
      </c>
      <c r="AK557" s="18">
        <v>1917.36</v>
      </c>
      <c r="AL557" s="71" t="s">
        <v>653</v>
      </c>
      <c r="AM557" s="19" t="b">
        <f>AL557=O557</f>
        <v>1</v>
      </c>
      <c r="AN557" s="7">
        <f>VLOOKUP(A557,'base ZITRHR129'!$G$1:$H$628,2,0)</f>
        <v>30041233</v>
      </c>
      <c r="AO557" s="7" t="b">
        <f>AN557=R557</f>
        <v>1</v>
      </c>
      <c r="AP557" s="7">
        <f>VLOOKUP(A557,'base ZITRHR129'!G75:W701,17,0)</f>
        <v>1917.36</v>
      </c>
      <c r="AQ557" s="7" t="b">
        <f>AP557=AK557</f>
        <v>1</v>
      </c>
      <c r="AR557" s="69"/>
    </row>
    <row r="558" spans="1:44" s="7" customFormat="1" ht="12" x14ac:dyDescent="0.2">
      <c r="A558" s="7">
        <v>10078855</v>
      </c>
      <c r="B558" s="8" t="s">
        <v>580</v>
      </c>
      <c r="C558" s="8" t="s">
        <v>711</v>
      </c>
      <c r="D558" s="8" t="s">
        <v>717</v>
      </c>
      <c r="E558" s="8" t="s">
        <v>737</v>
      </c>
      <c r="F558" s="8" t="s">
        <v>1406</v>
      </c>
      <c r="G558" s="8" t="s">
        <v>765</v>
      </c>
      <c r="H558" s="9">
        <v>14</v>
      </c>
      <c r="I558" s="8" t="s">
        <v>675</v>
      </c>
      <c r="J558" s="8" t="s">
        <v>1329</v>
      </c>
      <c r="K558" s="8" t="s">
        <v>16</v>
      </c>
      <c r="L558" s="8" t="s">
        <v>17</v>
      </c>
      <c r="M558" s="10" t="s">
        <v>711</v>
      </c>
      <c r="N558" s="10" t="s">
        <v>717</v>
      </c>
      <c r="O558" s="10" t="s">
        <v>675</v>
      </c>
      <c r="P558" s="1"/>
      <c r="Q558" s="11" t="b">
        <f>O558=P558</f>
        <v>0</v>
      </c>
      <c r="R558" s="30">
        <v>30041234</v>
      </c>
      <c r="S558" s="1"/>
      <c r="T558" s="11" t="b">
        <f>R558=S558</f>
        <v>0</v>
      </c>
      <c r="U558" s="10" t="s">
        <v>16</v>
      </c>
      <c r="V558" s="1"/>
      <c r="W558" s="11" t="b">
        <f>U558=V558</f>
        <v>0</v>
      </c>
      <c r="X558" s="13" t="s">
        <v>15</v>
      </c>
      <c r="Y558" s="1"/>
      <c r="Z558" s="1"/>
      <c r="AA558" s="63">
        <v>22002830</v>
      </c>
      <c r="AB558" s="10" t="s">
        <v>1409</v>
      </c>
      <c r="AD558" s="11" t="b">
        <f>AB558=AC558</f>
        <v>0</v>
      </c>
      <c r="AE558" s="10" t="s">
        <v>765</v>
      </c>
      <c r="AF558" s="1"/>
      <c r="AG558" s="11" t="b">
        <f>AE558=AF558</f>
        <v>0</v>
      </c>
      <c r="AH558" s="1">
        <v>14</v>
      </c>
      <c r="AI558" s="1">
        <v>8.59</v>
      </c>
      <c r="AJ558" s="16">
        <f>AI558*220/30*30.4375</f>
        <v>1917.3595833333334</v>
      </c>
      <c r="AK558" s="18">
        <v>1917.36</v>
      </c>
      <c r="AL558" s="71" t="s">
        <v>675</v>
      </c>
      <c r="AM558" s="19" t="b">
        <f>AL558=O558</f>
        <v>1</v>
      </c>
      <c r="AN558" s="7">
        <f>VLOOKUP(A558,'base ZITRHR129'!$G$1:$H$628,2,0)</f>
        <v>30041234</v>
      </c>
      <c r="AO558" s="7" t="b">
        <f>AN558=R558</f>
        <v>1</v>
      </c>
      <c r="AP558" s="7">
        <f>VLOOKUP(A558,'base ZITRHR129'!G74:W700,17,0)</f>
        <v>1917.36</v>
      </c>
      <c r="AQ558" s="7" t="b">
        <f>AP558=AK558</f>
        <v>1</v>
      </c>
      <c r="AR558" s="69"/>
    </row>
    <row r="559" spans="1:44" s="7" customFormat="1" ht="12" x14ac:dyDescent="0.2">
      <c r="A559" s="7">
        <v>10078914</v>
      </c>
      <c r="B559" s="8" t="s">
        <v>581</v>
      </c>
      <c r="C559" s="8" t="s">
        <v>706</v>
      </c>
      <c r="D559" s="8" t="s">
        <v>717</v>
      </c>
      <c r="E559" s="8" t="s">
        <v>737</v>
      </c>
      <c r="F559" s="8" t="s">
        <v>1406</v>
      </c>
      <c r="G559" s="8" t="s">
        <v>765</v>
      </c>
      <c r="H559" s="9">
        <v>14</v>
      </c>
      <c r="I559" s="8" t="s">
        <v>660</v>
      </c>
      <c r="J559" s="8" t="s">
        <v>1330</v>
      </c>
      <c r="K559" s="8" t="s">
        <v>16</v>
      </c>
      <c r="L559" s="8" t="s">
        <v>17</v>
      </c>
      <c r="M559" s="10" t="s">
        <v>706</v>
      </c>
      <c r="N559" s="10" t="s">
        <v>717</v>
      </c>
      <c r="O559" s="10" t="s">
        <v>660</v>
      </c>
      <c r="P559" s="1"/>
      <c r="Q559" s="11" t="b">
        <f>O559=P559</f>
        <v>0</v>
      </c>
      <c r="R559" s="30">
        <v>30041235</v>
      </c>
      <c r="S559" s="1"/>
      <c r="T559" s="11" t="b">
        <f>R559=S559</f>
        <v>0</v>
      </c>
      <c r="U559" s="10" t="s">
        <v>16</v>
      </c>
      <c r="V559" s="1"/>
      <c r="W559" s="11" t="b">
        <f>U559=V559</f>
        <v>0</v>
      </c>
      <c r="X559" s="13" t="s">
        <v>15</v>
      </c>
      <c r="Y559" s="1"/>
      <c r="Z559" s="1"/>
      <c r="AA559" s="10">
        <v>22002830</v>
      </c>
      <c r="AB559" s="10" t="s">
        <v>1409</v>
      </c>
      <c r="AD559" s="11" t="b">
        <f>AB559=AC559</f>
        <v>0</v>
      </c>
      <c r="AE559" s="10" t="s">
        <v>765</v>
      </c>
      <c r="AF559" s="1"/>
      <c r="AG559" s="11" t="b">
        <f>AE559=AF559</f>
        <v>0</v>
      </c>
      <c r="AH559" s="1">
        <v>14</v>
      </c>
      <c r="AI559" s="1">
        <v>8.59</v>
      </c>
      <c r="AJ559" s="16">
        <f>AI559*220/30*30.4375</f>
        <v>1917.3595833333334</v>
      </c>
      <c r="AK559" s="18">
        <v>1917.36</v>
      </c>
      <c r="AL559" s="71" t="s">
        <v>660</v>
      </c>
      <c r="AM559" s="19" t="b">
        <f>AL559=O559</f>
        <v>1</v>
      </c>
      <c r="AN559" s="7">
        <f>VLOOKUP(A559,'base ZITRHR129'!$G$1:$H$628,2,0)</f>
        <v>30041235</v>
      </c>
      <c r="AO559" s="7" t="b">
        <f>AN559=R559</f>
        <v>1</v>
      </c>
      <c r="AP559" s="7">
        <f>VLOOKUP(A559,'base ZITRHR129'!G73:W699,17,0)</f>
        <v>1917.36</v>
      </c>
      <c r="AQ559" s="7" t="b">
        <f>AP559=AK559</f>
        <v>1</v>
      </c>
      <c r="AR559" s="69"/>
    </row>
    <row r="560" spans="1:44" s="7" customFormat="1" ht="12" x14ac:dyDescent="0.2">
      <c r="A560" s="7">
        <v>10078916</v>
      </c>
      <c r="B560" s="8" t="s">
        <v>582</v>
      </c>
      <c r="C560" s="8" t="s">
        <v>715</v>
      </c>
      <c r="D560" s="8" t="s">
        <v>717</v>
      </c>
      <c r="E560" s="8" t="s">
        <v>749</v>
      </c>
      <c r="F560" s="8" t="s">
        <v>1406</v>
      </c>
      <c r="G560" s="8" t="s">
        <v>18</v>
      </c>
      <c r="H560" s="9">
        <v>14</v>
      </c>
      <c r="I560" s="8" t="s">
        <v>678</v>
      </c>
      <c r="J560" s="8" t="s">
        <v>1331</v>
      </c>
      <c r="K560" s="8" t="s">
        <v>6</v>
      </c>
      <c r="L560" s="8" t="s">
        <v>17</v>
      </c>
      <c r="M560" s="10" t="s">
        <v>715</v>
      </c>
      <c r="N560" s="10" t="s">
        <v>717</v>
      </c>
      <c r="O560" s="10" t="s">
        <v>678</v>
      </c>
      <c r="P560" s="1"/>
      <c r="Q560" s="11" t="b">
        <f>O560=P560</f>
        <v>0</v>
      </c>
      <c r="R560" s="30">
        <v>30041236</v>
      </c>
      <c r="S560" s="1"/>
      <c r="T560" s="11" t="b">
        <f>R560=S560</f>
        <v>0</v>
      </c>
      <c r="U560" s="10" t="s">
        <v>6</v>
      </c>
      <c r="V560" s="1"/>
      <c r="W560" s="11" t="b">
        <f>U560=V560</f>
        <v>0</v>
      </c>
      <c r="X560" s="13" t="s">
        <v>15</v>
      </c>
      <c r="Y560" s="1"/>
      <c r="Z560" s="1"/>
      <c r="AA560" s="10">
        <v>22002440</v>
      </c>
      <c r="AB560" s="10" t="s">
        <v>1409</v>
      </c>
      <c r="AD560" s="11" t="b">
        <f>AB560=AC560</f>
        <v>0</v>
      </c>
      <c r="AE560" s="10" t="s">
        <v>18</v>
      </c>
      <c r="AF560" s="1"/>
      <c r="AG560" s="11" t="b">
        <f>AE560=AF560</f>
        <v>0</v>
      </c>
      <c r="AH560" s="1">
        <v>14</v>
      </c>
      <c r="AI560" s="1">
        <v>7.37</v>
      </c>
      <c r="AJ560" s="16">
        <f>AI560*220/30*30.4375</f>
        <v>1645.0454166666666</v>
      </c>
      <c r="AK560" s="18">
        <v>1645.05</v>
      </c>
      <c r="AL560" s="71" t="s">
        <v>678</v>
      </c>
      <c r="AM560" s="19" t="b">
        <f>AL560=O560</f>
        <v>1</v>
      </c>
      <c r="AN560" s="7">
        <f>VLOOKUP(A560,'base ZITRHR129'!$G$1:$H$628,2,0)</f>
        <v>30041236</v>
      </c>
      <c r="AO560" s="7" t="b">
        <f>AN560=R560</f>
        <v>1</v>
      </c>
      <c r="AP560" s="7">
        <f>VLOOKUP(A560,'base ZITRHR129'!G72:W698,17,0)</f>
        <v>1645.05</v>
      </c>
      <c r="AQ560" s="7" t="b">
        <f>AP560=AK560</f>
        <v>1</v>
      </c>
      <c r="AR560" s="69"/>
    </row>
    <row r="561" spans="1:44" s="7" customFormat="1" ht="12" x14ac:dyDescent="0.2">
      <c r="A561" s="7">
        <v>10078934</v>
      </c>
      <c r="B561" s="8" t="s">
        <v>583</v>
      </c>
      <c r="C561" s="8" t="s">
        <v>686</v>
      </c>
      <c r="D561" s="8" t="s">
        <v>717</v>
      </c>
      <c r="E561" s="8" t="s">
        <v>739</v>
      </c>
      <c r="F561" s="8" t="s">
        <v>1406</v>
      </c>
      <c r="G561" s="8" t="s">
        <v>766</v>
      </c>
      <c r="H561" s="9">
        <v>14</v>
      </c>
      <c r="I561" s="8" t="s">
        <v>659</v>
      </c>
      <c r="J561" s="8" t="s">
        <v>1332</v>
      </c>
      <c r="K561" s="8" t="s">
        <v>6</v>
      </c>
      <c r="L561" s="8" t="s">
        <v>17</v>
      </c>
      <c r="M561" s="10" t="s">
        <v>686</v>
      </c>
      <c r="N561" s="10" t="s">
        <v>717</v>
      </c>
      <c r="O561" s="10" t="s">
        <v>659</v>
      </c>
      <c r="P561" s="1"/>
      <c r="Q561" s="11" t="b">
        <f>O561=P561</f>
        <v>0</v>
      </c>
      <c r="R561" s="30">
        <v>30041237</v>
      </c>
      <c r="S561" s="1"/>
      <c r="T561" s="11" t="b">
        <f>R561=S561</f>
        <v>0</v>
      </c>
      <c r="U561" s="10" t="s">
        <v>6</v>
      </c>
      <c r="V561" s="1"/>
      <c r="W561" s="11" t="b">
        <f>U561=V561</f>
        <v>0</v>
      </c>
      <c r="X561" s="13" t="s">
        <v>15</v>
      </c>
      <c r="Y561" s="1"/>
      <c r="Z561" s="1"/>
      <c r="AA561" s="10">
        <v>22001415</v>
      </c>
      <c r="AB561" s="10" t="s">
        <v>1409</v>
      </c>
      <c r="AD561" s="11" t="b">
        <f>AB561=AC561</f>
        <v>0</v>
      </c>
      <c r="AE561" s="10" t="s">
        <v>766</v>
      </c>
      <c r="AF561" s="1"/>
      <c r="AG561" s="11" t="b">
        <f>AE561=AF561</f>
        <v>0</v>
      </c>
      <c r="AH561" s="1">
        <v>14</v>
      </c>
      <c r="AI561" s="1">
        <v>7.37</v>
      </c>
      <c r="AJ561" s="16">
        <f>AI561*220/30*30.4375</f>
        <v>1645.0454166666666</v>
      </c>
      <c r="AK561" s="18">
        <v>1645.05</v>
      </c>
      <c r="AL561" s="71" t="s">
        <v>659</v>
      </c>
      <c r="AM561" s="19" t="b">
        <f>AL561=O561</f>
        <v>1</v>
      </c>
      <c r="AN561" s="7">
        <f>VLOOKUP(A561,'base ZITRHR129'!$G$1:$H$628,2,0)</f>
        <v>30041237</v>
      </c>
      <c r="AO561" s="7" t="b">
        <f>AN561=R561</f>
        <v>1</v>
      </c>
      <c r="AP561" s="7">
        <f>VLOOKUP(A561,'base ZITRHR129'!G71:W697,17,0)</f>
        <v>1645.05</v>
      </c>
      <c r="AQ561" s="7" t="b">
        <f>AP561=AK561</f>
        <v>1</v>
      </c>
      <c r="AR561" s="69"/>
    </row>
    <row r="562" spans="1:44" s="7" customFormat="1" ht="12" x14ac:dyDescent="0.2">
      <c r="A562" s="7">
        <v>10079022</v>
      </c>
      <c r="B562" s="8" t="s">
        <v>584</v>
      </c>
      <c r="C562" s="8" t="s">
        <v>704</v>
      </c>
      <c r="D562" s="8" t="s">
        <v>717</v>
      </c>
      <c r="E562" s="8" t="s">
        <v>728</v>
      </c>
      <c r="F562" s="8" t="s">
        <v>1406</v>
      </c>
      <c r="G562" s="8" t="s">
        <v>757</v>
      </c>
      <c r="H562" s="9">
        <v>13</v>
      </c>
      <c r="I562" s="8" t="s">
        <v>669</v>
      </c>
      <c r="J562" s="8" t="s">
        <v>1333</v>
      </c>
      <c r="K562" s="8" t="s">
        <v>16</v>
      </c>
      <c r="L562" s="8" t="s">
        <v>17</v>
      </c>
      <c r="M562" s="10" t="s">
        <v>704</v>
      </c>
      <c r="N562" s="10" t="s">
        <v>717</v>
      </c>
      <c r="O562" s="10" t="s">
        <v>669</v>
      </c>
      <c r="P562" s="1"/>
      <c r="Q562" s="11" t="b">
        <f>O562=P562</f>
        <v>0</v>
      </c>
      <c r="R562" s="30">
        <v>30041238</v>
      </c>
      <c r="S562" s="1"/>
      <c r="T562" s="11" t="b">
        <f>R562=S562</f>
        <v>0</v>
      </c>
      <c r="U562" s="10" t="s">
        <v>16</v>
      </c>
      <c r="V562" s="1"/>
      <c r="W562" s="11" t="b">
        <f>U562=V562</f>
        <v>0</v>
      </c>
      <c r="X562" s="13" t="s">
        <v>15</v>
      </c>
      <c r="Y562" s="1"/>
      <c r="Z562" s="1"/>
      <c r="AA562" s="60">
        <v>22000878</v>
      </c>
      <c r="AB562" s="10" t="s">
        <v>1409</v>
      </c>
      <c r="AD562" s="11" t="b">
        <f>AB562=AC562</f>
        <v>0</v>
      </c>
      <c r="AE562" s="10" t="s">
        <v>757</v>
      </c>
      <c r="AF562" s="1"/>
      <c r="AG562" s="11" t="b">
        <f>AE562=AF562</f>
        <v>0</v>
      </c>
      <c r="AH562" s="1">
        <v>13</v>
      </c>
      <c r="AI562" s="1">
        <v>7.37</v>
      </c>
      <c r="AJ562" s="16">
        <f>AI562*220/30*30.4375</f>
        <v>1645.0454166666666</v>
      </c>
      <c r="AK562" s="18">
        <v>1645.05</v>
      </c>
      <c r="AL562" s="71" t="s">
        <v>669</v>
      </c>
      <c r="AM562" s="19" t="b">
        <f>AL562=O562</f>
        <v>1</v>
      </c>
      <c r="AN562" s="7">
        <f>VLOOKUP(A562,'base ZITRHR129'!$G$1:$H$628,2,0)</f>
        <v>30041238</v>
      </c>
      <c r="AO562" s="7" t="b">
        <f>AN562=R562</f>
        <v>1</v>
      </c>
      <c r="AP562" s="7">
        <f>VLOOKUP(A562,'base ZITRHR129'!G70:W696,17,0)</f>
        <v>1645.05</v>
      </c>
      <c r="AQ562" s="7" t="b">
        <f>AP562=AK562</f>
        <v>1</v>
      </c>
      <c r="AR562" s="69"/>
    </row>
    <row r="563" spans="1:44" s="7" customFormat="1" ht="12" x14ac:dyDescent="0.2">
      <c r="A563" s="7">
        <v>10079025</v>
      </c>
      <c r="B563" s="8" t="s">
        <v>585</v>
      </c>
      <c r="C563" s="8" t="s">
        <v>695</v>
      </c>
      <c r="D563" s="8" t="s">
        <v>717</v>
      </c>
      <c r="E563" s="8" t="s">
        <v>737</v>
      </c>
      <c r="F563" s="8" t="s">
        <v>1406</v>
      </c>
      <c r="G563" s="8" t="s">
        <v>765</v>
      </c>
      <c r="H563" s="9">
        <v>14</v>
      </c>
      <c r="I563" s="8" t="s">
        <v>660</v>
      </c>
      <c r="J563" s="8" t="s">
        <v>1334</v>
      </c>
      <c r="K563" s="8" t="s">
        <v>16</v>
      </c>
      <c r="L563" s="8" t="s">
        <v>17</v>
      </c>
      <c r="M563" s="10" t="s">
        <v>695</v>
      </c>
      <c r="N563" s="10" t="s">
        <v>717</v>
      </c>
      <c r="O563" s="10" t="s">
        <v>660</v>
      </c>
      <c r="P563" s="1"/>
      <c r="Q563" s="11" t="b">
        <f>O563=P563</f>
        <v>0</v>
      </c>
      <c r="R563" s="30">
        <v>30041239</v>
      </c>
      <c r="S563" s="1"/>
      <c r="T563" s="11" t="b">
        <f>R563=S563</f>
        <v>0</v>
      </c>
      <c r="U563" s="10" t="s">
        <v>16</v>
      </c>
      <c r="V563" s="1"/>
      <c r="W563" s="11" t="b">
        <f>U563=V563</f>
        <v>0</v>
      </c>
      <c r="X563" s="13" t="s">
        <v>15</v>
      </c>
      <c r="Y563" s="1"/>
      <c r="Z563" s="1"/>
      <c r="AA563" s="63">
        <v>22002830</v>
      </c>
      <c r="AB563" s="10" t="s">
        <v>1409</v>
      </c>
      <c r="AD563" s="11" t="b">
        <f>AB563=AC563</f>
        <v>0</v>
      </c>
      <c r="AE563" s="10" t="s">
        <v>765</v>
      </c>
      <c r="AF563" s="1"/>
      <c r="AG563" s="11" t="b">
        <f>AE563=AF563</f>
        <v>0</v>
      </c>
      <c r="AH563" s="1">
        <v>14</v>
      </c>
      <c r="AI563" s="1">
        <v>8.59</v>
      </c>
      <c r="AJ563" s="16">
        <f>AI563*220/30*30.4375</f>
        <v>1917.3595833333334</v>
      </c>
      <c r="AK563" s="18">
        <v>1917.36</v>
      </c>
      <c r="AL563" s="71" t="s">
        <v>660</v>
      </c>
      <c r="AM563" s="19" t="b">
        <f>AL563=O563</f>
        <v>1</v>
      </c>
      <c r="AN563" s="7">
        <f>VLOOKUP(A563,'base ZITRHR129'!$G$1:$H$628,2,0)</f>
        <v>30041239</v>
      </c>
      <c r="AO563" s="7" t="b">
        <f>AN563=R563</f>
        <v>1</v>
      </c>
      <c r="AP563" s="7">
        <f>VLOOKUP(A563,'base ZITRHR129'!G69:W695,17,0)</f>
        <v>1917.36</v>
      </c>
      <c r="AQ563" s="7" t="b">
        <f>AP563=AK563</f>
        <v>1</v>
      </c>
      <c r="AR563" s="69"/>
    </row>
    <row r="564" spans="1:44" s="7" customFormat="1" ht="12" x14ac:dyDescent="0.2">
      <c r="A564" s="7">
        <v>10079189</v>
      </c>
      <c r="B564" s="8" t="s">
        <v>586</v>
      </c>
      <c r="C564" s="8" t="s">
        <v>702</v>
      </c>
      <c r="D564" s="8" t="s">
        <v>717</v>
      </c>
      <c r="E564" s="8" t="s">
        <v>742</v>
      </c>
      <c r="F564" s="8" t="s">
        <v>1406</v>
      </c>
      <c r="G564" s="8" t="s">
        <v>769</v>
      </c>
      <c r="H564" s="9">
        <v>15</v>
      </c>
      <c r="I564" s="8" t="s">
        <v>668</v>
      </c>
      <c r="J564" s="8" t="s">
        <v>1335</v>
      </c>
      <c r="K564" s="8" t="s">
        <v>16</v>
      </c>
      <c r="L564" s="8" t="s">
        <v>17</v>
      </c>
      <c r="M564" s="10" t="s">
        <v>702</v>
      </c>
      <c r="N564" s="10" t="s">
        <v>717</v>
      </c>
      <c r="O564" s="10" t="s">
        <v>668</v>
      </c>
      <c r="P564" s="1"/>
      <c r="Q564" s="11" t="b">
        <f>O564=P564</f>
        <v>0</v>
      </c>
      <c r="R564" s="30">
        <v>30041240</v>
      </c>
      <c r="S564" s="1"/>
      <c r="T564" s="11" t="b">
        <f>R564=S564</f>
        <v>0</v>
      </c>
      <c r="U564" s="10" t="s">
        <v>16</v>
      </c>
      <c r="V564" s="1"/>
      <c r="W564" s="11" t="b">
        <f>U564=V564</f>
        <v>0</v>
      </c>
      <c r="X564" s="13" t="s">
        <v>15</v>
      </c>
      <c r="Y564" s="1"/>
      <c r="Z564" s="1"/>
      <c r="AA564" s="60">
        <v>22001389</v>
      </c>
      <c r="AB564" s="10" t="s">
        <v>1409</v>
      </c>
      <c r="AD564" s="11" t="b">
        <f>AB564=AC564</f>
        <v>0</v>
      </c>
      <c r="AE564" s="10" t="s">
        <v>769</v>
      </c>
      <c r="AF564" s="1"/>
      <c r="AG564" s="11" t="b">
        <f>AE564=AF564</f>
        <v>0</v>
      </c>
      <c r="AH564" s="1">
        <v>15</v>
      </c>
      <c r="AI564" s="1">
        <v>8.59</v>
      </c>
      <c r="AJ564" s="16">
        <f>AI564*220/30*30.4375</f>
        <v>1917.3595833333334</v>
      </c>
      <c r="AK564" s="18">
        <v>1917.36</v>
      </c>
      <c r="AL564" s="71" t="s">
        <v>668</v>
      </c>
      <c r="AM564" s="19" t="b">
        <f>AL564=O564</f>
        <v>1</v>
      </c>
      <c r="AN564" s="7">
        <f>VLOOKUP(A564,'base ZITRHR129'!$G$1:$H$628,2,0)</f>
        <v>30041240</v>
      </c>
      <c r="AO564" s="7" t="b">
        <f>AN564=R564</f>
        <v>1</v>
      </c>
      <c r="AP564" s="7">
        <f>VLOOKUP(A564,'base ZITRHR129'!G68:W694,17,0)</f>
        <v>1917.36</v>
      </c>
      <c r="AQ564" s="7" t="b">
        <f>AP564=AK564</f>
        <v>1</v>
      </c>
      <c r="AR564" s="69"/>
    </row>
    <row r="565" spans="1:44" s="7" customFormat="1" ht="12" x14ac:dyDescent="0.2">
      <c r="A565" s="7">
        <v>10079295</v>
      </c>
      <c r="B565" s="8" t="s">
        <v>587</v>
      </c>
      <c r="C565" s="8" t="s">
        <v>689</v>
      </c>
      <c r="D565" s="8" t="s">
        <v>717</v>
      </c>
      <c r="E565" s="8" t="s">
        <v>744</v>
      </c>
      <c r="F565" s="8" t="s">
        <v>1406</v>
      </c>
      <c r="G565" s="8" t="s">
        <v>771</v>
      </c>
      <c r="H565" s="9">
        <v>14</v>
      </c>
      <c r="I565" s="8" t="s">
        <v>662</v>
      </c>
      <c r="J565" s="8" t="s">
        <v>1336</v>
      </c>
      <c r="K565" s="8" t="s">
        <v>16</v>
      </c>
      <c r="L565" s="8" t="s">
        <v>17</v>
      </c>
      <c r="M565" s="10" t="s">
        <v>689</v>
      </c>
      <c r="N565" s="10" t="s">
        <v>717</v>
      </c>
      <c r="O565" s="10" t="s">
        <v>662</v>
      </c>
      <c r="P565" s="1"/>
      <c r="Q565" s="11" t="b">
        <f>O565=P565</f>
        <v>0</v>
      </c>
      <c r="R565" s="30">
        <v>30041241</v>
      </c>
      <c r="S565" s="1"/>
      <c r="T565" s="11" t="b">
        <f>R565=S565</f>
        <v>0</v>
      </c>
      <c r="U565" s="10" t="s">
        <v>16</v>
      </c>
      <c r="V565" s="1"/>
      <c r="W565" s="11" t="b">
        <f>U565=V565</f>
        <v>0</v>
      </c>
      <c r="X565" s="13" t="s">
        <v>15</v>
      </c>
      <c r="Y565" s="1"/>
      <c r="Z565" s="1"/>
      <c r="AA565" s="10">
        <v>22002677</v>
      </c>
      <c r="AB565" s="10" t="s">
        <v>1409</v>
      </c>
      <c r="AD565" s="11" t="b">
        <f>AB565=AC565</f>
        <v>0</v>
      </c>
      <c r="AE565" s="10" t="s">
        <v>771</v>
      </c>
      <c r="AF565" s="1"/>
      <c r="AG565" s="11" t="b">
        <f>AE565=AF565</f>
        <v>0</v>
      </c>
      <c r="AH565" s="1">
        <v>14</v>
      </c>
      <c r="AI565" s="1">
        <v>8.59</v>
      </c>
      <c r="AJ565" s="16">
        <f>AI565*220/30*30.4375</f>
        <v>1917.3595833333334</v>
      </c>
      <c r="AK565" s="18">
        <v>1917.36</v>
      </c>
      <c r="AL565" s="71" t="s">
        <v>662</v>
      </c>
      <c r="AM565" s="19" t="b">
        <f>AL565=O565</f>
        <v>1</v>
      </c>
      <c r="AN565" s="7">
        <f>VLOOKUP(A565,'base ZITRHR129'!$G$1:$H$628,2,0)</f>
        <v>30041241</v>
      </c>
      <c r="AO565" s="7" t="b">
        <f>AN565=R565</f>
        <v>1</v>
      </c>
      <c r="AP565" s="7">
        <f>VLOOKUP(A565,'base ZITRHR129'!G67:W693,17,0)</f>
        <v>1917.36</v>
      </c>
      <c r="AQ565" s="7" t="b">
        <f>AP565=AK565</f>
        <v>1</v>
      </c>
      <c r="AR565" s="69"/>
    </row>
    <row r="566" spans="1:44" s="7" customFormat="1" ht="12" x14ac:dyDescent="0.2">
      <c r="A566" s="7">
        <v>10079500</v>
      </c>
      <c r="B566" s="8" t="s">
        <v>588</v>
      </c>
      <c r="C566" s="8" t="s">
        <v>686</v>
      </c>
      <c r="D566" s="8" t="s">
        <v>717</v>
      </c>
      <c r="E566" s="8" t="s">
        <v>739</v>
      </c>
      <c r="F566" s="8" t="s">
        <v>1406</v>
      </c>
      <c r="G566" s="8" t="s">
        <v>766</v>
      </c>
      <c r="H566" s="9">
        <v>14</v>
      </c>
      <c r="I566" s="8" t="s">
        <v>659</v>
      </c>
      <c r="J566" s="8" t="s">
        <v>1337</v>
      </c>
      <c r="K566" s="8" t="s">
        <v>6</v>
      </c>
      <c r="L566" s="8" t="s">
        <v>17</v>
      </c>
      <c r="M566" s="10" t="s">
        <v>686</v>
      </c>
      <c r="N566" s="10" t="s">
        <v>717</v>
      </c>
      <c r="O566" s="10" t="s">
        <v>659</v>
      </c>
      <c r="P566" s="1"/>
      <c r="Q566" s="11" t="b">
        <f>O566=P566</f>
        <v>0</v>
      </c>
      <c r="R566" s="30">
        <v>30041242</v>
      </c>
      <c r="S566" s="1"/>
      <c r="T566" s="11" t="b">
        <f>R566=S566</f>
        <v>0</v>
      </c>
      <c r="U566" s="10" t="s">
        <v>6</v>
      </c>
      <c r="V566" s="1"/>
      <c r="W566" s="11" t="b">
        <f>U566=V566</f>
        <v>0</v>
      </c>
      <c r="X566" s="13" t="s">
        <v>15</v>
      </c>
      <c r="Y566" s="1"/>
      <c r="Z566" s="1"/>
      <c r="AA566" s="59">
        <v>22001415</v>
      </c>
      <c r="AB566" s="10" t="s">
        <v>1409</v>
      </c>
      <c r="AD566" s="11" t="b">
        <f>AB566=AC566</f>
        <v>0</v>
      </c>
      <c r="AE566" s="10" t="s">
        <v>766</v>
      </c>
      <c r="AF566" s="1"/>
      <c r="AG566" s="11" t="b">
        <f>AE566=AF566</f>
        <v>0</v>
      </c>
      <c r="AH566" s="1">
        <v>14</v>
      </c>
      <c r="AI566" s="1">
        <v>7.37</v>
      </c>
      <c r="AJ566" s="16">
        <f>AI566*220/30*30.4375</f>
        <v>1645.0454166666666</v>
      </c>
      <c r="AK566" s="18">
        <v>1645.05</v>
      </c>
      <c r="AL566" s="71" t="s">
        <v>659</v>
      </c>
      <c r="AM566" s="19" t="b">
        <f>AL566=O566</f>
        <v>1</v>
      </c>
      <c r="AN566" s="7">
        <f>VLOOKUP(A566,'base ZITRHR129'!$G$1:$H$628,2,0)</f>
        <v>30041242</v>
      </c>
      <c r="AO566" s="7" t="b">
        <f>AN566=R566</f>
        <v>1</v>
      </c>
      <c r="AP566" s="7">
        <f>VLOOKUP(A566,'base ZITRHR129'!G66:W692,17,0)</f>
        <v>1645.05</v>
      </c>
      <c r="AQ566" s="7" t="b">
        <f>AP566=AK566</f>
        <v>1</v>
      </c>
      <c r="AR566" s="69"/>
    </row>
    <row r="567" spans="1:44" s="7" customFormat="1" ht="12" x14ac:dyDescent="0.2">
      <c r="A567" s="7">
        <v>10079503</v>
      </c>
      <c r="B567" s="8" t="s">
        <v>589</v>
      </c>
      <c r="C567" s="8" t="s">
        <v>698</v>
      </c>
      <c r="D567" s="8" t="s">
        <v>717</v>
      </c>
      <c r="E567" s="8" t="s">
        <v>728</v>
      </c>
      <c r="F567" s="8" t="s">
        <v>1406</v>
      </c>
      <c r="G567" s="8" t="s">
        <v>757</v>
      </c>
      <c r="H567" s="9">
        <v>13</v>
      </c>
      <c r="I567" s="8" t="s">
        <v>664</v>
      </c>
      <c r="J567" s="8" t="s">
        <v>1338</v>
      </c>
      <c r="K567" s="8" t="s">
        <v>16</v>
      </c>
      <c r="L567" s="8" t="s">
        <v>17</v>
      </c>
      <c r="M567" s="10" t="s">
        <v>698</v>
      </c>
      <c r="N567" s="10" t="s">
        <v>717</v>
      </c>
      <c r="O567" s="10" t="s">
        <v>664</v>
      </c>
      <c r="P567" s="1"/>
      <c r="Q567" s="11" t="b">
        <f>O567=P567</f>
        <v>0</v>
      </c>
      <c r="R567" s="30">
        <v>30041243</v>
      </c>
      <c r="S567" s="1"/>
      <c r="T567" s="11" t="b">
        <f>R567=S567</f>
        <v>0</v>
      </c>
      <c r="U567" s="10" t="s">
        <v>16</v>
      </c>
      <c r="V567" s="1"/>
      <c r="W567" s="11" t="b">
        <f>U567=V567</f>
        <v>0</v>
      </c>
      <c r="X567" s="13" t="s">
        <v>15</v>
      </c>
      <c r="Y567" s="1"/>
      <c r="Z567" s="1"/>
      <c r="AA567" s="60">
        <v>22000878</v>
      </c>
      <c r="AB567" s="10" t="s">
        <v>1409</v>
      </c>
      <c r="AD567" s="11" t="b">
        <f>AB567=AC567</f>
        <v>0</v>
      </c>
      <c r="AE567" s="10" t="s">
        <v>757</v>
      </c>
      <c r="AF567" s="1"/>
      <c r="AG567" s="11" t="b">
        <f>AE567=AF567</f>
        <v>0</v>
      </c>
      <c r="AH567" s="1">
        <v>13</v>
      </c>
      <c r="AI567" s="1">
        <v>7.37</v>
      </c>
      <c r="AJ567" s="16">
        <f>AI567*220/30*30.4375</f>
        <v>1645.0454166666666</v>
      </c>
      <c r="AK567" s="18">
        <v>1645.05</v>
      </c>
      <c r="AL567" s="71" t="s">
        <v>664</v>
      </c>
      <c r="AM567" s="19" t="b">
        <f>AL567=O567</f>
        <v>1</v>
      </c>
      <c r="AN567" s="7">
        <f>VLOOKUP(A567,'base ZITRHR129'!$G$1:$H$628,2,0)</f>
        <v>30041243</v>
      </c>
      <c r="AO567" s="7" t="b">
        <f>AN567=R567</f>
        <v>1</v>
      </c>
      <c r="AP567" s="7">
        <f>VLOOKUP(A567,'base ZITRHR129'!G65:W691,17,0)</f>
        <v>1645.05</v>
      </c>
      <c r="AQ567" s="7" t="b">
        <f>AP567=AK567</f>
        <v>1</v>
      </c>
      <c r="AR567" s="69"/>
    </row>
    <row r="568" spans="1:44" s="7" customFormat="1" ht="12" x14ac:dyDescent="0.2">
      <c r="A568" s="7">
        <v>10079631</v>
      </c>
      <c r="B568" s="8" t="s">
        <v>590</v>
      </c>
      <c r="C568" s="8" t="s">
        <v>698</v>
      </c>
      <c r="D568" s="8" t="s">
        <v>717</v>
      </c>
      <c r="E568" s="8" t="s">
        <v>728</v>
      </c>
      <c r="F568" s="8" t="s">
        <v>1406</v>
      </c>
      <c r="G568" s="8" t="s">
        <v>757</v>
      </c>
      <c r="H568" s="9">
        <v>13</v>
      </c>
      <c r="I568" s="8" t="s">
        <v>664</v>
      </c>
      <c r="J568" s="8" t="s">
        <v>1339</v>
      </c>
      <c r="K568" s="8" t="s">
        <v>16</v>
      </c>
      <c r="L568" s="8" t="s">
        <v>17</v>
      </c>
      <c r="M568" s="10" t="s">
        <v>698</v>
      </c>
      <c r="N568" s="10" t="s">
        <v>717</v>
      </c>
      <c r="O568" s="10" t="s">
        <v>664</v>
      </c>
      <c r="P568" s="1"/>
      <c r="Q568" s="11" t="b">
        <f>O568=P568</f>
        <v>0</v>
      </c>
      <c r="R568" s="30">
        <v>30041244</v>
      </c>
      <c r="S568" s="1"/>
      <c r="T568" s="11" t="b">
        <f>R568=S568</f>
        <v>0</v>
      </c>
      <c r="U568" s="10" t="s">
        <v>16</v>
      </c>
      <c r="V568" s="1"/>
      <c r="W568" s="11" t="b">
        <f>U568=V568</f>
        <v>0</v>
      </c>
      <c r="X568" s="13" t="s">
        <v>15</v>
      </c>
      <c r="Y568" s="1"/>
      <c r="Z568" s="1"/>
      <c r="AA568" s="60">
        <v>22000878</v>
      </c>
      <c r="AB568" s="10" t="s">
        <v>1409</v>
      </c>
      <c r="AD568" s="11" t="b">
        <f>AB568=AC568</f>
        <v>0</v>
      </c>
      <c r="AE568" s="10" t="s">
        <v>757</v>
      </c>
      <c r="AF568" s="1"/>
      <c r="AG568" s="11" t="b">
        <f>AE568=AF568</f>
        <v>0</v>
      </c>
      <c r="AH568" s="1">
        <v>13</v>
      </c>
      <c r="AI568" s="1">
        <v>7.37</v>
      </c>
      <c r="AJ568" s="16">
        <f>AI568*220/30*30.4375</f>
        <v>1645.0454166666666</v>
      </c>
      <c r="AK568" s="18">
        <v>1645.05</v>
      </c>
      <c r="AL568" s="71" t="s">
        <v>664</v>
      </c>
      <c r="AM568" s="19" t="b">
        <f>AL568=O568</f>
        <v>1</v>
      </c>
      <c r="AN568" s="7">
        <f>VLOOKUP(A568,'base ZITRHR129'!$G$1:$H$628,2,0)</f>
        <v>30041244</v>
      </c>
      <c r="AO568" s="7" t="b">
        <f>AN568=R568</f>
        <v>1</v>
      </c>
      <c r="AP568" s="7">
        <f>VLOOKUP(A568,'base ZITRHR129'!G64:W690,17,0)</f>
        <v>1645.05</v>
      </c>
      <c r="AQ568" s="7" t="b">
        <f>AP568=AK568</f>
        <v>1</v>
      </c>
      <c r="AR568" s="69"/>
    </row>
    <row r="569" spans="1:44" s="7" customFormat="1" ht="12" x14ac:dyDescent="0.2">
      <c r="A569" s="7">
        <v>10079640</v>
      </c>
      <c r="B569" s="8" t="s">
        <v>591</v>
      </c>
      <c r="C569" s="8" t="s">
        <v>684</v>
      </c>
      <c r="D569" s="8" t="s">
        <v>717</v>
      </c>
      <c r="E569" s="8" t="s">
        <v>728</v>
      </c>
      <c r="F569" s="8" t="s">
        <v>1406</v>
      </c>
      <c r="G569" s="8" t="s">
        <v>757</v>
      </c>
      <c r="H569" s="9">
        <v>13</v>
      </c>
      <c r="I569" s="8" t="s">
        <v>657</v>
      </c>
      <c r="J569" s="8" t="s">
        <v>1340</v>
      </c>
      <c r="K569" s="8" t="s">
        <v>16</v>
      </c>
      <c r="L569" s="8" t="s">
        <v>17</v>
      </c>
      <c r="M569" s="10" t="s">
        <v>684</v>
      </c>
      <c r="N569" s="10" t="s">
        <v>717</v>
      </c>
      <c r="O569" s="10" t="s">
        <v>657</v>
      </c>
      <c r="P569" s="1"/>
      <c r="Q569" s="11" t="b">
        <f>O569=P569</f>
        <v>0</v>
      </c>
      <c r="R569" s="30">
        <v>30041245</v>
      </c>
      <c r="S569" s="1"/>
      <c r="T569" s="11" t="b">
        <f>R569=S569</f>
        <v>0</v>
      </c>
      <c r="U569" s="10" t="s">
        <v>16</v>
      </c>
      <c r="V569" s="1"/>
      <c r="W569" s="11" t="b">
        <f>U569=V569</f>
        <v>0</v>
      </c>
      <c r="X569" s="13" t="s">
        <v>15</v>
      </c>
      <c r="Y569" s="1"/>
      <c r="Z569" s="1"/>
      <c r="AA569" s="60">
        <v>22000878</v>
      </c>
      <c r="AB569" s="10" t="s">
        <v>1409</v>
      </c>
      <c r="AD569" s="11" t="b">
        <f>AB569=AC569</f>
        <v>0</v>
      </c>
      <c r="AE569" s="10" t="s">
        <v>757</v>
      </c>
      <c r="AF569" s="1"/>
      <c r="AG569" s="11" t="b">
        <f>AE569=AF569</f>
        <v>0</v>
      </c>
      <c r="AH569" s="1">
        <v>13</v>
      </c>
      <c r="AI569" s="1">
        <v>7.37</v>
      </c>
      <c r="AJ569" s="16">
        <f>AI569*220/30*30.4375</f>
        <v>1645.0454166666666</v>
      </c>
      <c r="AK569" s="18">
        <v>1645.05</v>
      </c>
      <c r="AL569" s="71" t="s">
        <v>657</v>
      </c>
      <c r="AM569" s="19" t="b">
        <f>AL569=O569</f>
        <v>1</v>
      </c>
      <c r="AN569" s="7">
        <f>VLOOKUP(A569,'base ZITRHR129'!$G$1:$H$628,2,0)</f>
        <v>30041245</v>
      </c>
      <c r="AO569" s="7" t="b">
        <f>AN569=R569</f>
        <v>1</v>
      </c>
      <c r="AP569" s="7">
        <f>VLOOKUP(A569,'base ZITRHR129'!G63:W689,17,0)</f>
        <v>1645.05</v>
      </c>
      <c r="AQ569" s="7" t="b">
        <f>AP569=AK569</f>
        <v>1</v>
      </c>
      <c r="AR569" s="69"/>
    </row>
    <row r="570" spans="1:44" s="7" customFormat="1" ht="12" x14ac:dyDescent="0.2">
      <c r="A570" s="7">
        <v>10079649</v>
      </c>
      <c r="B570" s="8" t="s">
        <v>592</v>
      </c>
      <c r="C570" s="8" t="s">
        <v>701</v>
      </c>
      <c r="D570" s="8" t="s">
        <v>717</v>
      </c>
      <c r="E570" s="8" t="s">
        <v>742</v>
      </c>
      <c r="F570" s="8" t="s">
        <v>1406</v>
      </c>
      <c r="G570" s="8" t="s">
        <v>769</v>
      </c>
      <c r="H570" s="9">
        <v>15</v>
      </c>
      <c r="I570" s="8" t="s">
        <v>668</v>
      </c>
      <c r="J570" s="8" t="s">
        <v>1341</v>
      </c>
      <c r="K570" s="8" t="s">
        <v>16</v>
      </c>
      <c r="L570" s="8" t="s">
        <v>17</v>
      </c>
      <c r="M570" s="10" t="s">
        <v>701</v>
      </c>
      <c r="N570" s="10" t="s">
        <v>717</v>
      </c>
      <c r="O570" s="10" t="s">
        <v>668</v>
      </c>
      <c r="P570" s="1"/>
      <c r="Q570" s="11" t="b">
        <f>O570=P570</f>
        <v>0</v>
      </c>
      <c r="R570" s="30">
        <v>30041246</v>
      </c>
      <c r="S570" s="1"/>
      <c r="T570" s="11" t="b">
        <f>R570=S570</f>
        <v>0</v>
      </c>
      <c r="U570" s="10" t="s">
        <v>16</v>
      </c>
      <c r="V570" s="1"/>
      <c r="W570" s="11" t="b">
        <f>U570=V570</f>
        <v>0</v>
      </c>
      <c r="X570" s="13" t="s">
        <v>15</v>
      </c>
      <c r="Y570" s="1"/>
      <c r="Z570" s="1"/>
      <c r="AA570" s="60">
        <v>22001389</v>
      </c>
      <c r="AB570" s="10" t="s">
        <v>1409</v>
      </c>
      <c r="AD570" s="11" t="b">
        <f>AB570=AC570</f>
        <v>0</v>
      </c>
      <c r="AE570" s="10" t="s">
        <v>769</v>
      </c>
      <c r="AF570" s="1"/>
      <c r="AG570" s="11" t="b">
        <f>AE570=AF570</f>
        <v>0</v>
      </c>
      <c r="AH570" s="1">
        <v>15</v>
      </c>
      <c r="AI570" s="1">
        <v>8.59</v>
      </c>
      <c r="AJ570" s="16">
        <f>AI570*220/30*30.4375</f>
        <v>1917.3595833333334</v>
      </c>
      <c r="AK570" s="18">
        <v>1917.36</v>
      </c>
      <c r="AL570" s="71" t="s">
        <v>668</v>
      </c>
      <c r="AM570" s="19" t="b">
        <f>AL570=O570</f>
        <v>1</v>
      </c>
      <c r="AN570" s="7">
        <f>VLOOKUP(A570,'base ZITRHR129'!$G$1:$H$628,2,0)</f>
        <v>30041246</v>
      </c>
      <c r="AO570" s="7" t="b">
        <f>AN570=R570</f>
        <v>1</v>
      </c>
      <c r="AP570" s="7">
        <f>VLOOKUP(A570,'base ZITRHR129'!G62:W688,17,0)</f>
        <v>1917.36</v>
      </c>
      <c r="AQ570" s="7" t="b">
        <f>AP570=AK570</f>
        <v>1</v>
      </c>
      <c r="AR570" s="69"/>
    </row>
    <row r="571" spans="1:44" s="7" customFormat="1" ht="12" x14ac:dyDescent="0.2">
      <c r="A571" s="7">
        <v>10079653</v>
      </c>
      <c r="B571" s="8" t="s">
        <v>593</v>
      </c>
      <c r="C571" s="8" t="s">
        <v>689</v>
      </c>
      <c r="D571" s="8" t="s">
        <v>717</v>
      </c>
      <c r="E571" s="8" t="s">
        <v>744</v>
      </c>
      <c r="F571" s="8" t="s">
        <v>1406</v>
      </c>
      <c r="G571" s="8" t="s">
        <v>771</v>
      </c>
      <c r="H571" s="9">
        <v>14</v>
      </c>
      <c r="I571" s="8" t="s">
        <v>662</v>
      </c>
      <c r="J571" s="8" t="s">
        <v>1342</v>
      </c>
      <c r="K571" s="8" t="s">
        <v>16</v>
      </c>
      <c r="L571" s="8" t="s">
        <v>17</v>
      </c>
      <c r="M571" s="10" t="s">
        <v>689</v>
      </c>
      <c r="N571" s="10" t="s">
        <v>717</v>
      </c>
      <c r="O571" s="10" t="s">
        <v>662</v>
      </c>
      <c r="P571" s="1"/>
      <c r="Q571" s="11" t="b">
        <f>O571=P571</f>
        <v>0</v>
      </c>
      <c r="R571" s="30">
        <v>30041247</v>
      </c>
      <c r="S571" s="1"/>
      <c r="T571" s="11" t="b">
        <f>R571=S571</f>
        <v>0</v>
      </c>
      <c r="U571" s="10" t="s">
        <v>16</v>
      </c>
      <c r="V571" s="1"/>
      <c r="W571" s="11" t="b">
        <f>U571=V571</f>
        <v>0</v>
      </c>
      <c r="X571" s="13" t="s">
        <v>15</v>
      </c>
      <c r="Y571" s="1"/>
      <c r="Z571" s="1"/>
      <c r="AA571" s="10">
        <v>22002677</v>
      </c>
      <c r="AB571" s="10" t="s">
        <v>1409</v>
      </c>
      <c r="AD571" s="11" t="b">
        <f>AB571=AC571</f>
        <v>0</v>
      </c>
      <c r="AE571" s="10" t="s">
        <v>771</v>
      </c>
      <c r="AF571" s="1"/>
      <c r="AG571" s="11" t="b">
        <f>AE571=AF571</f>
        <v>0</v>
      </c>
      <c r="AH571" s="1">
        <v>14</v>
      </c>
      <c r="AI571" s="1">
        <v>8.59</v>
      </c>
      <c r="AJ571" s="16">
        <f>AI571*220/30*30.4375</f>
        <v>1917.3595833333334</v>
      </c>
      <c r="AK571" s="18">
        <v>1917.36</v>
      </c>
      <c r="AL571" s="71" t="s">
        <v>662</v>
      </c>
      <c r="AM571" s="19" t="b">
        <f>AL571=O571</f>
        <v>1</v>
      </c>
      <c r="AN571" s="7">
        <f>VLOOKUP(A571,'base ZITRHR129'!$G$1:$H$628,2,0)</f>
        <v>30041247</v>
      </c>
      <c r="AO571" s="7" t="b">
        <f>AN571=R571</f>
        <v>1</v>
      </c>
      <c r="AP571" s="7">
        <f>VLOOKUP(A571,'base ZITRHR129'!G61:W687,17,0)</f>
        <v>1917.36</v>
      </c>
      <c r="AQ571" s="7" t="b">
        <f>AP571=AK571</f>
        <v>1</v>
      </c>
      <c r="AR571" s="69"/>
    </row>
    <row r="572" spans="1:44" s="7" customFormat="1" ht="12" x14ac:dyDescent="0.2">
      <c r="A572" s="7">
        <v>10079728</v>
      </c>
      <c r="B572" s="8" t="s">
        <v>594</v>
      </c>
      <c r="C572" s="8" t="s">
        <v>681</v>
      </c>
      <c r="D572" s="8" t="s">
        <v>717</v>
      </c>
      <c r="E572" s="8" t="s">
        <v>748</v>
      </c>
      <c r="F572" s="8" t="s">
        <v>1406</v>
      </c>
      <c r="G572" s="8" t="s">
        <v>774</v>
      </c>
      <c r="H572" s="9">
        <v>15</v>
      </c>
      <c r="I572" s="8" t="s">
        <v>653</v>
      </c>
      <c r="J572" s="8" t="s">
        <v>1343</v>
      </c>
      <c r="K572" s="8" t="s">
        <v>16</v>
      </c>
      <c r="L572" s="8" t="s">
        <v>17</v>
      </c>
      <c r="M572" s="10" t="s">
        <v>681</v>
      </c>
      <c r="N572" s="10" t="s">
        <v>717</v>
      </c>
      <c r="O572" s="10" t="s">
        <v>653</v>
      </c>
      <c r="P572" s="1"/>
      <c r="Q572" s="11" t="b">
        <f>O572=P572</f>
        <v>0</v>
      </c>
      <c r="R572" s="30">
        <v>30041248</v>
      </c>
      <c r="S572" s="1"/>
      <c r="T572" s="11" t="b">
        <f>R572=S572</f>
        <v>0</v>
      </c>
      <c r="U572" s="10" t="s">
        <v>16</v>
      </c>
      <c r="V572" s="1"/>
      <c r="W572" s="11" t="b">
        <f>U572=V572</f>
        <v>0</v>
      </c>
      <c r="X572" s="13" t="s">
        <v>15</v>
      </c>
      <c r="Y572" s="1"/>
      <c r="Z572" s="1"/>
      <c r="AA572" s="10">
        <v>22003021</v>
      </c>
      <c r="AB572" s="10" t="s">
        <v>1409</v>
      </c>
      <c r="AD572" s="11" t="b">
        <f>AB572=AC572</f>
        <v>0</v>
      </c>
      <c r="AE572" s="10" t="s">
        <v>774</v>
      </c>
      <c r="AF572" s="1"/>
      <c r="AG572" s="11" t="b">
        <f>AE572=AF572</f>
        <v>0</v>
      </c>
      <c r="AH572" s="1">
        <v>15</v>
      </c>
      <c r="AI572" s="1">
        <v>9.49</v>
      </c>
      <c r="AJ572" s="16">
        <f>AI572*220/30*30.4375</f>
        <v>2118.2470833333332</v>
      </c>
      <c r="AK572" s="18">
        <v>2118.25</v>
      </c>
      <c r="AL572" s="71" t="s">
        <v>653</v>
      </c>
      <c r="AM572" s="19" t="b">
        <f>AL572=O572</f>
        <v>1</v>
      </c>
      <c r="AN572" s="7">
        <f>VLOOKUP(A572,'base ZITRHR129'!$G$1:$H$628,2,0)</f>
        <v>30041248</v>
      </c>
      <c r="AO572" s="7" t="b">
        <f>AN572=R572</f>
        <v>1</v>
      </c>
      <c r="AP572" s="7">
        <f>VLOOKUP(A572,'base ZITRHR129'!G60:W686,17,0)</f>
        <v>2118.25</v>
      </c>
      <c r="AQ572" s="7" t="b">
        <f>AP572=AK572</f>
        <v>1</v>
      </c>
      <c r="AR572" s="69"/>
    </row>
    <row r="573" spans="1:44" s="7" customFormat="1" ht="12" x14ac:dyDescent="0.2">
      <c r="A573" s="7">
        <v>10079876</v>
      </c>
      <c r="B573" s="8" t="s">
        <v>595</v>
      </c>
      <c r="C573" s="8" t="s">
        <v>701</v>
      </c>
      <c r="D573" s="8" t="s">
        <v>717</v>
      </c>
      <c r="E573" s="8" t="s">
        <v>742</v>
      </c>
      <c r="F573" s="8" t="s">
        <v>1406</v>
      </c>
      <c r="G573" s="8" t="s">
        <v>769</v>
      </c>
      <c r="H573" s="9">
        <v>15</v>
      </c>
      <c r="I573" s="8" t="s">
        <v>668</v>
      </c>
      <c r="J573" s="8" t="s">
        <v>1344</v>
      </c>
      <c r="K573" s="8" t="s">
        <v>16</v>
      </c>
      <c r="L573" s="8" t="s">
        <v>17</v>
      </c>
      <c r="M573" s="10" t="s">
        <v>701</v>
      </c>
      <c r="N573" s="10" t="s">
        <v>717</v>
      </c>
      <c r="O573" s="10" t="s">
        <v>668</v>
      </c>
      <c r="P573" s="1"/>
      <c r="Q573" s="11" t="b">
        <f>O573=P573</f>
        <v>0</v>
      </c>
      <c r="R573" s="30">
        <v>30041249</v>
      </c>
      <c r="S573" s="1"/>
      <c r="T573" s="11" t="b">
        <f>R573=S573</f>
        <v>0</v>
      </c>
      <c r="U573" s="10" t="s">
        <v>16</v>
      </c>
      <c r="V573" s="1"/>
      <c r="W573" s="11" t="b">
        <f>U573=V573</f>
        <v>0</v>
      </c>
      <c r="X573" s="13" t="s">
        <v>15</v>
      </c>
      <c r="Y573" s="1"/>
      <c r="Z573" s="1"/>
      <c r="AA573" s="60">
        <v>22001389</v>
      </c>
      <c r="AB573" s="10" t="s">
        <v>1409</v>
      </c>
      <c r="AD573" s="11" t="b">
        <f>AB573=AC573</f>
        <v>0</v>
      </c>
      <c r="AE573" s="10" t="s">
        <v>769</v>
      </c>
      <c r="AF573" s="1"/>
      <c r="AG573" s="11" t="b">
        <f>AE573=AF573</f>
        <v>0</v>
      </c>
      <c r="AH573" s="1">
        <v>15</v>
      </c>
      <c r="AI573" s="1">
        <v>8.59</v>
      </c>
      <c r="AJ573" s="16">
        <f>AI573*220/30*30.4375</f>
        <v>1917.3595833333334</v>
      </c>
      <c r="AK573" s="18">
        <v>1917.36</v>
      </c>
      <c r="AL573" s="71" t="s">
        <v>668</v>
      </c>
      <c r="AM573" s="19" t="b">
        <f>AL573=O573</f>
        <v>1</v>
      </c>
      <c r="AN573" s="7">
        <f>VLOOKUP(A573,'base ZITRHR129'!$G$1:$H$628,2,0)</f>
        <v>30041249</v>
      </c>
      <c r="AO573" s="7" t="b">
        <f>AN573=R573</f>
        <v>1</v>
      </c>
      <c r="AP573" s="7">
        <f>VLOOKUP(A573,'base ZITRHR129'!G59:W685,17,0)</f>
        <v>1917.36</v>
      </c>
      <c r="AQ573" s="7" t="b">
        <f>AP573=AK573</f>
        <v>1</v>
      </c>
      <c r="AR573" s="69"/>
    </row>
    <row r="574" spans="1:44" s="7" customFormat="1" ht="12" x14ac:dyDescent="0.2">
      <c r="A574" s="20">
        <v>10079880</v>
      </c>
      <c r="B574" s="21" t="s">
        <v>596</v>
      </c>
      <c r="C574" s="21" t="s">
        <v>693</v>
      </c>
      <c r="D574" s="21" t="s">
        <v>717</v>
      </c>
      <c r="E574" s="21" t="s">
        <v>728</v>
      </c>
      <c r="F574" s="21" t="s">
        <v>1406</v>
      </c>
      <c r="G574" s="21" t="s">
        <v>757</v>
      </c>
      <c r="H574" s="22">
        <v>13</v>
      </c>
      <c r="I574" s="21" t="s">
        <v>666</v>
      </c>
      <c r="J574" s="21" t="s">
        <v>1345</v>
      </c>
      <c r="K574" s="21" t="s">
        <v>16</v>
      </c>
      <c r="L574" s="21" t="s">
        <v>17</v>
      </c>
      <c r="M574" s="21" t="s">
        <v>693</v>
      </c>
      <c r="N574" s="21" t="s">
        <v>717</v>
      </c>
      <c r="O574" s="21" t="s">
        <v>666</v>
      </c>
      <c r="P574" s="23"/>
      <c r="Q574" s="24" t="b">
        <f>O574=P574</f>
        <v>0</v>
      </c>
      <c r="R574" s="31">
        <v>30041250</v>
      </c>
      <c r="S574" s="23"/>
      <c r="T574" s="24" t="b">
        <f>R574=S574</f>
        <v>0</v>
      </c>
      <c r="U574" s="21" t="s">
        <v>16</v>
      </c>
      <c r="V574" s="23"/>
      <c r="W574" s="24" t="b">
        <f>U574=V574</f>
        <v>0</v>
      </c>
      <c r="X574" s="25" t="s">
        <v>15</v>
      </c>
      <c r="Y574" s="23"/>
      <c r="Z574" s="23"/>
      <c r="AA574" s="64">
        <v>22000878</v>
      </c>
      <c r="AB574" s="21" t="s">
        <v>1409</v>
      </c>
      <c r="AC574" s="20"/>
      <c r="AD574" s="24" t="b">
        <f>AB574=AC574</f>
        <v>0</v>
      </c>
      <c r="AE574" s="21" t="s">
        <v>757</v>
      </c>
      <c r="AF574" s="23"/>
      <c r="AG574" s="24" t="b">
        <f>AE574=AF574</f>
        <v>0</v>
      </c>
      <c r="AH574" s="23">
        <v>13</v>
      </c>
      <c r="AI574" s="23">
        <v>7.37</v>
      </c>
      <c r="AJ574" s="26">
        <f>AI574*220/30*30.4375</f>
        <v>1645.0454166666666</v>
      </c>
      <c r="AK574" s="27">
        <v>1645.05</v>
      </c>
      <c r="AL574" s="73" t="s">
        <v>666</v>
      </c>
      <c r="AM574" s="28" t="b">
        <f>AL574=O574</f>
        <v>1</v>
      </c>
      <c r="AN574" s="20">
        <f>VLOOKUP(A574,'base ZITRHR129'!$G$1:$H$628,2,0)</f>
        <v>30041250</v>
      </c>
      <c r="AO574" s="20" t="b">
        <f>AN574=R574</f>
        <v>1</v>
      </c>
      <c r="AP574" s="20">
        <f>VLOOKUP(A574,'base ZITRHR129'!G58:W684,17,0)</f>
        <v>7.37</v>
      </c>
      <c r="AQ574" s="20" t="b">
        <f>AP574=AK574</f>
        <v>0</v>
      </c>
      <c r="AR574" s="69" t="s">
        <v>1516</v>
      </c>
    </row>
    <row r="575" spans="1:44" s="7" customFormat="1" ht="12" x14ac:dyDescent="0.2">
      <c r="A575" s="7">
        <v>10079883</v>
      </c>
      <c r="B575" s="8" t="s">
        <v>597</v>
      </c>
      <c r="C575" s="8" t="s">
        <v>680</v>
      </c>
      <c r="D575" s="8" t="s">
        <v>717</v>
      </c>
      <c r="E575" s="8" t="s">
        <v>728</v>
      </c>
      <c r="F575" s="8" t="s">
        <v>1406</v>
      </c>
      <c r="G575" s="8" t="s">
        <v>757</v>
      </c>
      <c r="H575" s="9">
        <v>13</v>
      </c>
      <c r="I575" s="8" t="s">
        <v>654</v>
      </c>
      <c r="J575" s="8" t="s">
        <v>1346</v>
      </c>
      <c r="K575" s="8" t="s">
        <v>16</v>
      </c>
      <c r="L575" s="8" t="s">
        <v>17</v>
      </c>
      <c r="M575" s="10" t="s">
        <v>680</v>
      </c>
      <c r="N575" s="10" t="s">
        <v>717</v>
      </c>
      <c r="O575" s="10" t="s">
        <v>654</v>
      </c>
      <c r="P575" s="1"/>
      <c r="Q575" s="11" t="b">
        <f>O575=P575</f>
        <v>0</v>
      </c>
      <c r="R575" s="30">
        <v>30041251</v>
      </c>
      <c r="S575" s="1"/>
      <c r="T575" s="11" t="b">
        <f>R575=S575</f>
        <v>0</v>
      </c>
      <c r="U575" s="10" t="s">
        <v>16</v>
      </c>
      <c r="V575" s="1"/>
      <c r="W575" s="11" t="b">
        <f>U575=V575</f>
        <v>0</v>
      </c>
      <c r="X575" s="13" t="s">
        <v>15</v>
      </c>
      <c r="Y575" s="1"/>
      <c r="Z575" s="1"/>
      <c r="AA575" s="60">
        <v>22000878</v>
      </c>
      <c r="AB575" s="10" t="s">
        <v>1409</v>
      </c>
      <c r="AD575" s="11" t="b">
        <f>AB575=AC575</f>
        <v>0</v>
      </c>
      <c r="AE575" s="10" t="s">
        <v>757</v>
      </c>
      <c r="AF575" s="1"/>
      <c r="AG575" s="11" t="b">
        <f>AE575=AF575</f>
        <v>0</v>
      </c>
      <c r="AH575" s="1">
        <v>13</v>
      </c>
      <c r="AI575" s="1">
        <v>7.37</v>
      </c>
      <c r="AJ575" s="16">
        <f>AI575*220/30*30.4375</f>
        <v>1645.0454166666666</v>
      </c>
      <c r="AK575" s="18">
        <v>1645.05</v>
      </c>
      <c r="AL575" s="71" t="s">
        <v>654</v>
      </c>
      <c r="AM575" s="19" t="b">
        <f>AL575=O575</f>
        <v>1</v>
      </c>
      <c r="AN575" s="7">
        <f>VLOOKUP(A575,'base ZITRHR129'!$G$1:$H$628,2,0)</f>
        <v>30041251</v>
      </c>
      <c r="AO575" s="7" t="b">
        <f>AN575=R575</f>
        <v>1</v>
      </c>
      <c r="AP575" s="7">
        <f>VLOOKUP(A575,'base ZITRHR129'!G57:W683,17,0)</f>
        <v>1645.05</v>
      </c>
      <c r="AQ575" s="7" t="b">
        <f>AP575=AK575</f>
        <v>1</v>
      </c>
      <c r="AR575" s="69"/>
    </row>
    <row r="576" spans="1:44" s="7" customFormat="1" ht="12" x14ac:dyDescent="0.2">
      <c r="A576" s="7">
        <v>10079885</v>
      </c>
      <c r="B576" s="8" t="s">
        <v>598</v>
      </c>
      <c r="C576" s="8" t="s">
        <v>695</v>
      </c>
      <c r="D576" s="8" t="s">
        <v>717</v>
      </c>
      <c r="E576" s="8" t="s">
        <v>728</v>
      </c>
      <c r="F576" s="8" t="s">
        <v>1406</v>
      </c>
      <c r="G576" s="8" t="s">
        <v>757</v>
      </c>
      <c r="H576" s="9">
        <v>13</v>
      </c>
      <c r="I576" s="8" t="s">
        <v>660</v>
      </c>
      <c r="J576" s="8" t="s">
        <v>1347</v>
      </c>
      <c r="K576" s="8" t="s">
        <v>16</v>
      </c>
      <c r="L576" s="8" t="s">
        <v>17</v>
      </c>
      <c r="M576" s="10" t="s">
        <v>695</v>
      </c>
      <c r="N576" s="10" t="s">
        <v>717</v>
      </c>
      <c r="O576" s="10" t="s">
        <v>660</v>
      </c>
      <c r="P576" s="1"/>
      <c r="Q576" s="11" t="b">
        <f>O576=P576</f>
        <v>0</v>
      </c>
      <c r="R576" s="30">
        <v>30041252</v>
      </c>
      <c r="S576" s="1"/>
      <c r="T576" s="11" t="b">
        <f>R576=S576</f>
        <v>0</v>
      </c>
      <c r="U576" s="10" t="s">
        <v>16</v>
      </c>
      <c r="V576" s="1"/>
      <c r="W576" s="11" t="b">
        <f>U576=V576</f>
        <v>0</v>
      </c>
      <c r="X576" s="13" t="s">
        <v>15</v>
      </c>
      <c r="Y576" s="1"/>
      <c r="Z576" s="1"/>
      <c r="AA576" s="60">
        <v>22000878</v>
      </c>
      <c r="AB576" s="10" t="s">
        <v>1409</v>
      </c>
      <c r="AD576" s="11" t="b">
        <f>AB576=AC576</f>
        <v>0</v>
      </c>
      <c r="AE576" s="10" t="s">
        <v>757</v>
      </c>
      <c r="AF576" s="1"/>
      <c r="AG576" s="11" t="b">
        <f>AE576=AF576</f>
        <v>0</v>
      </c>
      <c r="AH576" s="1">
        <v>13</v>
      </c>
      <c r="AI576" s="1">
        <v>7.37</v>
      </c>
      <c r="AJ576" s="16">
        <f>AI576*220/30*30.4375</f>
        <v>1645.0454166666666</v>
      </c>
      <c r="AK576" s="18">
        <v>1645.05</v>
      </c>
      <c r="AL576" s="71" t="s">
        <v>660</v>
      </c>
      <c r="AM576" s="19" t="b">
        <f>AL576=O576</f>
        <v>1</v>
      </c>
      <c r="AN576" s="7">
        <f>VLOOKUP(A576,'base ZITRHR129'!$G$1:$H$628,2,0)</f>
        <v>30041252</v>
      </c>
      <c r="AO576" s="7" t="b">
        <f>AN576=R576</f>
        <v>1</v>
      </c>
      <c r="AP576" s="7">
        <f>VLOOKUP(A576,'base ZITRHR129'!G56:W682,17,0)</f>
        <v>1645.05</v>
      </c>
      <c r="AQ576" s="7" t="b">
        <f>AP576=AK576</f>
        <v>1</v>
      </c>
      <c r="AR576" s="69"/>
    </row>
    <row r="577" spans="1:44" s="7" customFormat="1" ht="12" x14ac:dyDescent="0.2">
      <c r="A577" s="7">
        <v>10079887</v>
      </c>
      <c r="B577" s="8" t="s">
        <v>599</v>
      </c>
      <c r="C577" s="8" t="s">
        <v>687</v>
      </c>
      <c r="D577" s="8" t="s">
        <v>717</v>
      </c>
      <c r="E577" s="8" t="s">
        <v>728</v>
      </c>
      <c r="F577" s="8" t="s">
        <v>1406</v>
      </c>
      <c r="G577" s="8" t="s">
        <v>757</v>
      </c>
      <c r="H577" s="9">
        <v>13</v>
      </c>
      <c r="I577" s="8" t="s">
        <v>660</v>
      </c>
      <c r="J577" s="8" t="s">
        <v>1348</v>
      </c>
      <c r="K577" s="8" t="s">
        <v>16</v>
      </c>
      <c r="L577" s="8" t="s">
        <v>17</v>
      </c>
      <c r="M577" s="10" t="s">
        <v>687</v>
      </c>
      <c r="N577" s="10" t="s">
        <v>717</v>
      </c>
      <c r="O577" s="10" t="s">
        <v>660</v>
      </c>
      <c r="P577" s="1"/>
      <c r="Q577" s="11" t="b">
        <f>O577=P577</f>
        <v>0</v>
      </c>
      <c r="R577" s="30">
        <v>30041253</v>
      </c>
      <c r="S577" s="1"/>
      <c r="T577" s="11" t="b">
        <f>R577=S577</f>
        <v>0</v>
      </c>
      <c r="U577" s="10" t="s">
        <v>16</v>
      </c>
      <c r="V577" s="1"/>
      <c r="W577" s="11" t="b">
        <f>U577=V577</f>
        <v>0</v>
      </c>
      <c r="X577" s="13" t="s">
        <v>15</v>
      </c>
      <c r="Y577" s="1"/>
      <c r="Z577" s="1"/>
      <c r="AA577" s="60">
        <v>22000878</v>
      </c>
      <c r="AB577" s="10" t="s">
        <v>1409</v>
      </c>
      <c r="AD577" s="11" t="b">
        <f>AB577=AC577</f>
        <v>0</v>
      </c>
      <c r="AE577" s="10" t="s">
        <v>757</v>
      </c>
      <c r="AF577" s="1"/>
      <c r="AG577" s="11" t="b">
        <f>AE577=AF577</f>
        <v>0</v>
      </c>
      <c r="AH577" s="1">
        <v>13</v>
      </c>
      <c r="AI577" s="1">
        <v>7.37</v>
      </c>
      <c r="AJ577" s="16">
        <f>AI577*220/30*30.4375</f>
        <v>1645.0454166666666</v>
      </c>
      <c r="AK577" s="18">
        <v>1645.05</v>
      </c>
      <c r="AL577" s="71" t="s">
        <v>660</v>
      </c>
      <c r="AM577" s="19" t="b">
        <f>AL577=O577</f>
        <v>1</v>
      </c>
      <c r="AN577" s="7">
        <f>VLOOKUP(A577,'base ZITRHR129'!$G$1:$H$628,2,0)</f>
        <v>30041253</v>
      </c>
      <c r="AO577" s="7" t="b">
        <f>AN577=R577</f>
        <v>1</v>
      </c>
      <c r="AP577" s="7">
        <f>VLOOKUP(A577,'base ZITRHR129'!G55:W681,17,0)</f>
        <v>1645.05</v>
      </c>
      <c r="AQ577" s="7" t="b">
        <f>AP577=AK577</f>
        <v>1</v>
      </c>
      <c r="AR577" s="69"/>
    </row>
    <row r="578" spans="1:44" s="7" customFormat="1" ht="12" x14ac:dyDescent="0.2">
      <c r="A578" s="7">
        <v>10079894</v>
      </c>
      <c r="B578" s="8" t="s">
        <v>600</v>
      </c>
      <c r="C578" s="8" t="s">
        <v>706</v>
      </c>
      <c r="D578" s="8" t="s">
        <v>717</v>
      </c>
      <c r="E578" s="8" t="s">
        <v>728</v>
      </c>
      <c r="F578" s="8" t="s">
        <v>1406</v>
      </c>
      <c r="G578" s="8" t="s">
        <v>757</v>
      </c>
      <c r="H578" s="9">
        <v>13</v>
      </c>
      <c r="I578" s="8" t="s">
        <v>660</v>
      </c>
      <c r="J578" s="8" t="s">
        <v>1349</v>
      </c>
      <c r="K578" s="8" t="s">
        <v>16</v>
      </c>
      <c r="L578" s="8" t="s">
        <v>17</v>
      </c>
      <c r="M578" s="10" t="s">
        <v>706</v>
      </c>
      <c r="N578" s="10" t="s">
        <v>717</v>
      </c>
      <c r="O578" s="10" t="s">
        <v>660</v>
      </c>
      <c r="P578" s="1"/>
      <c r="Q578" s="11" t="b">
        <f>O578=P578</f>
        <v>0</v>
      </c>
      <c r="R578" s="30">
        <v>30041254</v>
      </c>
      <c r="S578" s="1"/>
      <c r="T578" s="11" t="b">
        <f>R578=S578</f>
        <v>0</v>
      </c>
      <c r="U578" s="10" t="s">
        <v>16</v>
      </c>
      <c r="V578" s="1"/>
      <c r="W578" s="11" t="b">
        <f>U578=V578</f>
        <v>0</v>
      </c>
      <c r="X578" s="13" t="s">
        <v>15</v>
      </c>
      <c r="Y578" s="1"/>
      <c r="Z578" s="1"/>
      <c r="AA578" s="60">
        <v>22000878</v>
      </c>
      <c r="AB578" s="10" t="s">
        <v>1409</v>
      </c>
      <c r="AD578" s="11" t="b">
        <f>AB578=AC578</f>
        <v>0</v>
      </c>
      <c r="AE578" s="10" t="s">
        <v>757</v>
      </c>
      <c r="AF578" s="1"/>
      <c r="AG578" s="11" t="b">
        <f>AE578=AF578</f>
        <v>0</v>
      </c>
      <c r="AH578" s="1">
        <v>13</v>
      </c>
      <c r="AI578" s="1">
        <v>7.37</v>
      </c>
      <c r="AJ578" s="16">
        <f>AI578*220/30*30.4375</f>
        <v>1645.0454166666666</v>
      </c>
      <c r="AK578" s="18">
        <v>1645.05</v>
      </c>
      <c r="AL578" s="71" t="s">
        <v>660</v>
      </c>
      <c r="AM578" s="19" t="b">
        <f>AL578=O578</f>
        <v>1</v>
      </c>
      <c r="AN578" s="7">
        <f>VLOOKUP(A578,'base ZITRHR129'!$G$1:$H$628,2,0)</f>
        <v>30041254</v>
      </c>
      <c r="AO578" s="7" t="b">
        <f>AN578=R578</f>
        <v>1</v>
      </c>
      <c r="AP578" s="7">
        <f>VLOOKUP(A578,'base ZITRHR129'!G54:W680,17,0)</f>
        <v>1645.05</v>
      </c>
      <c r="AQ578" s="7" t="b">
        <f>AP578=AK578</f>
        <v>1</v>
      </c>
      <c r="AR578" s="69"/>
    </row>
    <row r="579" spans="1:44" s="7" customFormat="1" ht="12" x14ac:dyDescent="0.2">
      <c r="A579" s="7">
        <v>10079995</v>
      </c>
      <c r="B579" s="8" t="s">
        <v>601</v>
      </c>
      <c r="C579" s="8" t="s">
        <v>691</v>
      </c>
      <c r="D579" s="8" t="s">
        <v>717</v>
      </c>
      <c r="E579" s="8" t="s">
        <v>728</v>
      </c>
      <c r="F579" s="8" t="s">
        <v>1406</v>
      </c>
      <c r="G579" s="8" t="s">
        <v>757</v>
      </c>
      <c r="H579" s="9">
        <v>13</v>
      </c>
      <c r="I579" s="8" t="s">
        <v>664</v>
      </c>
      <c r="J579" s="8" t="s">
        <v>1350</v>
      </c>
      <c r="K579" s="8" t="s">
        <v>16</v>
      </c>
      <c r="L579" s="8" t="s">
        <v>17</v>
      </c>
      <c r="M579" s="10" t="s">
        <v>691</v>
      </c>
      <c r="N579" s="10" t="s">
        <v>717</v>
      </c>
      <c r="O579" s="10" t="s">
        <v>664</v>
      </c>
      <c r="P579" s="1"/>
      <c r="Q579" s="11" t="b">
        <f>O579=P579</f>
        <v>0</v>
      </c>
      <c r="R579" s="30">
        <v>30041255</v>
      </c>
      <c r="S579" s="1"/>
      <c r="T579" s="11" t="b">
        <f>R579=S579</f>
        <v>0</v>
      </c>
      <c r="U579" s="10" t="s">
        <v>16</v>
      </c>
      <c r="V579" s="1"/>
      <c r="W579" s="11" t="b">
        <f>U579=V579</f>
        <v>0</v>
      </c>
      <c r="X579" s="13" t="s">
        <v>15</v>
      </c>
      <c r="Y579" s="1"/>
      <c r="Z579" s="1"/>
      <c r="AA579" s="60">
        <v>22000878</v>
      </c>
      <c r="AB579" s="10" t="s">
        <v>1409</v>
      </c>
      <c r="AD579" s="11" t="b">
        <f>AB579=AC579</f>
        <v>0</v>
      </c>
      <c r="AE579" s="10" t="s">
        <v>757</v>
      </c>
      <c r="AF579" s="1"/>
      <c r="AG579" s="11" t="b">
        <f>AE579=AF579</f>
        <v>0</v>
      </c>
      <c r="AH579" s="1">
        <v>13</v>
      </c>
      <c r="AI579" s="1">
        <v>7.37</v>
      </c>
      <c r="AJ579" s="16">
        <f>AI579*220/30*30.4375</f>
        <v>1645.0454166666666</v>
      </c>
      <c r="AK579" s="18">
        <v>1645.05</v>
      </c>
      <c r="AL579" s="71" t="s">
        <v>664</v>
      </c>
      <c r="AM579" s="19" t="b">
        <f>AL579=O579</f>
        <v>1</v>
      </c>
      <c r="AN579" s="7">
        <f>VLOOKUP(A579,'base ZITRHR129'!$G$1:$H$628,2,0)</f>
        <v>30041255</v>
      </c>
      <c r="AO579" s="7" t="b">
        <f>AN579=R579</f>
        <v>1</v>
      </c>
      <c r="AP579" s="7">
        <f>VLOOKUP(A579,'base ZITRHR129'!G53:W679,17,0)</f>
        <v>1645.05</v>
      </c>
      <c r="AQ579" s="7" t="b">
        <f>AP579=AK579</f>
        <v>1</v>
      </c>
      <c r="AR579" s="69"/>
    </row>
    <row r="580" spans="1:44" s="7" customFormat="1" ht="12" x14ac:dyDescent="0.2">
      <c r="A580" s="7">
        <v>10080118</v>
      </c>
      <c r="B580" s="8" t="s">
        <v>602</v>
      </c>
      <c r="C580" s="8" t="s">
        <v>713</v>
      </c>
      <c r="D580" s="8" t="s">
        <v>717</v>
      </c>
      <c r="E580" s="8" t="s">
        <v>739</v>
      </c>
      <c r="F580" s="8" t="s">
        <v>1406</v>
      </c>
      <c r="G580" s="8" t="s">
        <v>766</v>
      </c>
      <c r="H580" s="9">
        <v>14</v>
      </c>
      <c r="I580" s="8" t="s">
        <v>659</v>
      </c>
      <c r="J580" s="8" t="s">
        <v>1351</v>
      </c>
      <c r="K580" s="8" t="s">
        <v>6</v>
      </c>
      <c r="L580" s="8" t="s">
        <v>17</v>
      </c>
      <c r="M580" s="10" t="s">
        <v>713</v>
      </c>
      <c r="N580" s="10" t="s">
        <v>717</v>
      </c>
      <c r="O580" s="10" t="s">
        <v>659</v>
      </c>
      <c r="P580" s="1"/>
      <c r="Q580" s="11" t="b">
        <f>O580=P580</f>
        <v>0</v>
      </c>
      <c r="R580" s="30">
        <v>30041256</v>
      </c>
      <c r="S580" s="1"/>
      <c r="T580" s="11" t="b">
        <f>R580=S580</f>
        <v>0</v>
      </c>
      <c r="U580" s="10" t="s">
        <v>6</v>
      </c>
      <c r="V580" s="1"/>
      <c r="W580" s="11" t="b">
        <f>U580=V580</f>
        <v>0</v>
      </c>
      <c r="X580" s="13" t="s">
        <v>15</v>
      </c>
      <c r="Y580" s="1"/>
      <c r="Z580" s="1"/>
      <c r="AA580" s="59">
        <v>22001415</v>
      </c>
      <c r="AB580" s="10" t="s">
        <v>1409</v>
      </c>
      <c r="AD580" s="11" t="b">
        <f>AB580=AC580</f>
        <v>0</v>
      </c>
      <c r="AE580" s="10" t="s">
        <v>766</v>
      </c>
      <c r="AF580" s="1"/>
      <c r="AG580" s="11" t="b">
        <f>AE580=AF580</f>
        <v>0</v>
      </c>
      <c r="AH580" s="1">
        <v>14</v>
      </c>
      <c r="AI580" s="1">
        <v>7.37</v>
      </c>
      <c r="AJ580" s="16">
        <f>AI580*220/30*30.4375</f>
        <v>1645.0454166666666</v>
      </c>
      <c r="AK580" s="18">
        <v>1645.05</v>
      </c>
      <c r="AL580" s="71" t="s">
        <v>659</v>
      </c>
      <c r="AM580" s="19" t="b">
        <f>AL580=O580</f>
        <v>1</v>
      </c>
      <c r="AN580" s="7">
        <f>VLOOKUP(A580,'base ZITRHR129'!$G$1:$H$628,2,0)</f>
        <v>30041256</v>
      </c>
      <c r="AO580" s="7" t="b">
        <f>AN580=R580</f>
        <v>1</v>
      </c>
      <c r="AP580" s="7">
        <f>VLOOKUP(A580,'base ZITRHR129'!G52:W678,17,0)</f>
        <v>1645.05</v>
      </c>
      <c r="AQ580" s="7" t="b">
        <f>AP580=AK580</f>
        <v>1</v>
      </c>
      <c r="AR580" s="69"/>
    </row>
    <row r="581" spans="1:44" s="7" customFormat="1" ht="12" x14ac:dyDescent="0.2">
      <c r="A581" s="7">
        <v>10080120</v>
      </c>
      <c r="B581" s="8" t="s">
        <v>603</v>
      </c>
      <c r="C581" s="8" t="s">
        <v>691</v>
      </c>
      <c r="D581" s="8" t="s">
        <v>717</v>
      </c>
      <c r="E581" s="8" t="s">
        <v>728</v>
      </c>
      <c r="F581" s="8" t="s">
        <v>1406</v>
      </c>
      <c r="G581" s="8" t="s">
        <v>757</v>
      </c>
      <c r="H581" s="9">
        <v>13</v>
      </c>
      <c r="I581" s="8" t="s">
        <v>664</v>
      </c>
      <c r="J581" s="8" t="s">
        <v>1352</v>
      </c>
      <c r="K581" s="8" t="s">
        <v>16</v>
      </c>
      <c r="L581" s="8" t="s">
        <v>17</v>
      </c>
      <c r="M581" s="10" t="s">
        <v>691</v>
      </c>
      <c r="N581" s="10" t="s">
        <v>717</v>
      </c>
      <c r="O581" s="10" t="s">
        <v>664</v>
      </c>
      <c r="P581" s="1"/>
      <c r="Q581" s="11" t="b">
        <f>O581=P581</f>
        <v>0</v>
      </c>
      <c r="R581" s="30">
        <v>30041257</v>
      </c>
      <c r="S581" s="1"/>
      <c r="T581" s="11" t="b">
        <f>R581=S581</f>
        <v>0</v>
      </c>
      <c r="U581" s="10" t="s">
        <v>16</v>
      </c>
      <c r="V581" s="1"/>
      <c r="W581" s="11" t="b">
        <f>U581=V581</f>
        <v>0</v>
      </c>
      <c r="X581" s="13" t="s">
        <v>15</v>
      </c>
      <c r="Y581" s="1"/>
      <c r="Z581" s="1"/>
      <c r="AA581" s="60">
        <v>22000878</v>
      </c>
      <c r="AB581" s="10" t="s">
        <v>1409</v>
      </c>
      <c r="AD581" s="11" t="b">
        <f>AB581=AC581</f>
        <v>0</v>
      </c>
      <c r="AE581" s="10" t="s">
        <v>757</v>
      </c>
      <c r="AF581" s="1"/>
      <c r="AG581" s="11" t="b">
        <f>AE581=AF581</f>
        <v>0</v>
      </c>
      <c r="AH581" s="1">
        <v>13</v>
      </c>
      <c r="AI581" s="1">
        <v>7.37</v>
      </c>
      <c r="AJ581" s="16">
        <f>AI581*220/30*30.4375</f>
        <v>1645.0454166666666</v>
      </c>
      <c r="AK581" s="18">
        <v>1645.05</v>
      </c>
      <c r="AL581" s="71" t="s">
        <v>664</v>
      </c>
      <c r="AM581" s="19" t="b">
        <f>AL581=O581</f>
        <v>1</v>
      </c>
      <c r="AN581" s="7">
        <f>VLOOKUP(A581,'base ZITRHR129'!$G$1:$H$628,2,0)</f>
        <v>30041257</v>
      </c>
      <c r="AO581" s="7" t="b">
        <f>AN581=R581</f>
        <v>1</v>
      </c>
      <c r="AP581" s="7">
        <f>VLOOKUP(A581,'base ZITRHR129'!G51:W677,17,0)</f>
        <v>1645.05</v>
      </c>
      <c r="AQ581" s="7" t="b">
        <f>AP581=AK581</f>
        <v>1</v>
      </c>
      <c r="AR581" s="69"/>
    </row>
    <row r="582" spans="1:44" s="7" customFormat="1" ht="12" x14ac:dyDescent="0.2">
      <c r="A582" s="7">
        <v>10080124</v>
      </c>
      <c r="B582" s="8" t="s">
        <v>604</v>
      </c>
      <c r="C582" s="8" t="s">
        <v>679</v>
      </c>
      <c r="D582" s="8" t="s">
        <v>717</v>
      </c>
      <c r="E582" s="8" t="s">
        <v>728</v>
      </c>
      <c r="F582" s="8" t="s">
        <v>1406</v>
      </c>
      <c r="G582" s="8" t="s">
        <v>757</v>
      </c>
      <c r="H582" s="9">
        <v>13</v>
      </c>
      <c r="I582" s="8" t="s">
        <v>653</v>
      </c>
      <c r="J582" s="8" t="s">
        <v>1353</v>
      </c>
      <c r="K582" s="8" t="s">
        <v>16</v>
      </c>
      <c r="L582" s="8" t="s">
        <v>17</v>
      </c>
      <c r="M582" s="10" t="s">
        <v>679</v>
      </c>
      <c r="N582" s="10" t="s">
        <v>717</v>
      </c>
      <c r="O582" s="10" t="s">
        <v>653</v>
      </c>
      <c r="P582" s="1"/>
      <c r="Q582" s="11" t="b">
        <f>O582=P582</f>
        <v>0</v>
      </c>
      <c r="R582" s="30">
        <v>30041258</v>
      </c>
      <c r="S582" s="1"/>
      <c r="T582" s="11" t="b">
        <f>R582=S582</f>
        <v>0</v>
      </c>
      <c r="U582" s="10" t="s">
        <v>16</v>
      </c>
      <c r="V582" s="1"/>
      <c r="W582" s="11" t="b">
        <f>U582=V582</f>
        <v>0</v>
      </c>
      <c r="X582" s="13" t="s">
        <v>15</v>
      </c>
      <c r="Y582" s="1"/>
      <c r="Z582" s="1"/>
      <c r="AA582" s="60">
        <v>22000878</v>
      </c>
      <c r="AB582" s="10" t="s">
        <v>1409</v>
      </c>
      <c r="AD582" s="11" t="b">
        <f>AB582=AC582</f>
        <v>0</v>
      </c>
      <c r="AE582" s="10" t="s">
        <v>757</v>
      </c>
      <c r="AF582" s="1"/>
      <c r="AG582" s="11" t="b">
        <f>AE582=AF582</f>
        <v>0</v>
      </c>
      <c r="AH582" s="1">
        <v>13</v>
      </c>
      <c r="AI582" s="1">
        <v>7.37</v>
      </c>
      <c r="AJ582" s="16">
        <f>AI582*220/30*30.4375</f>
        <v>1645.0454166666666</v>
      </c>
      <c r="AK582" s="18">
        <v>1645.05</v>
      </c>
      <c r="AL582" s="71" t="s">
        <v>653</v>
      </c>
      <c r="AM582" s="19" t="b">
        <f>AL582=O582</f>
        <v>1</v>
      </c>
      <c r="AN582" s="7">
        <f>VLOOKUP(A582,'base ZITRHR129'!$G$1:$H$628,2,0)</f>
        <v>30041258</v>
      </c>
      <c r="AO582" s="7" t="b">
        <f>AN582=R582</f>
        <v>1</v>
      </c>
      <c r="AP582" s="7">
        <f>VLOOKUP(A582,'base ZITRHR129'!G50:W676,17,0)</f>
        <v>1645.05</v>
      </c>
      <c r="AQ582" s="7" t="b">
        <f>AP582=AK582</f>
        <v>1</v>
      </c>
      <c r="AR582" s="69"/>
    </row>
    <row r="583" spans="1:44" s="7" customFormat="1" ht="12" x14ac:dyDescent="0.2">
      <c r="A583" s="7">
        <v>10080128</v>
      </c>
      <c r="B583" s="8" t="s">
        <v>605</v>
      </c>
      <c r="C583" s="8" t="s">
        <v>698</v>
      </c>
      <c r="D583" s="8" t="s">
        <v>717</v>
      </c>
      <c r="E583" s="8" t="s">
        <v>728</v>
      </c>
      <c r="F583" s="8" t="s">
        <v>1406</v>
      </c>
      <c r="G583" s="8" t="s">
        <v>757</v>
      </c>
      <c r="H583" s="9">
        <v>13</v>
      </c>
      <c r="I583" s="8" t="s">
        <v>664</v>
      </c>
      <c r="J583" s="8" t="s">
        <v>1354</v>
      </c>
      <c r="K583" s="8" t="s">
        <v>16</v>
      </c>
      <c r="L583" s="8" t="s">
        <v>17</v>
      </c>
      <c r="M583" s="10" t="s">
        <v>698</v>
      </c>
      <c r="N583" s="10" t="s">
        <v>717</v>
      </c>
      <c r="O583" s="10" t="s">
        <v>664</v>
      </c>
      <c r="P583" s="1"/>
      <c r="Q583" s="11" t="b">
        <f>O583=P583</f>
        <v>0</v>
      </c>
      <c r="R583" s="30">
        <v>30041259</v>
      </c>
      <c r="S583" s="1"/>
      <c r="T583" s="11" t="b">
        <f>R583=S583</f>
        <v>0</v>
      </c>
      <c r="U583" s="10" t="s">
        <v>16</v>
      </c>
      <c r="V583" s="1"/>
      <c r="W583" s="11" t="b">
        <f>U583=V583</f>
        <v>0</v>
      </c>
      <c r="X583" s="13" t="s">
        <v>15</v>
      </c>
      <c r="Y583" s="1"/>
      <c r="Z583" s="1"/>
      <c r="AA583" s="60">
        <v>22000878</v>
      </c>
      <c r="AB583" s="10" t="s">
        <v>1409</v>
      </c>
      <c r="AD583" s="11" t="b">
        <f>AB583=AC583</f>
        <v>0</v>
      </c>
      <c r="AE583" s="10" t="s">
        <v>757</v>
      </c>
      <c r="AF583" s="1"/>
      <c r="AG583" s="11" t="b">
        <f>AE583=AF583</f>
        <v>0</v>
      </c>
      <c r="AH583" s="1">
        <v>13</v>
      </c>
      <c r="AI583" s="1">
        <v>7.37</v>
      </c>
      <c r="AJ583" s="16">
        <f>AI583*220/30*30.4375</f>
        <v>1645.0454166666666</v>
      </c>
      <c r="AK583" s="18">
        <v>1645.05</v>
      </c>
      <c r="AL583" s="71" t="s">
        <v>664</v>
      </c>
      <c r="AM583" s="19" t="b">
        <f>AL583=O583</f>
        <v>1</v>
      </c>
      <c r="AN583" s="7">
        <f>VLOOKUP(A583,'base ZITRHR129'!$G$1:$H$628,2,0)</f>
        <v>30041259</v>
      </c>
      <c r="AO583" s="7" t="b">
        <f>AN583=R583</f>
        <v>1</v>
      </c>
      <c r="AP583" s="7">
        <f>VLOOKUP(A583,'base ZITRHR129'!G49:W675,17,0)</f>
        <v>1645.05</v>
      </c>
      <c r="AQ583" s="7" t="b">
        <f>AP583=AK583</f>
        <v>1</v>
      </c>
      <c r="AR583" s="69"/>
    </row>
    <row r="584" spans="1:44" s="7" customFormat="1" ht="12" x14ac:dyDescent="0.2">
      <c r="A584" s="7">
        <v>10080137</v>
      </c>
      <c r="B584" s="8" t="s">
        <v>606</v>
      </c>
      <c r="C584" s="8" t="s">
        <v>681</v>
      </c>
      <c r="D584" s="8" t="s">
        <v>717</v>
      </c>
      <c r="E584" s="8" t="s">
        <v>742</v>
      </c>
      <c r="F584" s="8" t="s">
        <v>1406</v>
      </c>
      <c r="G584" s="8" t="s">
        <v>769</v>
      </c>
      <c r="H584" s="9">
        <v>15</v>
      </c>
      <c r="I584" s="8" t="s">
        <v>653</v>
      </c>
      <c r="J584" s="8" t="s">
        <v>1355</v>
      </c>
      <c r="K584" s="8" t="s">
        <v>16</v>
      </c>
      <c r="L584" s="8" t="s">
        <v>17</v>
      </c>
      <c r="M584" s="10" t="s">
        <v>681</v>
      </c>
      <c r="N584" s="10" t="s">
        <v>717</v>
      </c>
      <c r="O584" s="10" t="s">
        <v>653</v>
      </c>
      <c r="P584" s="1"/>
      <c r="Q584" s="11" t="b">
        <f>O584=P584</f>
        <v>0</v>
      </c>
      <c r="R584" s="30">
        <v>30041260</v>
      </c>
      <c r="S584" s="1"/>
      <c r="T584" s="11" t="b">
        <f>R584=S584</f>
        <v>0</v>
      </c>
      <c r="U584" s="10" t="s">
        <v>16</v>
      </c>
      <c r="V584" s="1"/>
      <c r="W584" s="11" t="b">
        <f>U584=V584</f>
        <v>0</v>
      </c>
      <c r="X584" s="13" t="s">
        <v>15</v>
      </c>
      <c r="Y584" s="1"/>
      <c r="Z584" s="1"/>
      <c r="AA584" s="60">
        <v>22001389</v>
      </c>
      <c r="AB584" s="10" t="s">
        <v>1409</v>
      </c>
      <c r="AD584" s="11" t="b">
        <f>AB584=AC584</f>
        <v>0</v>
      </c>
      <c r="AE584" s="10" t="s">
        <v>769</v>
      </c>
      <c r="AF584" s="1"/>
      <c r="AG584" s="11" t="b">
        <f>AE584=AF584</f>
        <v>0</v>
      </c>
      <c r="AH584" s="1">
        <v>15</v>
      </c>
      <c r="AI584" s="1">
        <v>8.59</v>
      </c>
      <c r="AJ584" s="16">
        <f>AI584*220/30*30.4375</f>
        <v>1917.3595833333334</v>
      </c>
      <c r="AK584" s="18">
        <v>1917.36</v>
      </c>
      <c r="AL584" s="71" t="s">
        <v>653</v>
      </c>
      <c r="AM584" s="19" t="b">
        <f>AL584=O584</f>
        <v>1</v>
      </c>
      <c r="AN584" s="7">
        <f>VLOOKUP(A584,'base ZITRHR129'!$G$1:$H$628,2,0)</f>
        <v>30041260</v>
      </c>
      <c r="AO584" s="7" t="b">
        <f>AN584=R584</f>
        <v>1</v>
      </c>
      <c r="AP584" s="7">
        <f>VLOOKUP(A584,'base ZITRHR129'!G48:W674,17,0)</f>
        <v>1917.36</v>
      </c>
      <c r="AQ584" s="7" t="b">
        <f>AP584=AK584</f>
        <v>1</v>
      </c>
      <c r="AR584" s="69"/>
    </row>
    <row r="585" spans="1:44" s="7" customFormat="1" ht="12" x14ac:dyDescent="0.2">
      <c r="A585" s="7">
        <v>10080149</v>
      </c>
      <c r="B585" s="8" t="s">
        <v>607</v>
      </c>
      <c r="C585" s="8" t="s">
        <v>695</v>
      </c>
      <c r="D585" s="8" t="s">
        <v>717</v>
      </c>
      <c r="E585" s="8" t="s">
        <v>728</v>
      </c>
      <c r="F585" s="8" t="s">
        <v>1406</v>
      </c>
      <c r="G585" s="8" t="s">
        <v>757</v>
      </c>
      <c r="H585" s="9">
        <v>13</v>
      </c>
      <c r="I585" s="8" t="s">
        <v>660</v>
      </c>
      <c r="J585" s="8" t="s">
        <v>1356</v>
      </c>
      <c r="K585" s="8" t="s">
        <v>16</v>
      </c>
      <c r="L585" s="8" t="s">
        <v>17</v>
      </c>
      <c r="M585" s="10" t="s">
        <v>695</v>
      </c>
      <c r="N585" s="10" t="s">
        <v>717</v>
      </c>
      <c r="O585" s="10" t="s">
        <v>660</v>
      </c>
      <c r="P585" s="1"/>
      <c r="Q585" s="11" t="b">
        <f>O585=P585</f>
        <v>0</v>
      </c>
      <c r="R585" s="30">
        <v>30041261</v>
      </c>
      <c r="S585" s="1"/>
      <c r="T585" s="11" t="b">
        <f>R585=S585</f>
        <v>0</v>
      </c>
      <c r="U585" s="10" t="s">
        <v>16</v>
      </c>
      <c r="V585" s="1"/>
      <c r="W585" s="11" t="b">
        <f>U585=V585</f>
        <v>0</v>
      </c>
      <c r="X585" s="13" t="s">
        <v>15</v>
      </c>
      <c r="Y585" s="1"/>
      <c r="Z585" s="1"/>
      <c r="AA585" s="60">
        <v>22000878</v>
      </c>
      <c r="AB585" s="10" t="s">
        <v>1409</v>
      </c>
      <c r="AD585" s="11" t="b">
        <f>AB585=AC585</f>
        <v>0</v>
      </c>
      <c r="AE585" s="10" t="s">
        <v>757</v>
      </c>
      <c r="AF585" s="1"/>
      <c r="AG585" s="11" t="b">
        <f>AE585=AF585</f>
        <v>0</v>
      </c>
      <c r="AH585" s="1">
        <v>13</v>
      </c>
      <c r="AI585" s="1">
        <v>7.37</v>
      </c>
      <c r="AJ585" s="16">
        <f>AI585*220/30*30.4375</f>
        <v>1645.0454166666666</v>
      </c>
      <c r="AK585" s="18">
        <v>1645.05</v>
      </c>
      <c r="AL585" s="71" t="s">
        <v>660</v>
      </c>
      <c r="AM585" s="19" t="b">
        <f>AL585=O585</f>
        <v>1</v>
      </c>
      <c r="AN585" s="7">
        <f>VLOOKUP(A585,'base ZITRHR129'!$G$1:$H$628,2,0)</f>
        <v>30041261</v>
      </c>
      <c r="AO585" s="7" t="b">
        <f>AN585=R585</f>
        <v>1</v>
      </c>
      <c r="AP585" s="7">
        <f>VLOOKUP(A585,'base ZITRHR129'!G47:W673,17,0)</f>
        <v>1645.05</v>
      </c>
      <c r="AQ585" s="7" t="b">
        <f>AP585=AK585</f>
        <v>1</v>
      </c>
      <c r="AR585" s="69"/>
    </row>
    <row r="586" spans="1:44" s="7" customFormat="1" ht="12" x14ac:dyDescent="0.2">
      <c r="A586" s="7">
        <v>10080653</v>
      </c>
      <c r="B586" s="8" t="s">
        <v>608</v>
      </c>
      <c r="C586" s="8" t="s">
        <v>681</v>
      </c>
      <c r="D586" s="8" t="s">
        <v>717</v>
      </c>
      <c r="E586" s="8" t="s">
        <v>728</v>
      </c>
      <c r="F586" s="8" t="s">
        <v>1406</v>
      </c>
      <c r="G586" s="8" t="s">
        <v>757</v>
      </c>
      <c r="H586" s="9">
        <v>13</v>
      </c>
      <c r="I586" s="8" t="s">
        <v>653</v>
      </c>
      <c r="J586" s="8" t="s">
        <v>1357</v>
      </c>
      <c r="K586" s="8" t="s">
        <v>16</v>
      </c>
      <c r="L586" s="8" t="s">
        <v>17</v>
      </c>
      <c r="M586" s="10" t="s">
        <v>681</v>
      </c>
      <c r="N586" s="10" t="s">
        <v>717</v>
      </c>
      <c r="O586" s="10" t="s">
        <v>653</v>
      </c>
      <c r="P586" s="1"/>
      <c r="Q586" s="11" t="b">
        <f>O586=P586</f>
        <v>0</v>
      </c>
      <c r="R586" s="30">
        <v>30041262</v>
      </c>
      <c r="S586" s="1"/>
      <c r="T586" s="11" t="b">
        <f>R586=S586</f>
        <v>0</v>
      </c>
      <c r="U586" s="10" t="s">
        <v>16</v>
      </c>
      <c r="V586" s="1"/>
      <c r="W586" s="11" t="b">
        <f>U586=V586</f>
        <v>0</v>
      </c>
      <c r="X586" s="13" t="s">
        <v>15</v>
      </c>
      <c r="Y586" s="1"/>
      <c r="Z586" s="1"/>
      <c r="AA586" s="60">
        <v>22000878</v>
      </c>
      <c r="AB586" s="10" t="s">
        <v>1409</v>
      </c>
      <c r="AD586" s="11" t="b">
        <f>AB586=AC586</f>
        <v>0</v>
      </c>
      <c r="AE586" s="10" t="s">
        <v>757</v>
      </c>
      <c r="AF586" s="1"/>
      <c r="AG586" s="11" t="b">
        <f>AE586=AF586</f>
        <v>0</v>
      </c>
      <c r="AH586" s="1">
        <v>13</v>
      </c>
      <c r="AI586" s="1">
        <v>7.37</v>
      </c>
      <c r="AJ586" s="16">
        <f>AI586*220/30*30.4375</f>
        <v>1645.0454166666666</v>
      </c>
      <c r="AK586" s="18">
        <v>1645.05</v>
      </c>
      <c r="AL586" s="71" t="s">
        <v>653</v>
      </c>
      <c r="AM586" s="19" t="b">
        <f>AL586=O586</f>
        <v>1</v>
      </c>
      <c r="AN586" s="7">
        <f>VLOOKUP(A586,'base ZITRHR129'!$G$1:$H$628,2,0)</f>
        <v>30041262</v>
      </c>
      <c r="AO586" s="7" t="b">
        <f>AN586=R586</f>
        <v>1</v>
      </c>
      <c r="AP586" s="7">
        <f>VLOOKUP(A586,'base ZITRHR129'!G46:W672,17,0)</f>
        <v>1645.05</v>
      </c>
      <c r="AQ586" s="7" t="b">
        <f>AP586=AK586</f>
        <v>1</v>
      </c>
      <c r="AR586" s="69"/>
    </row>
    <row r="587" spans="1:44" s="7" customFormat="1" ht="12" x14ac:dyDescent="0.2">
      <c r="A587" s="7">
        <v>10080654</v>
      </c>
      <c r="B587" s="8" t="s">
        <v>609</v>
      </c>
      <c r="C587" s="8" t="s">
        <v>702</v>
      </c>
      <c r="D587" s="8" t="s">
        <v>717</v>
      </c>
      <c r="E587" s="8" t="s">
        <v>728</v>
      </c>
      <c r="F587" s="8" t="s">
        <v>1406</v>
      </c>
      <c r="G587" s="8" t="s">
        <v>757</v>
      </c>
      <c r="H587" s="9">
        <v>13</v>
      </c>
      <c r="I587" s="8" t="s">
        <v>668</v>
      </c>
      <c r="J587" s="8" t="s">
        <v>1358</v>
      </c>
      <c r="K587" s="8" t="s">
        <v>16</v>
      </c>
      <c r="L587" s="8" t="s">
        <v>17</v>
      </c>
      <c r="M587" s="10" t="s">
        <v>702</v>
      </c>
      <c r="N587" s="10" t="s">
        <v>717</v>
      </c>
      <c r="O587" s="10" t="s">
        <v>668</v>
      </c>
      <c r="P587" s="1"/>
      <c r="Q587" s="11" t="b">
        <f>O587=P587</f>
        <v>0</v>
      </c>
      <c r="R587" s="30">
        <v>30041263</v>
      </c>
      <c r="S587" s="1"/>
      <c r="T587" s="11" t="b">
        <f>R587=S587</f>
        <v>0</v>
      </c>
      <c r="U587" s="10" t="s">
        <v>16</v>
      </c>
      <c r="V587" s="1"/>
      <c r="W587" s="11" t="b">
        <f>U587=V587</f>
        <v>0</v>
      </c>
      <c r="X587" s="13" t="s">
        <v>15</v>
      </c>
      <c r="Y587" s="1"/>
      <c r="Z587" s="1"/>
      <c r="AA587" s="60">
        <v>22000878</v>
      </c>
      <c r="AB587" s="10" t="s">
        <v>1409</v>
      </c>
      <c r="AD587" s="11" t="b">
        <f>AB587=AC587</f>
        <v>0</v>
      </c>
      <c r="AE587" s="10" t="s">
        <v>757</v>
      </c>
      <c r="AF587" s="1"/>
      <c r="AG587" s="11" t="b">
        <f>AE587=AF587</f>
        <v>0</v>
      </c>
      <c r="AH587" s="1">
        <v>13</v>
      </c>
      <c r="AI587" s="1">
        <v>7.37</v>
      </c>
      <c r="AJ587" s="16">
        <f>AI587*220/30*30.4375</f>
        <v>1645.0454166666666</v>
      </c>
      <c r="AK587" s="18">
        <v>1645.05</v>
      </c>
      <c r="AL587" s="71" t="s">
        <v>668</v>
      </c>
      <c r="AM587" s="19" t="b">
        <f>AL587=O587</f>
        <v>1</v>
      </c>
      <c r="AN587" s="7">
        <f>VLOOKUP(A587,'base ZITRHR129'!$G$1:$H$628,2,0)</f>
        <v>30041263</v>
      </c>
      <c r="AO587" s="7" t="b">
        <f>AN587=R587</f>
        <v>1</v>
      </c>
      <c r="AP587" s="7">
        <f>VLOOKUP(A587,'base ZITRHR129'!G45:W671,17,0)</f>
        <v>1645.05</v>
      </c>
      <c r="AQ587" s="7" t="b">
        <f>AP587=AK587</f>
        <v>1</v>
      </c>
      <c r="AR587" s="69"/>
    </row>
    <row r="588" spans="1:44" s="49" customFormat="1" ht="12" x14ac:dyDescent="0.2">
      <c r="A588" s="49">
        <v>10080655</v>
      </c>
      <c r="B588" s="50" t="s">
        <v>610</v>
      </c>
      <c r="C588" s="50" t="s">
        <v>701</v>
      </c>
      <c r="D588" s="50" t="s">
        <v>717</v>
      </c>
      <c r="E588" s="50" t="s">
        <v>742</v>
      </c>
      <c r="F588" s="50" t="s">
        <v>1406</v>
      </c>
      <c r="G588" s="50" t="s">
        <v>769</v>
      </c>
      <c r="H588" s="51">
        <v>15</v>
      </c>
      <c r="I588" s="50" t="s">
        <v>668</v>
      </c>
      <c r="J588" s="50" t="s">
        <v>1359</v>
      </c>
      <c r="K588" s="50" t="s">
        <v>16</v>
      </c>
      <c r="L588" s="50" t="s">
        <v>17</v>
      </c>
      <c r="M588" s="50" t="s">
        <v>701</v>
      </c>
      <c r="N588" s="50" t="s">
        <v>717</v>
      </c>
      <c r="O588" s="50" t="s">
        <v>668</v>
      </c>
      <c r="P588" s="52"/>
      <c r="Q588" s="53" t="b">
        <f>O588=P588</f>
        <v>0</v>
      </c>
      <c r="R588" s="54">
        <v>30041264</v>
      </c>
      <c r="S588" s="52"/>
      <c r="T588" s="53" t="b">
        <f>R588=S588</f>
        <v>0</v>
      </c>
      <c r="U588" s="50" t="s">
        <v>16</v>
      </c>
      <c r="V588" s="52"/>
      <c r="W588" s="53" t="b">
        <f>U588=V588</f>
        <v>0</v>
      </c>
      <c r="X588" s="55" t="s">
        <v>15</v>
      </c>
      <c r="Y588" s="52"/>
      <c r="Z588" s="52"/>
      <c r="AA588" s="62">
        <v>22001389</v>
      </c>
      <c r="AB588" s="50" t="s">
        <v>1409</v>
      </c>
      <c r="AD588" s="53" t="b">
        <f>AB588=AC588</f>
        <v>0</v>
      </c>
      <c r="AE588" s="50" t="s">
        <v>769</v>
      </c>
      <c r="AF588" s="52"/>
      <c r="AG588" s="53" t="b">
        <f>AE588=AF588</f>
        <v>0</v>
      </c>
      <c r="AH588" s="52">
        <v>15</v>
      </c>
      <c r="AI588" s="52">
        <v>8.59</v>
      </c>
      <c r="AJ588" s="56">
        <f>AI588*220/30*30.4375</f>
        <v>1917.3595833333334</v>
      </c>
      <c r="AK588" s="57">
        <v>1917.36</v>
      </c>
      <c r="AL588" s="74" t="s">
        <v>668</v>
      </c>
      <c r="AM588" s="58" t="b">
        <f>AL588=O588</f>
        <v>1</v>
      </c>
      <c r="AN588" s="49">
        <f>VLOOKUP(A588,'base ZITRHR129'!$G$1:$H$628,2,0)</f>
        <v>30041264</v>
      </c>
      <c r="AO588" s="49" t="b">
        <f>AN588=R588</f>
        <v>1</v>
      </c>
      <c r="AP588" s="49">
        <f>VLOOKUP(A588,'base ZITRHR129'!G44:W670,17,0)</f>
        <v>1917.36</v>
      </c>
      <c r="AQ588" s="49" t="b">
        <f>AP588=AK588</f>
        <v>1</v>
      </c>
      <c r="AR588" s="75"/>
    </row>
    <row r="589" spans="1:44" s="7" customFormat="1" ht="12" x14ac:dyDescent="0.2">
      <c r="A589" s="7">
        <v>10080656</v>
      </c>
      <c r="B589" s="8" t="s">
        <v>611</v>
      </c>
      <c r="C589" s="8" t="s">
        <v>682</v>
      </c>
      <c r="D589" s="8" t="s">
        <v>717</v>
      </c>
      <c r="E589" s="8" t="s">
        <v>728</v>
      </c>
      <c r="F589" s="8" t="s">
        <v>1406</v>
      </c>
      <c r="G589" s="8" t="s">
        <v>757</v>
      </c>
      <c r="H589" s="9">
        <v>13</v>
      </c>
      <c r="I589" s="8" t="s">
        <v>655</v>
      </c>
      <c r="J589" s="8" t="s">
        <v>1360</v>
      </c>
      <c r="K589" s="8" t="s">
        <v>16</v>
      </c>
      <c r="L589" s="8" t="s">
        <v>17</v>
      </c>
      <c r="M589" s="10" t="s">
        <v>682</v>
      </c>
      <c r="N589" s="10" t="s">
        <v>717</v>
      </c>
      <c r="O589" s="10" t="s">
        <v>655</v>
      </c>
      <c r="P589" s="1"/>
      <c r="Q589" s="11" t="b">
        <f>O589=P589</f>
        <v>0</v>
      </c>
      <c r="R589" s="30">
        <v>30041265</v>
      </c>
      <c r="S589" s="1"/>
      <c r="T589" s="11" t="b">
        <f>R589=S589</f>
        <v>0</v>
      </c>
      <c r="U589" s="10" t="s">
        <v>16</v>
      </c>
      <c r="V589" s="1"/>
      <c r="W589" s="11" t="b">
        <f>U589=V589</f>
        <v>0</v>
      </c>
      <c r="X589" s="13" t="s">
        <v>15</v>
      </c>
      <c r="Y589" s="1"/>
      <c r="Z589" s="1"/>
      <c r="AA589" s="60">
        <v>22000878</v>
      </c>
      <c r="AB589" s="10" t="s">
        <v>1409</v>
      </c>
      <c r="AD589" s="11" t="b">
        <f>AB589=AC589</f>
        <v>0</v>
      </c>
      <c r="AE589" s="10" t="s">
        <v>757</v>
      </c>
      <c r="AF589" s="1"/>
      <c r="AG589" s="11" t="b">
        <f>AE589=AF589</f>
        <v>0</v>
      </c>
      <c r="AH589" s="1">
        <v>13</v>
      </c>
      <c r="AI589" s="1">
        <v>7.37</v>
      </c>
      <c r="AJ589" s="16">
        <f>AI589*220/30*30.4375</f>
        <v>1645.0454166666666</v>
      </c>
      <c r="AK589" s="18">
        <v>1645.05</v>
      </c>
      <c r="AL589" s="71" t="s">
        <v>655</v>
      </c>
      <c r="AM589" s="19" t="b">
        <f>AL589=O589</f>
        <v>1</v>
      </c>
      <c r="AN589" s="7">
        <f>VLOOKUP(A589,'base ZITRHR129'!$G$1:$H$628,2,0)</f>
        <v>30041265</v>
      </c>
      <c r="AO589" s="7" t="b">
        <f>AN589=R589</f>
        <v>1</v>
      </c>
      <c r="AP589" s="7">
        <f>VLOOKUP(A589,'base ZITRHR129'!G43:W669,17,0)</f>
        <v>1645.05</v>
      </c>
      <c r="AQ589" s="7" t="b">
        <f>AP589=AK589</f>
        <v>1</v>
      </c>
      <c r="AR589" s="69"/>
    </row>
    <row r="590" spans="1:44" s="7" customFormat="1" ht="12" x14ac:dyDescent="0.2">
      <c r="A590" s="7">
        <v>10080658</v>
      </c>
      <c r="B590" s="8" t="s">
        <v>612</v>
      </c>
      <c r="C590" s="8" t="s">
        <v>701</v>
      </c>
      <c r="D590" s="8" t="s">
        <v>717</v>
      </c>
      <c r="E590" s="8" t="s">
        <v>742</v>
      </c>
      <c r="F590" s="8" t="s">
        <v>1406</v>
      </c>
      <c r="G590" s="8" t="s">
        <v>769</v>
      </c>
      <c r="H590" s="9">
        <v>15</v>
      </c>
      <c r="I590" s="8" t="s">
        <v>668</v>
      </c>
      <c r="J590" s="8" t="s">
        <v>1361</v>
      </c>
      <c r="K590" s="8" t="s">
        <v>16</v>
      </c>
      <c r="L590" s="8" t="s">
        <v>17</v>
      </c>
      <c r="M590" s="10" t="s">
        <v>701</v>
      </c>
      <c r="N590" s="10" t="s">
        <v>717</v>
      </c>
      <c r="O590" s="10" t="s">
        <v>668</v>
      </c>
      <c r="P590" s="1"/>
      <c r="Q590" s="11" t="b">
        <f>O590=P590</f>
        <v>0</v>
      </c>
      <c r="R590" s="30">
        <v>30041266</v>
      </c>
      <c r="S590" s="1"/>
      <c r="T590" s="11" t="b">
        <f>R590=S590</f>
        <v>0</v>
      </c>
      <c r="U590" s="10" t="s">
        <v>16</v>
      </c>
      <c r="V590" s="1"/>
      <c r="W590" s="11" t="b">
        <f>U590=V590</f>
        <v>0</v>
      </c>
      <c r="X590" s="13" t="s">
        <v>15</v>
      </c>
      <c r="Y590" s="1"/>
      <c r="Z590" s="1"/>
      <c r="AA590" s="60">
        <v>22001389</v>
      </c>
      <c r="AB590" s="10" t="s">
        <v>1409</v>
      </c>
      <c r="AD590" s="11" t="b">
        <f>AB590=AC590</f>
        <v>0</v>
      </c>
      <c r="AE590" s="10" t="s">
        <v>769</v>
      </c>
      <c r="AF590" s="1"/>
      <c r="AG590" s="11" t="b">
        <f>AE590=AF590</f>
        <v>0</v>
      </c>
      <c r="AH590" s="1">
        <v>15</v>
      </c>
      <c r="AI590" s="1">
        <v>8.59</v>
      </c>
      <c r="AJ590" s="16">
        <f>AI590*220/30*30.4375</f>
        <v>1917.3595833333334</v>
      </c>
      <c r="AK590" s="18">
        <v>1917.36</v>
      </c>
      <c r="AL590" s="71" t="s">
        <v>668</v>
      </c>
      <c r="AM590" s="19" t="b">
        <f>AL590=O590</f>
        <v>1</v>
      </c>
      <c r="AN590" s="7">
        <f>VLOOKUP(A590,'base ZITRHR129'!$G$1:$H$628,2,0)</f>
        <v>30041266</v>
      </c>
      <c r="AO590" s="7" t="b">
        <f>AN590=R590</f>
        <v>1</v>
      </c>
      <c r="AP590" s="7">
        <f>VLOOKUP(A590,'base ZITRHR129'!G42:W668,17,0)</f>
        <v>1917.36</v>
      </c>
      <c r="AQ590" s="7" t="b">
        <f>AP590=AK590</f>
        <v>1</v>
      </c>
      <c r="AR590" s="69"/>
    </row>
    <row r="591" spans="1:44" s="7" customFormat="1" ht="12" x14ac:dyDescent="0.2">
      <c r="A591" s="7">
        <v>10080659</v>
      </c>
      <c r="B591" s="8" t="s">
        <v>613</v>
      </c>
      <c r="C591" s="8" t="s">
        <v>679</v>
      </c>
      <c r="D591" s="8" t="s">
        <v>717</v>
      </c>
      <c r="E591" s="8" t="s">
        <v>728</v>
      </c>
      <c r="F591" s="8" t="s">
        <v>1406</v>
      </c>
      <c r="G591" s="8" t="s">
        <v>757</v>
      </c>
      <c r="H591" s="9">
        <v>13</v>
      </c>
      <c r="I591" s="8" t="s">
        <v>653</v>
      </c>
      <c r="J591" s="8" t="s">
        <v>1362</v>
      </c>
      <c r="K591" s="8" t="s">
        <v>16</v>
      </c>
      <c r="L591" s="8" t="s">
        <v>17</v>
      </c>
      <c r="M591" s="10" t="s">
        <v>679</v>
      </c>
      <c r="N591" s="10" t="s">
        <v>717</v>
      </c>
      <c r="O591" s="10" t="s">
        <v>653</v>
      </c>
      <c r="P591" s="1"/>
      <c r="Q591" s="11" t="b">
        <f>O591=P591</f>
        <v>0</v>
      </c>
      <c r="R591" s="30">
        <v>30041267</v>
      </c>
      <c r="S591" s="1"/>
      <c r="T591" s="11" t="b">
        <f>R591=S591</f>
        <v>0</v>
      </c>
      <c r="U591" s="10" t="s">
        <v>16</v>
      </c>
      <c r="V591" s="1"/>
      <c r="W591" s="11" t="b">
        <f>U591=V591</f>
        <v>0</v>
      </c>
      <c r="X591" s="13" t="s">
        <v>15</v>
      </c>
      <c r="Y591" s="1"/>
      <c r="Z591" s="1"/>
      <c r="AA591" s="60">
        <v>22000878</v>
      </c>
      <c r="AB591" s="10" t="s">
        <v>1409</v>
      </c>
      <c r="AD591" s="11" t="b">
        <f>AB591=AC591</f>
        <v>0</v>
      </c>
      <c r="AE591" s="10" t="s">
        <v>757</v>
      </c>
      <c r="AF591" s="1"/>
      <c r="AG591" s="11" t="b">
        <f>AE591=AF591</f>
        <v>0</v>
      </c>
      <c r="AH591" s="1">
        <v>13</v>
      </c>
      <c r="AI591" s="1">
        <v>7.37</v>
      </c>
      <c r="AJ591" s="16">
        <f>AI591*220/30*30.4375</f>
        <v>1645.0454166666666</v>
      </c>
      <c r="AK591" s="18">
        <v>1645.05</v>
      </c>
      <c r="AL591" s="71" t="s">
        <v>653</v>
      </c>
      <c r="AM591" s="19" t="b">
        <f>AL591=O591</f>
        <v>1</v>
      </c>
      <c r="AN591" s="7">
        <f>VLOOKUP(A591,'base ZITRHR129'!$G$1:$H$628,2,0)</f>
        <v>30041267</v>
      </c>
      <c r="AO591" s="7" t="b">
        <f>AN591=R591</f>
        <v>1</v>
      </c>
      <c r="AP591" s="7">
        <f>VLOOKUP(A591,'base ZITRHR129'!G41:W667,17,0)</f>
        <v>1645.05</v>
      </c>
      <c r="AQ591" s="7" t="b">
        <f>AP591=AK591</f>
        <v>1</v>
      </c>
      <c r="AR591" s="69"/>
    </row>
    <row r="592" spans="1:44" s="7" customFormat="1" ht="12" x14ac:dyDescent="0.2">
      <c r="A592" s="7">
        <v>10080707</v>
      </c>
      <c r="B592" s="8" t="s">
        <v>614</v>
      </c>
      <c r="C592" s="8" t="s">
        <v>684</v>
      </c>
      <c r="D592" s="8" t="s">
        <v>717</v>
      </c>
      <c r="E592" s="8" t="s">
        <v>728</v>
      </c>
      <c r="F592" s="8" t="s">
        <v>1406</v>
      </c>
      <c r="G592" s="8" t="s">
        <v>757</v>
      </c>
      <c r="H592" s="9">
        <v>13</v>
      </c>
      <c r="I592" s="8" t="s">
        <v>657</v>
      </c>
      <c r="J592" s="8" t="s">
        <v>1363</v>
      </c>
      <c r="K592" s="8" t="s">
        <v>16</v>
      </c>
      <c r="L592" s="8" t="s">
        <v>17</v>
      </c>
      <c r="M592" s="10" t="s">
        <v>684</v>
      </c>
      <c r="N592" s="10" t="s">
        <v>717</v>
      </c>
      <c r="O592" s="10" t="s">
        <v>657</v>
      </c>
      <c r="P592" s="1"/>
      <c r="Q592" s="11" t="b">
        <f>O592=P592</f>
        <v>0</v>
      </c>
      <c r="R592" s="30">
        <v>30041268</v>
      </c>
      <c r="S592" s="1"/>
      <c r="T592" s="11" t="b">
        <f>R592=S592</f>
        <v>0</v>
      </c>
      <c r="U592" s="10" t="s">
        <v>16</v>
      </c>
      <c r="V592" s="1"/>
      <c r="W592" s="11" t="b">
        <f>U592=V592</f>
        <v>0</v>
      </c>
      <c r="X592" s="13" t="s">
        <v>15</v>
      </c>
      <c r="Y592" s="1"/>
      <c r="Z592" s="1"/>
      <c r="AA592" s="60">
        <v>22000878</v>
      </c>
      <c r="AB592" s="10" t="s">
        <v>1409</v>
      </c>
      <c r="AD592" s="11" t="b">
        <f>AB592=AC592</f>
        <v>0</v>
      </c>
      <c r="AE592" s="10" t="s">
        <v>757</v>
      </c>
      <c r="AF592" s="1"/>
      <c r="AG592" s="11" t="b">
        <f>AE592=AF592</f>
        <v>0</v>
      </c>
      <c r="AH592" s="1">
        <v>13</v>
      </c>
      <c r="AI592" s="1">
        <v>7.37</v>
      </c>
      <c r="AJ592" s="16">
        <f>AI592*220/30*30.4375</f>
        <v>1645.0454166666666</v>
      </c>
      <c r="AK592" s="18">
        <v>1645.05</v>
      </c>
      <c r="AL592" s="71" t="s">
        <v>657</v>
      </c>
      <c r="AM592" s="19" t="b">
        <f>AL592=O592</f>
        <v>1</v>
      </c>
      <c r="AN592" s="7">
        <f>VLOOKUP(A592,'base ZITRHR129'!$G$1:$H$628,2,0)</f>
        <v>30041268</v>
      </c>
      <c r="AO592" s="7" t="b">
        <f>AN592=R592</f>
        <v>1</v>
      </c>
      <c r="AP592" s="7">
        <f>VLOOKUP(A592,'base ZITRHR129'!G40:W666,17,0)</f>
        <v>1645.05</v>
      </c>
      <c r="AQ592" s="7" t="b">
        <f>AP592=AK592</f>
        <v>1</v>
      </c>
      <c r="AR592" s="69"/>
    </row>
    <row r="593" spans="1:44" s="7" customFormat="1" ht="12" x14ac:dyDescent="0.2">
      <c r="A593" s="7">
        <v>10080708</v>
      </c>
      <c r="B593" s="8" t="s">
        <v>615</v>
      </c>
      <c r="C593" s="8" t="s">
        <v>679</v>
      </c>
      <c r="D593" s="8" t="s">
        <v>717</v>
      </c>
      <c r="E593" s="8" t="s">
        <v>728</v>
      </c>
      <c r="F593" s="8" t="s">
        <v>1406</v>
      </c>
      <c r="G593" s="8" t="s">
        <v>757</v>
      </c>
      <c r="H593" s="9">
        <v>13</v>
      </c>
      <c r="I593" s="8" t="s">
        <v>653</v>
      </c>
      <c r="J593" s="8" t="s">
        <v>1364</v>
      </c>
      <c r="K593" s="8" t="s">
        <v>16</v>
      </c>
      <c r="L593" s="8" t="s">
        <v>17</v>
      </c>
      <c r="M593" s="10" t="s">
        <v>679</v>
      </c>
      <c r="N593" s="10" t="s">
        <v>717</v>
      </c>
      <c r="O593" s="10" t="s">
        <v>653</v>
      </c>
      <c r="P593" s="1"/>
      <c r="Q593" s="11" t="b">
        <f>O593=P593</f>
        <v>0</v>
      </c>
      <c r="R593" s="30">
        <v>30041269</v>
      </c>
      <c r="S593" s="1"/>
      <c r="T593" s="11" t="b">
        <f>R593=S593</f>
        <v>0</v>
      </c>
      <c r="U593" s="10" t="s">
        <v>16</v>
      </c>
      <c r="V593" s="1"/>
      <c r="W593" s="11" t="b">
        <f>U593=V593</f>
        <v>0</v>
      </c>
      <c r="X593" s="13" t="s">
        <v>15</v>
      </c>
      <c r="Y593" s="1"/>
      <c r="Z593" s="1"/>
      <c r="AA593" s="60">
        <v>22000878</v>
      </c>
      <c r="AB593" s="10" t="s">
        <v>1409</v>
      </c>
      <c r="AD593" s="11" t="b">
        <f>AB593=AC593</f>
        <v>0</v>
      </c>
      <c r="AE593" s="10" t="s">
        <v>757</v>
      </c>
      <c r="AF593" s="1"/>
      <c r="AG593" s="11" t="b">
        <f>AE593=AF593</f>
        <v>0</v>
      </c>
      <c r="AH593" s="1">
        <v>13</v>
      </c>
      <c r="AI593" s="1">
        <v>7.37</v>
      </c>
      <c r="AJ593" s="16">
        <f>AI593*220/30*30.4375</f>
        <v>1645.0454166666666</v>
      </c>
      <c r="AK593" s="18">
        <v>1645.05</v>
      </c>
      <c r="AL593" s="71" t="s">
        <v>653</v>
      </c>
      <c r="AM593" s="19" t="b">
        <f>AL593=O593</f>
        <v>1</v>
      </c>
      <c r="AN593" s="7">
        <f>VLOOKUP(A593,'base ZITRHR129'!$G$1:$H$628,2,0)</f>
        <v>30041269</v>
      </c>
      <c r="AO593" s="7" t="b">
        <f>AN593=R593</f>
        <v>1</v>
      </c>
      <c r="AP593" s="7">
        <f>VLOOKUP(A593,'base ZITRHR129'!G39:W665,17,0)</f>
        <v>1645.05</v>
      </c>
      <c r="AQ593" s="7" t="b">
        <f>AP593=AK593</f>
        <v>1</v>
      </c>
      <c r="AR593" s="69"/>
    </row>
    <row r="594" spans="1:44" s="7" customFormat="1" ht="12" x14ac:dyDescent="0.2">
      <c r="A594" s="7">
        <v>10080709</v>
      </c>
      <c r="B594" s="8" t="s">
        <v>616</v>
      </c>
      <c r="C594" s="8" t="s">
        <v>679</v>
      </c>
      <c r="D594" s="8" t="s">
        <v>717</v>
      </c>
      <c r="E594" s="8" t="s">
        <v>728</v>
      </c>
      <c r="F594" s="8" t="s">
        <v>1406</v>
      </c>
      <c r="G594" s="8" t="s">
        <v>757</v>
      </c>
      <c r="H594" s="9">
        <v>13</v>
      </c>
      <c r="I594" s="8" t="s">
        <v>653</v>
      </c>
      <c r="J594" s="8" t="s">
        <v>1365</v>
      </c>
      <c r="K594" s="8" t="s">
        <v>16</v>
      </c>
      <c r="L594" s="8" t="s">
        <v>17</v>
      </c>
      <c r="M594" s="10" t="s">
        <v>679</v>
      </c>
      <c r="N594" s="10" t="s">
        <v>717</v>
      </c>
      <c r="O594" s="10" t="s">
        <v>653</v>
      </c>
      <c r="P594" s="1"/>
      <c r="Q594" s="11" t="b">
        <f>O594=P594</f>
        <v>0</v>
      </c>
      <c r="R594" s="30">
        <v>30041270</v>
      </c>
      <c r="S594" s="1"/>
      <c r="T594" s="11" t="b">
        <f>R594=S594</f>
        <v>0</v>
      </c>
      <c r="U594" s="10" t="s">
        <v>16</v>
      </c>
      <c r="V594" s="1"/>
      <c r="W594" s="11" t="b">
        <f>U594=V594</f>
        <v>0</v>
      </c>
      <c r="X594" s="13" t="s">
        <v>15</v>
      </c>
      <c r="Y594" s="1"/>
      <c r="Z594" s="1"/>
      <c r="AA594" s="60">
        <v>22000878</v>
      </c>
      <c r="AB594" s="10" t="s">
        <v>1409</v>
      </c>
      <c r="AD594" s="11" t="b">
        <f>AB594=AC594</f>
        <v>0</v>
      </c>
      <c r="AE594" s="10" t="s">
        <v>757</v>
      </c>
      <c r="AF594" s="1"/>
      <c r="AG594" s="11" t="b">
        <f>AE594=AF594</f>
        <v>0</v>
      </c>
      <c r="AH594" s="1">
        <v>13</v>
      </c>
      <c r="AI594" s="1">
        <v>7.37</v>
      </c>
      <c r="AJ594" s="16">
        <f>AI594*220/30*30.4375</f>
        <v>1645.0454166666666</v>
      </c>
      <c r="AK594" s="18">
        <v>1645.05</v>
      </c>
      <c r="AL594" s="71" t="s">
        <v>653</v>
      </c>
      <c r="AM594" s="19" t="b">
        <f>AL594=O594</f>
        <v>1</v>
      </c>
      <c r="AN594" s="7">
        <f>VLOOKUP(A594,'base ZITRHR129'!$G$1:$H$628,2,0)</f>
        <v>30041270</v>
      </c>
      <c r="AO594" s="7" t="b">
        <f>AN594=R594</f>
        <v>1</v>
      </c>
      <c r="AP594" s="7">
        <f>VLOOKUP(A594,'base ZITRHR129'!G38:W664,17,0)</f>
        <v>1645.05</v>
      </c>
      <c r="AQ594" s="7" t="b">
        <f>AP594=AK594</f>
        <v>1</v>
      </c>
      <c r="AR594" s="69"/>
    </row>
    <row r="595" spans="1:44" s="7" customFormat="1" ht="12" x14ac:dyDescent="0.2">
      <c r="A595" s="7">
        <v>10080710</v>
      </c>
      <c r="B595" s="8" t="s">
        <v>617</v>
      </c>
      <c r="C595" s="8" t="s">
        <v>679</v>
      </c>
      <c r="D595" s="8" t="s">
        <v>717</v>
      </c>
      <c r="E595" s="8" t="s">
        <v>728</v>
      </c>
      <c r="F595" s="8" t="s">
        <v>1406</v>
      </c>
      <c r="G595" s="8" t="s">
        <v>757</v>
      </c>
      <c r="H595" s="9">
        <v>13</v>
      </c>
      <c r="I595" s="8" t="s">
        <v>653</v>
      </c>
      <c r="J595" s="8" t="s">
        <v>1366</v>
      </c>
      <c r="K595" s="8" t="s">
        <v>16</v>
      </c>
      <c r="L595" s="8" t="s">
        <v>17</v>
      </c>
      <c r="M595" s="10" t="s">
        <v>679</v>
      </c>
      <c r="N595" s="10" t="s">
        <v>717</v>
      </c>
      <c r="O595" s="10" t="s">
        <v>653</v>
      </c>
      <c r="P595" s="1"/>
      <c r="Q595" s="11" t="b">
        <f>O595=P595</f>
        <v>0</v>
      </c>
      <c r="R595" s="30">
        <v>30041271</v>
      </c>
      <c r="S595" s="1"/>
      <c r="T595" s="11" t="b">
        <f>R595=S595</f>
        <v>0</v>
      </c>
      <c r="U595" s="10" t="s">
        <v>16</v>
      </c>
      <c r="V595" s="1"/>
      <c r="W595" s="11" t="b">
        <f>U595=V595</f>
        <v>0</v>
      </c>
      <c r="X595" s="13" t="s">
        <v>15</v>
      </c>
      <c r="Y595" s="1"/>
      <c r="Z595" s="1"/>
      <c r="AA595" s="60">
        <v>22000878</v>
      </c>
      <c r="AB595" s="10" t="s">
        <v>1409</v>
      </c>
      <c r="AD595" s="11" t="b">
        <f>AB595=AC595</f>
        <v>0</v>
      </c>
      <c r="AE595" s="10" t="s">
        <v>757</v>
      </c>
      <c r="AF595" s="1"/>
      <c r="AG595" s="11" t="b">
        <f>AE595=AF595</f>
        <v>0</v>
      </c>
      <c r="AH595" s="1">
        <v>13</v>
      </c>
      <c r="AI595" s="1">
        <v>7.37</v>
      </c>
      <c r="AJ595" s="16">
        <f>AI595*220/30*30.4375</f>
        <v>1645.0454166666666</v>
      </c>
      <c r="AK595" s="18">
        <v>1645.05</v>
      </c>
      <c r="AL595" s="71" t="s">
        <v>653</v>
      </c>
      <c r="AM595" s="19" t="b">
        <f>AL595=O595</f>
        <v>1</v>
      </c>
      <c r="AN595" s="7">
        <f>VLOOKUP(A595,'base ZITRHR129'!$G$1:$H$628,2,0)</f>
        <v>30041271</v>
      </c>
      <c r="AO595" s="7" t="b">
        <f>AN595=R595</f>
        <v>1</v>
      </c>
      <c r="AP595" s="7">
        <f>VLOOKUP(A595,'base ZITRHR129'!G37:W663,17,0)</f>
        <v>1645.05</v>
      </c>
      <c r="AQ595" s="7" t="b">
        <f>AP595=AK595</f>
        <v>1</v>
      </c>
      <c r="AR595" s="69"/>
    </row>
    <row r="596" spans="1:44" s="7" customFormat="1" ht="12" x14ac:dyDescent="0.2">
      <c r="A596" s="7">
        <v>10080711</v>
      </c>
      <c r="B596" s="8" t="s">
        <v>618</v>
      </c>
      <c r="C596" s="8" t="s">
        <v>679</v>
      </c>
      <c r="D596" s="8" t="s">
        <v>717</v>
      </c>
      <c r="E596" s="8" t="s">
        <v>728</v>
      </c>
      <c r="F596" s="8" t="s">
        <v>1406</v>
      </c>
      <c r="G596" s="8" t="s">
        <v>757</v>
      </c>
      <c r="H596" s="9">
        <v>13</v>
      </c>
      <c r="I596" s="8" t="s">
        <v>653</v>
      </c>
      <c r="J596" s="8" t="s">
        <v>1367</v>
      </c>
      <c r="K596" s="8" t="s">
        <v>16</v>
      </c>
      <c r="L596" s="8" t="s">
        <v>17</v>
      </c>
      <c r="M596" s="10" t="s">
        <v>679</v>
      </c>
      <c r="N596" s="10" t="s">
        <v>717</v>
      </c>
      <c r="O596" s="10" t="s">
        <v>653</v>
      </c>
      <c r="P596" s="1"/>
      <c r="Q596" s="11" t="b">
        <f>O596=P596</f>
        <v>0</v>
      </c>
      <c r="R596" s="30">
        <v>30041272</v>
      </c>
      <c r="S596" s="1"/>
      <c r="T596" s="11" t="b">
        <f>R596=S596</f>
        <v>0</v>
      </c>
      <c r="U596" s="10" t="s">
        <v>16</v>
      </c>
      <c r="V596" s="1"/>
      <c r="W596" s="11" t="b">
        <f>U596=V596</f>
        <v>0</v>
      </c>
      <c r="X596" s="13" t="s">
        <v>15</v>
      </c>
      <c r="Y596" s="1"/>
      <c r="Z596" s="1"/>
      <c r="AA596" s="60">
        <v>22000878</v>
      </c>
      <c r="AB596" s="10" t="s">
        <v>1409</v>
      </c>
      <c r="AD596" s="11" t="b">
        <f>AB596=AC596</f>
        <v>0</v>
      </c>
      <c r="AE596" s="10" t="s">
        <v>757</v>
      </c>
      <c r="AF596" s="1"/>
      <c r="AG596" s="11" t="b">
        <f>AE596=AF596</f>
        <v>0</v>
      </c>
      <c r="AH596" s="1">
        <v>13</v>
      </c>
      <c r="AI596" s="1">
        <v>7.37</v>
      </c>
      <c r="AJ596" s="16">
        <f>AI596*220/30*30.4375</f>
        <v>1645.0454166666666</v>
      </c>
      <c r="AK596" s="18">
        <v>1645.05</v>
      </c>
      <c r="AL596" s="71" t="s">
        <v>653</v>
      </c>
      <c r="AM596" s="19" t="b">
        <f>AL596=O596</f>
        <v>1</v>
      </c>
      <c r="AN596" s="7">
        <f>VLOOKUP(A596,'base ZITRHR129'!$G$1:$H$628,2,0)</f>
        <v>30041272</v>
      </c>
      <c r="AO596" s="7" t="b">
        <f>AN596=R596</f>
        <v>1</v>
      </c>
      <c r="AP596" s="7">
        <f>VLOOKUP(A596,'base ZITRHR129'!G36:W662,17,0)</f>
        <v>1645.05</v>
      </c>
      <c r="AQ596" s="7" t="b">
        <f>AP596=AK596</f>
        <v>1</v>
      </c>
      <c r="AR596" s="69"/>
    </row>
    <row r="597" spans="1:44" s="7" customFormat="1" ht="12" x14ac:dyDescent="0.2">
      <c r="A597" s="7">
        <v>10080712</v>
      </c>
      <c r="B597" s="8" t="s">
        <v>619</v>
      </c>
      <c r="C597" s="8" t="s">
        <v>684</v>
      </c>
      <c r="D597" s="8" t="s">
        <v>717</v>
      </c>
      <c r="E597" s="8" t="s">
        <v>728</v>
      </c>
      <c r="F597" s="8" t="s">
        <v>1406</v>
      </c>
      <c r="G597" s="8" t="s">
        <v>757</v>
      </c>
      <c r="H597" s="9">
        <v>13</v>
      </c>
      <c r="I597" s="8" t="s">
        <v>657</v>
      </c>
      <c r="J597" s="8" t="s">
        <v>1368</v>
      </c>
      <c r="K597" s="8" t="s">
        <v>16</v>
      </c>
      <c r="L597" s="8" t="s">
        <v>17</v>
      </c>
      <c r="M597" s="10" t="s">
        <v>684</v>
      </c>
      <c r="N597" s="10" t="s">
        <v>717</v>
      </c>
      <c r="O597" s="10" t="s">
        <v>657</v>
      </c>
      <c r="P597" s="1"/>
      <c r="Q597" s="11" t="b">
        <f>O597=P597</f>
        <v>0</v>
      </c>
      <c r="R597" s="30">
        <v>30041273</v>
      </c>
      <c r="S597" s="1"/>
      <c r="T597" s="11" t="b">
        <f>R597=S597</f>
        <v>0</v>
      </c>
      <c r="U597" s="10" t="s">
        <v>16</v>
      </c>
      <c r="V597" s="1"/>
      <c r="W597" s="11" t="b">
        <f>U597=V597</f>
        <v>0</v>
      </c>
      <c r="X597" s="13" t="s">
        <v>15</v>
      </c>
      <c r="Y597" s="1"/>
      <c r="Z597" s="1"/>
      <c r="AA597" s="60">
        <v>22000878</v>
      </c>
      <c r="AB597" s="10" t="s">
        <v>1409</v>
      </c>
      <c r="AD597" s="11" t="b">
        <f>AB597=AC597</f>
        <v>0</v>
      </c>
      <c r="AE597" s="10" t="s">
        <v>757</v>
      </c>
      <c r="AF597" s="1"/>
      <c r="AG597" s="11" t="b">
        <f>AE597=AF597</f>
        <v>0</v>
      </c>
      <c r="AH597" s="1">
        <v>13</v>
      </c>
      <c r="AI597" s="1">
        <v>7.37</v>
      </c>
      <c r="AJ597" s="16">
        <f>AI597*220/30*30.4375</f>
        <v>1645.0454166666666</v>
      </c>
      <c r="AK597" s="18">
        <v>1645.05</v>
      </c>
      <c r="AL597" s="71" t="s">
        <v>657</v>
      </c>
      <c r="AM597" s="19" t="b">
        <f>AL597=O597</f>
        <v>1</v>
      </c>
      <c r="AN597" s="7">
        <f>VLOOKUP(A597,'base ZITRHR129'!$G$1:$H$628,2,0)</f>
        <v>30041273</v>
      </c>
      <c r="AO597" s="7" t="b">
        <f>AN597=R597</f>
        <v>1</v>
      </c>
      <c r="AP597" s="7">
        <f>VLOOKUP(A597,'base ZITRHR129'!G35:W661,17,0)</f>
        <v>1645.05</v>
      </c>
      <c r="AQ597" s="7" t="b">
        <f>AP597=AK597</f>
        <v>1</v>
      </c>
      <c r="AR597" s="69"/>
    </row>
    <row r="598" spans="1:44" s="7" customFormat="1" ht="12" x14ac:dyDescent="0.2">
      <c r="A598" s="7">
        <v>10080713</v>
      </c>
      <c r="B598" s="8" t="s">
        <v>620</v>
      </c>
      <c r="C598" s="8" t="s">
        <v>701</v>
      </c>
      <c r="D598" s="8" t="s">
        <v>717</v>
      </c>
      <c r="E598" s="8" t="s">
        <v>728</v>
      </c>
      <c r="F598" s="8" t="s">
        <v>1406</v>
      </c>
      <c r="G598" s="8" t="s">
        <v>757</v>
      </c>
      <c r="H598" s="9">
        <v>13</v>
      </c>
      <c r="I598" s="8" t="s">
        <v>668</v>
      </c>
      <c r="J598" s="8" t="s">
        <v>1369</v>
      </c>
      <c r="K598" s="8" t="s">
        <v>16</v>
      </c>
      <c r="L598" s="8" t="s">
        <v>17</v>
      </c>
      <c r="M598" s="10" t="s">
        <v>701</v>
      </c>
      <c r="N598" s="10" t="s">
        <v>717</v>
      </c>
      <c r="O598" s="10" t="s">
        <v>668</v>
      </c>
      <c r="P598" s="1"/>
      <c r="Q598" s="11" t="b">
        <f>O598=P598</f>
        <v>0</v>
      </c>
      <c r="R598" s="30">
        <v>30041274</v>
      </c>
      <c r="S598" s="1"/>
      <c r="T598" s="11" t="b">
        <f>R598=S598</f>
        <v>0</v>
      </c>
      <c r="U598" s="10" t="s">
        <v>16</v>
      </c>
      <c r="V598" s="1"/>
      <c r="W598" s="11" t="b">
        <f>U598=V598</f>
        <v>0</v>
      </c>
      <c r="X598" s="13" t="s">
        <v>15</v>
      </c>
      <c r="Y598" s="1"/>
      <c r="Z598" s="1"/>
      <c r="AA598" s="60">
        <v>22000878</v>
      </c>
      <c r="AB598" s="10" t="s">
        <v>1409</v>
      </c>
      <c r="AD598" s="11" t="b">
        <f>AB598=AC598</f>
        <v>0</v>
      </c>
      <c r="AE598" s="10" t="s">
        <v>757</v>
      </c>
      <c r="AF598" s="1"/>
      <c r="AG598" s="11" t="b">
        <f>AE598=AF598</f>
        <v>0</v>
      </c>
      <c r="AH598" s="1">
        <v>13</v>
      </c>
      <c r="AI598" s="1">
        <v>7.37</v>
      </c>
      <c r="AJ598" s="16">
        <f>AI598*220/30*30.4375</f>
        <v>1645.0454166666666</v>
      </c>
      <c r="AK598" s="18">
        <v>1645.05</v>
      </c>
      <c r="AL598" s="71" t="s">
        <v>668</v>
      </c>
      <c r="AM598" s="19" t="b">
        <f>AL598=O598</f>
        <v>1</v>
      </c>
      <c r="AN598" s="7">
        <f>VLOOKUP(A598,'base ZITRHR129'!$G$1:$H$628,2,0)</f>
        <v>30041274</v>
      </c>
      <c r="AO598" s="7" t="b">
        <f>AN598=R598</f>
        <v>1</v>
      </c>
      <c r="AP598" s="7">
        <f>VLOOKUP(A598,'base ZITRHR129'!G34:W660,17,0)</f>
        <v>1645.05</v>
      </c>
      <c r="AQ598" s="7" t="b">
        <f>AP598=AK598</f>
        <v>1</v>
      </c>
      <c r="AR598" s="69"/>
    </row>
    <row r="599" spans="1:44" s="7" customFormat="1" ht="12" x14ac:dyDescent="0.2">
      <c r="A599" s="7">
        <v>10080714</v>
      </c>
      <c r="B599" s="8" t="s">
        <v>621</v>
      </c>
      <c r="C599" s="8" t="s">
        <v>684</v>
      </c>
      <c r="D599" s="8" t="s">
        <v>717</v>
      </c>
      <c r="E599" s="8" t="s">
        <v>728</v>
      </c>
      <c r="F599" s="8" t="s">
        <v>1406</v>
      </c>
      <c r="G599" s="8" t="s">
        <v>757</v>
      </c>
      <c r="H599" s="9">
        <v>13</v>
      </c>
      <c r="I599" s="8" t="s">
        <v>657</v>
      </c>
      <c r="J599" s="8" t="s">
        <v>1370</v>
      </c>
      <c r="K599" s="8" t="s">
        <v>16</v>
      </c>
      <c r="L599" s="8" t="s">
        <v>17</v>
      </c>
      <c r="M599" s="10" t="s">
        <v>684</v>
      </c>
      <c r="N599" s="10" t="s">
        <v>717</v>
      </c>
      <c r="O599" s="10" t="s">
        <v>657</v>
      </c>
      <c r="P599" s="1"/>
      <c r="Q599" s="11" t="b">
        <f>O599=P599</f>
        <v>0</v>
      </c>
      <c r="R599" s="30">
        <v>30041275</v>
      </c>
      <c r="S599" s="1"/>
      <c r="T599" s="11" t="b">
        <f>R599=S599</f>
        <v>0</v>
      </c>
      <c r="U599" s="10" t="s">
        <v>16</v>
      </c>
      <c r="V599" s="1"/>
      <c r="W599" s="11" t="b">
        <f>U599=V599</f>
        <v>0</v>
      </c>
      <c r="X599" s="13" t="s">
        <v>15</v>
      </c>
      <c r="Y599" s="1"/>
      <c r="Z599" s="1"/>
      <c r="AA599" s="60">
        <v>22000878</v>
      </c>
      <c r="AB599" s="10" t="s">
        <v>1409</v>
      </c>
      <c r="AD599" s="11" t="b">
        <f>AB599=AC599</f>
        <v>0</v>
      </c>
      <c r="AE599" s="10" t="s">
        <v>757</v>
      </c>
      <c r="AF599" s="1"/>
      <c r="AG599" s="11" t="b">
        <f>AE599=AF599</f>
        <v>0</v>
      </c>
      <c r="AH599" s="1">
        <v>13</v>
      </c>
      <c r="AI599" s="1">
        <v>7.37</v>
      </c>
      <c r="AJ599" s="16">
        <f>AI599*220/30*30.4375</f>
        <v>1645.0454166666666</v>
      </c>
      <c r="AK599" s="18">
        <v>1645.05</v>
      </c>
      <c r="AL599" s="71" t="s">
        <v>657</v>
      </c>
      <c r="AM599" s="19" t="b">
        <f>AL599=O599</f>
        <v>1</v>
      </c>
      <c r="AN599" s="7">
        <f>VLOOKUP(A599,'base ZITRHR129'!$G$1:$H$628,2,0)</f>
        <v>30041275</v>
      </c>
      <c r="AO599" s="7" t="b">
        <f>AN599=R599</f>
        <v>1</v>
      </c>
      <c r="AP599" s="7">
        <f>VLOOKUP(A599,'base ZITRHR129'!G33:W659,17,0)</f>
        <v>1645.05</v>
      </c>
      <c r="AQ599" s="7" t="b">
        <f>AP599=AK599</f>
        <v>1</v>
      </c>
      <c r="AR599" s="69"/>
    </row>
    <row r="600" spans="1:44" s="7" customFormat="1" ht="12" x14ac:dyDescent="0.2">
      <c r="A600" s="7">
        <v>10080716</v>
      </c>
      <c r="B600" s="8" t="s">
        <v>622</v>
      </c>
      <c r="C600" s="8" t="s">
        <v>702</v>
      </c>
      <c r="D600" s="8" t="s">
        <v>717</v>
      </c>
      <c r="E600" s="8" t="s">
        <v>728</v>
      </c>
      <c r="F600" s="8" t="s">
        <v>1406</v>
      </c>
      <c r="G600" s="8" t="s">
        <v>757</v>
      </c>
      <c r="H600" s="9">
        <v>13</v>
      </c>
      <c r="I600" s="8" t="s">
        <v>668</v>
      </c>
      <c r="J600" s="8" t="s">
        <v>1371</v>
      </c>
      <c r="K600" s="8" t="s">
        <v>16</v>
      </c>
      <c r="L600" s="8" t="s">
        <v>17</v>
      </c>
      <c r="M600" s="10" t="s">
        <v>702</v>
      </c>
      <c r="N600" s="10" t="s">
        <v>717</v>
      </c>
      <c r="O600" s="10" t="s">
        <v>668</v>
      </c>
      <c r="P600" s="1"/>
      <c r="Q600" s="11" t="b">
        <f>O600=P600</f>
        <v>0</v>
      </c>
      <c r="R600" s="30">
        <v>30041276</v>
      </c>
      <c r="S600" s="1"/>
      <c r="T600" s="11" t="b">
        <f>R600=S600</f>
        <v>0</v>
      </c>
      <c r="U600" s="10" t="s">
        <v>16</v>
      </c>
      <c r="V600" s="1"/>
      <c r="W600" s="11" t="b">
        <f>U600=V600</f>
        <v>0</v>
      </c>
      <c r="X600" s="13" t="s">
        <v>15</v>
      </c>
      <c r="Y600" s="1"/>
      <c r="Z600" s="1"/>
      <c r="AA600" s="60">
        <v>22000878</v>
      </c>
      <c r="AB600" s="10" t="s">
        <v>1409</v>
      </c>
      <c r="AD600" s="11" t="b">
        <f>AB600=AC600</f>
        <v>0</v>
      </c>
      <c r="AE600" s="10" t="s">
        <v>757</v>
      </c>
      <c r="AF600" s="1"/>
      <c r="AG600" s="11" t="b">
        <f>AE600=AF600</f>
        <v>0</v>
      </c>
      <c r="AH600" s="1">
        <v>13</v>
      </c>
      <c r="AI600" s="1">
        <v>7.37</v>
      </c>
      <c r="AJ600" s="16">
        <f>AI600*220/30*30.4375</f>
        <v>1645.0454166666666</v>
      </c>
      <c r="AK600" s="18">
        <v>1645.05</v>
      </c>
      <c r="AL600" s="71" t="s">
        <v>668</v>
      </c>
      <c r="AM600" s="19" t="b">
        <f>AL600=O600</f>
        <v>1</v>
      </c>
      <c r="AN600" s="7">
        <f>VLOOKUP(A600,'base ZITRHR129'!$G$1:$H$628,2,0)</f>
        <v>30041276</v>
      </c>
      <c r="AO600" s="7" t="b">
        <f>AN600=R600</f>
        <v>1</v>
      </c>
      <c r="AP600" s="7">
        <f>VLOOKUP(A600,'base ZITRHR129'!G32:W658,17,0)</f>
        <v>1645.05</v>
      </c>
      <c r="AQ600" s="7" t="b">
        <f>AP600=AK600</f>
        <v>1</v>
      </c>
      <c r="AR600" s="69"/>
    </row>
    <row r="601" spans="1:44" s="7" customFormat="1" ht="12" x14ac:dyDescent="0.2">
      <c r="A601" s="7">
        <v>10080717</v>
      </c>
      <c r="B601" s="8" t="s">
        <v>623</v>
      </c>
      <c r="C601" s="8" t="s">
        <v>689</v>
      </c>
      <c r="D601" s="8" t="s">
        <v>717</v>
      </c>
      <c r="E601" s="8" t="s">
        <v>728</v>
      </c>
      <c r="F601" s="8" t="s">
        <v>1406</v>
      </c>
      <c r="G601" s="8" t="s">
        <v>757</v>
      </c>
      <c r="H601" s="9">
        <v>13</v>
      </c>
      <c r="I601" s="8" t="s">
        <v>662</v>
      </c>
      <c r="J601" s="8" t="s">
        <v>1372</v>
      </c>
      <c r="K601" s="8" t="s">
        <v>16</v>
      </c>
      <c r="L601" s="8" t="s">
        <v>17</v>
      </c>
      <c r="M601" s="10" t="s">
        <v>689</v>
      </c>
      <c r="N601" s="10" t="s">
        <v>717</v>
      </c>
      <c r="O601" s="10" t="s">
        <v>662</v>
      </c>
      <c r="P601" s="1"/>
      <c r="Q601" s="11" t="b">
        <f>O601=P601</f>
        <v>0</v>
      </c>
      <c r="R601" s="30">
        <v>30041277</v>
      </c>
      <c r="S601" s="1"/>
      <c r="T601" s="11" t="b">
        <f>R601=S601</f>
        <v>0</v>
      </c>
      <c r="U601" s="10" t="s">
        <v>16</v>
      </c>
      <c r="V601" s="1"/>
      <c r="W601" s="11" t="b">
        <f>U601=V601</f>
        <v>0</v>
      </c>
      <c r="X601" s="13" t="s">
        <v>15</v>
      </c>
      <c r="Y601" s="1"/>
      <c r="Z601" s="1"/>
      <c r="AA601" s="14">
        <v>22000878</v>
      </c>
      <c r="AB601" s="10" t="s">
        <v>1409</v>
      </c>
      <c r="AD601" s="11" t="b">
        <f>AB601=AC601</f>
        <v>0</v>
      </c>
      <c r="AE601" s="10" t="s">
        <v>757</v>
      </c>
      <c r="AF601" s="1"/>
      <c r="AG601" s="11" t="b">
        <f>AE601=AF601</f>
        <v>0</v>
      </c>
      <c r="AH601" s="1">
        <v>13</v>
      </c>
      <c r="AI601" s="1">
        <v>7.37</v>
      </c>
      <c r="AJ601" s="16">
        <f>AI601*220/30*30.4375</f>
        <v>1645.0454166666666</v>
      </c>
      <c r="AK601" s="18">
        <v>1645.05</v>
      </c>
      <c r="AL601" s="71" t="s">
        <v>662</v>
      </c>
      <c r="AM601" s="19" t="b">
        <f>AL601=O601</f>
        <v>1</v>
      </c>
      <c r="AN601" s="7">
        <f>VLOOKUP(A601,'base ZITRHR129'!$G$1:$H$628,2,0)</f>
        <v>30041277</v>
      </c>
      <c r="AO601" s="7" t="b">
        <f>AN601=R601</f>
        <v>1</v>
      </c>
      <c r="AP601" s="7">
        <f>VLOOKUP(A601,'base ZITRHR129'!G31:W657,17,0)</f>
        <v>1645.05</v>
      </c>
      <c r="AQ601" s="7" t="b">
        <f>AP601=AK601</f>
        <v>1</v>
      </c>
      <c r="AR601" s="69"/>
    </row>
    <row r="602" spans="1:44" s="7" customFormat="1" ht="12" x14ac:dyDescent="0.2">
      <c r="A602" s="7">
        <v>10080718</v>
      </c>
      <c r="B602" s="8" t="s">
        <v>624</v>
      </c>
      <c r="C602" s="8" t="s">
        <v>701</v>
      </c>
      <c r="D602" s="8" t="s">
        <v>717</v>
      </c>
      <c r="E602" s="8" t="s">
        <v>728</v>
      </c>
      <c r="F602" s="8" t="s">
        <v>1406</v>
      </c>
      <c r="G602" s="8" t="s">
        <v>757</v>
      </c>
      <c r="H602" s="9">
        <v>13</v>
      </c>
      <c r="I602" s="8" t="s">
        <v>668</v>
      </c>
      <c r="J602" s="8" t="s">
        <v>1373</v>
      </c>
      <c r="K602" s="8" t="s">
        <v>16</v>
      </c>
      <c r="L602" s="8" t="s">
        <v>17</v>
      </c>
      <c r="M602" s="10" t="s">
        <v>701</v>
      </c>
      <c r="N602" s="10" t="s">
        <v>717</v>
      </c>
      <c r="O602" s="10" t="s">
        <v>668</v>
      </c>
      <c r="P602" s="1"/>
      <c r="Q602" s="11" t="b">
        <f>O602=P602</f>
        <v>0</v>
      </c>
      <c r="R602" s="30">
        <v>30041278</v>
      </c>
      <c r="S602" s="1"/>
      <c r="T602" s="11" t="b">
        <f>R602=S602</f>
        <v>0</v>
      </c>
      <c r="U602" s="10" t="s">
        <v>16</v>
      </c>
      <c r="V602" s="1"/>
      <c r="W602" s="11" t="b">
        <f>U602=V602</f>
        <v>0</v>
      </c>
      <c r="X602" s="13" t="s">
        <v>15</v>
      </c>
      <c r="Y602" s="1"/>
      <c r="Z602" s="1"/>
      <c r="AA602" s="60">
        <v>22000878</v>
      </c>
      <c r="AB602" s="10" t="s">
        <v>1409</v>
      </c>
      <c r="AD602" s="11" t="b">
        <f>AB602=AC602</f>
        <v>0</v>
      </c>
      <c r="AE602" s="10" t="s">
        <v>757</v>
      </c>
      <c r="AF602" s="1"/>
      <c r="AG602" s="11" t="b">
        <f>AE602=AF602</f>
        <v>0</v>
      </c>
      <c r="AH602" s="1">
        <v>13</v>
      </c>
      <c r="AI602" s="1">
        <v>7.37</v>
      </c>
      <c r="AJ602" s="16">
        <f>AI602*220/30*30.4375</f>
        <v>1645.0454166666666</v>
      </c>
      <c r="AK602" s="18">
        <v>1645.05</v>
      </c>
      <c r="AL602" s="71" t="s">
        <v>668</v>
      </c>
      <c r="AM602" s="19" t="b">
        <f>AL602=O602</f>
        <v>1</v>
      </c>
      <c r="AN602" s="7">
        <f>VLOOKUP(A602,'base ZITRHR129'!$G$1:$H$628,2,0)</f>
        <v>30041278</v>
      </c>
      <c r="AO602" s="7" t="b">
        <f>AN602=R602</f>
        <v>1</v>
      </c>
      <c r="AP602" s="7">
        <f>VLOOKUP(A602,'base ZITRHR129'!G30:W656,17,0)</f>
        <v>1645.05</v>
      </c>
      <c r="AQ602" s="7" t="b">
        <f>AP602=AK602</f>
        <v>1</v>
      </c>
      <c r="AR602" s="69"/>
    </row>
    <row r="603" spans="1:44" s="7" customFormat="1" ht="12" x14ac:dyDescent="0.2">
      <c r="A603" s="7">
        <v>10080720</v>
      </c>
      <c r="B603" s="8" t="s">
        <v>625</v>
      </c>
      <c r="C603" s="8" t="s">
        <v>682</v>
      </c>
      <c r="D603" s="8" t="s">
        <v>717</v>
      </c>
      <c r="E603" s="8" t="s">
        <v>728</v>
      </c>
      <c r="F603" s="8" t="s">
        <v>1406</v>
      </c>
      <c r="G603" s="8" t="s">
        <v>757</v>
      </c>
      <c r="H603" s="9">
        <v>13</v>
      </c>
      <c r="I603" s="8" t="s">
        <v>655</v>
      </c>
      <c r="J603" s="8" t="s">
        <v>1374</v>
      </c>
      <c r="K603" s="8" t="s">
        <v>16</v>
      </c>
      <c r="L603" s="8" t="s">
        <v>17</v>
      </c>
      <c r="M603" s="10" t="s">
        <v>682</v>
      </c>
      <c r="N603" s="10" t="s">
        <v>717</v>
      </c>
      <c r="O603" s="10" t="s">
        <v>655</v>
      </c>
      <c r="P603" s="1"/>
      <c r="Q603" s="11" t="b">
        <f>O603=P603</f>
        <v>0</v>
      </c>
      <c r="R603" s="30">
        <v>30041279</v>
      </c>
      <c r="S603" s="1"/>
      <c r="T603" s="11" t="b">
        <f>R603=S603</f>
        <v>0</v>
      </c>
      <c r="U603" s="10" t="s">
        <v>16</v>
      </c>
      <c r="V603" s="1"/>
      <c r="W603" s="11" t="b">
        <f>U603=V603</f>
        <v>0</v>
      </c>
      <c r="X603" s="13" t="s">
        <v>15</v>
      </c>
      <c r="Y603" s="1"/>
      <c r="Z603" s="1"/>
      <c r="AA603" s="60">
        <v>22000878</v>
      </c>
      <c r="AB603" s="10" t="s">
        <v>1409</v>
      </c>
      <c r="AD603" s="11" t="b">
        <f>AB603=AC603</f>
        <v>0</v>
      </c>
      <c r="AE603" s="10" t="s">
        <v>757</v>
      </c>
      <c r="AF603" s="1"/>
      <c r="AG603" s="11" t="b">
        <f>AE603=AF603</f>
        <v>0</v>
      </c>
      <c r="AH603" s="1">
        <v>13</v>
      </c>
      <c r="AI603" s="1">
        <v>7.37</v>
      </c>
      <c r="AJ603" s="16">
        <f>AI603*220/30*30.4375</f>
        <v>1645.0454166666666</v>
      </c>
      <c r="AK603" s="18">
        <v>1645.05</v>
      </c>
      <c r="AL603" s="71" t="s">
        <v>655</v>
      </c>
      <c r="AM603" s="19" t="b">
        <f>AL603=O603</f>
        <v>1</v>
      </c>
      <c r="AN603" s="7">
        <f>VLOOKUP(A603,'base ZITRHR129'!$G$1:$H$628,2,0)</f>
        <v>30041279</v>
      </c>
      <c r="AO603" s="7" t="b">
        <f>AN603=R603</f>
        <v>1</v>
      </c>
      <c r="AP603" s="7">
        <f>VLOOKUP(A603,'base ZITRHR129'!G29:W655,17,0)</f>
        <v>1645.05</v>
      </c>
      <c r="AQ603" s="7" t="b">
        <f>AP603=AK603</f>
        <v>1</v>
      </c>
      <c r="AR603" s="69"/>
    </row>
    <row r="604" spans="1:44" s="7" customFormat="1" ht="12" x14ac:dyDescent="0.2">
      <c r="A604" s="7">
        <v>10080842</v>
      </c>
      <c r="B604" s="8" t="s">
        <v>626</v>
      </c>
      <c r="C604" s="8" t="s">
        <v>684</v>
      </c>
      <c r="D604" s="8" t="s">
        <v>717</v>
      </c>
      <c r="E604" s="8" t="s">
        <v>728</v>
      </c>
      <c r="F604" s="8" t="s">
        <v>1406</v>
      </c>
      <c r="G604" s="8" t="s">
        <v>757</v>
      </c>
      <c r="H604" s="9">
        <v>13</v>
      </c>
      <c r="I604" s="8" t="s">
        <v>657</v>
      </c>
      <c r="J604" s="8" t="s">
        <v>1375</v>
      </c>
      <c r="K604" s="8" t="s">
        <v>16</v>
      </c>
      <c r="L604" s="8" t="s">
        <v>17</v>
      </c>
      <c r="M604" s="10" t="s">
        <v>684</v>
      </c>
      <c r="N604" s="10" t="s">
        <v>717</v>
      </c>
      <c r="O604" s="10" t="s">
        <v>657</v>
      </c>
      <c r="P604" s="1"/>
      <c r="Q604" s="11" t="b">
        <f>O604=P604</f>
        <v>0</v>
      </c>
      <c r="R604" s="30">
        <v>30041280</v>
      </c>
      <c r="S604" s="1"/>
      <c r="T604" s="11" t="b">
        <f>R604=S604</f>
        <v>0</v>
      </c>
      <c r="U604" s="10" t="s">
        <v>16</v>
      </c>
      <c r="V604" s="1"/>
      <c r="W604" s="11" t="b">
        <f>U604=V604</f>
        <v>0</v>
      </c>
      <c r="X604" s="13" t="s">
        <v>15</v>
      </c>
      <c r="Y604" s="1"/>
      <c r="Z604" s="1"/>
      <c r="AA604" s="60">
        <v>22000878</v>
      </c>
      <c r="AB604" s="10" t="s">
        <v>1409</v>
      </c>
      <c r="AD604" s="11" t="b">
        <f>AB604=AC604</f>
        <v>0</v>
      </c>
      <c r="AE604" s="10" t="s">
        <v>757</v>
      </c>
      <c r="AF604" s="1"/>
      <c r="AG604" s="11" t="b">
        <f>AE604=AF604</f>
        <v>0</v>
      </c>
      <c r="AH604" s="1">
        <v>13</v>
      </c>
      <c r="AI604" s="1">
        <v>7.37</v>
      </c>
      <c r="AJ604" s="16">
        <f>AI604*220/30*30.4375</f>
        <v>1645.0454166666666</v>
      </c>
      <c r="AK604" s="18">
        <v>1645.05</v>
      </c>
      <c r="AL604" s="71" t="s">
        <v>657</v>
      </c>
      <c r="AM604" s="19" t="b">
        <f>AL604=O604</f>
        <v>1</v>
      </c>
      <c r="AN604" s="7">
        <f>VLOOKUP(A604,'base ZITRHR129'!$G$1:$H$628,2,0)</f>
        <v>30041280</v>
      </c>
      <c r="AO604" s="7" t="b">
        <f>AN604=R604</f>
        <v>1</v>
      </c>
      <c r="AP604" s="7">
        <f>VLOOKUP(A604,'base ZITRHR129'!G28:W654,17,0)</f>
        <v>1645.05</v>
      </c>
      <c r="AQ604" s="7" t="b">
        <f>AP604=AK604</f>
        <v>1</v>
      </c>
      <c r="AR604" s="69"/>
    </row>
    <row r="605" spans="1:44" s="7" customFormat="1" ht="12" x14ac:dyDescent="0.2">
      <c r="A605" s="7">
        <v>10080859</v>
      </c>
      <c r="B605" s="8" t="s">
        <v>627</v>
      </c>
      <c r="C605" s="8" t="s">
        <v>684</v>
      </c>
      <c r="D605" s="8" t="s">
        <v>717</v>
      </c>
      <c r="E605" s="8" t="s">
        <v>728</v>
      </c>
      <c r="F605" s="8" t="s">
        <v>1406</v>
      </c>
      <c r="G605" s="8" t="s">
        <v>757</v>
      </c>
      <c r="H605" s="9">
        <v>13</v>
      </c>
      <c r="I605" s="8" t="s">
        <v>657</v>
      </c>
      <c r="J605" s="8" t="s">
        <v>1376</v>
      </c>
      <c r="K605" s="8" t="s">
        <v>16</v>
      </c>
      <c r="L605" s="8" t="s">
        <v>17</v>
      </c>
      <c r="M605" s="10" t="s">
        <v>684</v>
      </c>
      <c r="N605" s="10" t="s">
        <v>717</v>
      </c>
      <c r="O605" s="10" t="s">
        <v>657</v>
      </c>
      <c r="P605" s="1"/>
      <c r="Q605" s="11" t="b">
        <f>O605=P605</f>
        <v>0</v>
      </c>
      <c r="R605" s="30">
        <v>30041281</v>
      </c>
      <c r="S605" s="1"/>
      <c r="T605" s="11" t="b">
        <f>R605=S605</f>
        <v>0</v>
      </c>
      <c r="U605" s="10" t="s">
        <v>16</v>
      </c>
      <c r="V605" s="1"/>
      <c r="W605" s="11" t="b">
        <f>U605=V605</f>
        <v>0</v>
      </c>
      <c r="X605" s="13" t="s">
        <v>15</v>
      </c>
      <c r="Y605" s="1"/>
      <c r="Z605" s="1"/>
      <c r="AA605" s="60">
        <v>22000878</v>
      </c>
      <c r="AB605" s="10" t="s">
        <v>1409</v>
      </c>
      <c r="AD605" s="11" t="b">
        <f>AB605=AC605</f>
        <v>0</v>
      </c>
      <c r="AE605" s="10" t="s">
        <v>757</v>
      </c>
      <c r="AF605" s="1"/>
      <c r="AG605" s="11" t="b">
        <f>AE605=AF605</f>
        <v>0</v>
      </c>
      <c r="AH605" s="1">
        <v>13</v>
      </c>
      <c r="AI605" s="1">
        <v>7.37</v>
      </c>
      <c r="AJ605" s="16">
        <f>AI605*220/30*30.4375</f>
        <v>1645.0454166666666</v>
      </c>
      <c r="AK605" s="18">
        <v>1645.05</v>
      </c>
      <c r="AL605" s="71" t="s">
        <v>657</v>
      </c>
      <c r="AM605" s="19" t="b">
        <f>AL605=O605</f>
        <v>1</v>
      </c>
      <c r="AN605" s="7">
        <f>VLOOKUP(A605,'base ZITRHR129'!$G$1:$H$628,2,0)</f>
        <v>30041281</v>
      </c>
      <c r="AO605" s="7" t="b">
        <f>AN605=R605</f>
        <v>1</v>
      </c>
      <c r="AP605" s="7">
        <f>VLOOKUP(A605,'base ZITRHR129'!G27:W653,17,0)</f>
        <v>1645.05</v>
      </c>
      <c r="AQ605" s="7" t="b">
        <f>AP605=AK605</f>
        <v>1</v>
      </c>
      <c r="AR605" s="69"/>
    </row>
    <row r="606" spans="1:44" s="7" customFormat="1" ht="12" x14ac:dyDescent="0.2">
      <c r="A606" s="7">
        <v>10081018</v>
      </c>
      <c r="B606" s="8" t="s">
        <v>628</v>
      </c>
      <c r="C606" s="8" t="s">
        <v>679</v>
      </c>
      <c r="D606" s="8" t="s">
        <v>717</v>
      </c>
      <c r="E606" s="8" t="s">
        <v>741</v>
      </c>
      <c r="F606" s="8" t="s">
        <v>1406</v>
      </c>
      <c r="G606" s="8" t="s">
        <v>768</v>
      </c>
      <c r="H606" s="9">
        <v>16</v>
      </c>
      <c r="I606" s="8" t="s">
        <v>653</v>
      </c>
      <c r="J606" s="8" t="s">
        <v>1377</v>
      </c>
      <c r="K606" s="8" t="s">
        <v>16</v>
      </c>
      <c r="L606" s="8" t="s">
        <v>17</v>
      </c>
      <c r="M606" s="10" t="s">
        <v>679</v>
      </c>
      <c r="N606" s="10" t="s">
        <v>717</v>
      </c>
      <c r="O606" s="10" t="s">
        <v>653</v>
      </c>
      <c r="P606" s="1"/>
      <c r="Q606" s="11" t="b">
        <f>O606=P606</f>
        <v>0</v>
      </c>
      <c r="R606" s="30">
        <v>30041282</v>
      </c>
      <c r="S606" s="1"/>
      <c r="T606" s="11" t="b">
        <f>R606=S606</f>
        <v>0</v>
      </c>
      <c r="U606" s="10" t="s">
        <v>16</v>
      </c>
      <c r="V606" s="1"/>
      <c r="W606" s="11" t="b">
        <f>U606=V606</f>
        <v>0</v>
      </c>
      <c r="X606" s="13" t="s">
        <v>15</v>
      </c>
      <c r="Y606" s="1"/>
      <c r="Z606" s="1"/>
      <c r="AA606" s="63">
        <v>22002748</v>
      </c>
      <c r="AB606" s="10" t="s">
        <v>1409</v>
      </c>
      <c r="AD606" s="11" t="b">
        <f>AB606=AC606</f>
        <v>0</v>
      </c>
      <c r="AE606" s="10" t="s">
        <v>768</v>
      </c>
      <c r="AF606" s="1"/>
      <c r="AG606" s="11" t="b">
        <f>AE606=AF606</f>
        <v>0</v>
      </c>
      <c r="AH606" s="1">
        <v>16</v>
      </c>
      <c r="AI606" s="1">
        <v>8.52</v>
      </c>
      <c r="AJ606" s="16">
        <f>AI606*220/30*30.4375</f>
        <v>1901.7349999999999</v>
      </c>
      <c r="AK606" s="18">
        <v>1901.74</v>
      </c>
      <c r="AL606" s="71" t="s">
        <v>653</v>
      </c>
      <c r="AM606" s="19" t="b">
        <f>AL606=O606</f>
        <v>1</v>
      </c>
      <c r="AN606" s="7">
        <f>VLOOKUP(A606,'base ZITRHR129'!$G$1:$H$628,2,0)</f>
        <v>30041282</v>
      </c>
      <c r="AO606" s="7" t="b">
        <f>AN606=R606</f>
        <v>1</v>
      </c>
      <c r="AP606" s="7">
        <f>VLOOKUP(A606,'base ZITRHR129'!G26:W652,17,0)</f>
        <v>1901.74</v>
      </c>
      <c r="AQ606" s="7" t="b">
        <f>AP606=AK606</f>
        <v>1</v>
      </c>
      <c r="AR606" s="69"/>
    </row>
    <row r="607" spans="1:44" s="7" customFormat="1" ht="12" x14ac:dyDescent="0.2">
      <c r="A607" s="7">
        <v>10081107</v>
      </c>
      <c r="B607" s="8" t="s">
        <v>629</v>
      </c>
      <c r="C607" s="8" t="s">
        <v>713</v>
      </c>
      <c r="D607" s="8" t="s">
        <v>717</v>
      </c>
      <c r="E607" s="8" t="s">
        <v>739</v>
      </c>
      <c r="F607" s="8" t="s">
        <v>1406</v>
      </c>
      <c r="G607" s="8" t="s">
        <v>766</v>
      </c>
      <c r="H607" s="9">
        <v>14</v>
      </c>
      <c r="I607" s="8" t="s">
        <v>659</v>
      </c>
      <c r="J607" s="8" t="s">
        <v>1378</v>
      </c>
      <c r="K607" s="8" t="s">
        <v>6</v>
      </c>
      <c r="L607" s="8" t="s">
        <v>17</v>
      </c>
      <c r="M607" s="10" t="s">
        <v>713</v>
      </c>
      <c r="N607" s="10" t="s">
        <v>717</v>
      </c>
      <c r="O607" s="10" t="s">
        <v>659</v>
      </c>
      <c r="P607" s="1"/>
      <c r="Q607" s="11" t="b">
        <f>O607=P607</f>
        <v>0</v>
      </c>
      <c r="R607" s="30">
        <v>30041283</v>
      </c>
      <c r="S607" s="1"/>
      <c r="T607" s="11" t="b">
        <f>R607=S607</f>
        <v>0</v>
      </c>
      <c r="U607" s="10" t="s">
        <v>6</v>
      </c>
      <c r="V607" s="1"/>
      <c r="W607" s="11" t="b">
        <f>U607=V607</f>
        <v>0</v>
      </c>
      <c r="X607" s="13" t="s">
        <v>15</v>
      </c>
      <c r="Y607" s="1"/>
      <c r="Z607" s="1"/>
      <c r="AA607" s="63">
        <v>22001415</v>
      </c>
      <c r="AB607" s="10" t="s">
        <v>1409</v>
      </c>
      <c r="AD607" s="11" t="b">
        <f>AB607=AC607</f>
        <v>0</v>
      </c>
      <c r="AE607" s="10" t="s">
        <v>766</v>
      </c>
      <c r="AF607" s="1"/>
      <c r="AG607" s="11" t="b">
        <f>AE607=AF607</f>
        <v>0</v>
      </c>
      <c r="AH607" s="1">
        <v>14</v>
      </c>
      <c r="AI607" s="1">
        <v>7.37</v>
      </c>
      <c r="AJ607" s="16">
        <f>AI607*220/30*30.4375</f>
        <v>1645.0454166666666</v>
      </c>
      <c r="AK607" s="18">
        <v>1645.05</v>
      </c>
      <c r="AL607" s="71" t="s">
        <v>659</v>
      </c>
      <c r="AM607" s="19" t="b">
        <f>AL607=O607</f>
        <v>1</v>
      </c>
      <c r="AN607" s="7">
        <f>VLOOKUP(A607,'base ZITRHR129'!$G$1:$H$628,2,0)</f>
        <v>30041283</v>
      </c>
      <c r="AO607" s="7" t="b">
        <f>AN607=R607</f>
        <v>1</v>
      </c>
      <c r="AP607" s="7">
        <f>VLOOKUP(A607,'base ZITRHR129'!G25:W651,17,0)</f>
        <v>1645.05</v>
      </c>
      <c r="AQ607" s="7" t="b">
        <f>AP607=AK607</f>
        <v>1</v>
      </c>
      <c r="AR607" s="69"/>
    </row>
    <row r="608" spans="1:44" s="7" customFormat="1" ht="12" x14ac:dyDescent="0.2">
      <c r="A608" s="7">
        <v>10081108</v>
      </c>
      <c r="B608" s="8" t="s">
        <v>630</v>
      </c>
      <c r="C608" s="8" t="s">
        <v>713</v>
      </c>
      <c r="D608" s="8" t="s">
        <v>717</v>
      </c>
      <c r="E608" s="8" t="s">
        <v>739</v>
      </c>
      <c r="F608" s="8" t="s">
        <v>1406</v>
      </c>
      <c r="G608" s="8" t="s">
        <v>766</v>
      </c>
      <c r="H608" s="9">
        <v>14</v>
      </c>
      <c r="I608" s="8" t="s">
        <v>659</v>
      </c>
      <c r="J608" s="8" t="s">
        <v>1379</v>
      </c>
      <c r="K608" s="8" t="s">
        <v>6</v>
      </c>
      <c r="L608" s="8" t="s">
        <v>17</v>
      </c>
      <c r="M608" s="10" t="s">
        <v>713</v>
      </c>
      <c r="N608" s="10" t="s">
        <v>717</v>
      </c>
      <c r="O608" s="10" t="s">
        <v>659</v>
      </c>
      <c r="P608" s="1"/>
      <c r="Q608" s="11" t="b">
        <f>O608=P608</f>
        <v>0</v>
      </c>
      <c r="R608" s="30">
        <v>30041284</v>
      </c>
      <c r="S608" s="1"/>
      <c r="T608" s="11" t="b">
        <f>R608=S608</f>
        <v>0</v>
      </c>
      <c r="U608" s="10" t="s">
        <v>6</v>
      </c>
      <c r="V608" s="1"/>
      <c r="W608" s="11" t="b">
        <f>U608=V608</f>
        <v>0</v>
      </c>
      <c r="X608" s="13" t="s">
        <v>15</v>
      </c>
      <c r="Y608" s="1"/>
      <c r="Z608" s="1"/>
      <c r="AA608" s="63">
        <v>22001415</v>
      </c>
      <c r="AB608" s="10" t="s">
        <v>1409</v>
      </c>
      <c r="AD608" s="11" t="b">
        <f>AB608=AC608</f>
        <v>0</v>
      </c>
      <c r="AE608" s="10" t="s">
        <v>766</v>
      </c>
      <c r="AF608" s="1"/>
      <c r="AG608" s="11" t="b">
        <f>AE608=AF608</f>
        <v>0</v>
      </c>
      <c r="AH608" s="1">
        <v>14</v>
      </c>
      <c r="AI608" s="1">
        <v>7.37</v>
      </c>
      <c r="AJ608" s="16">
        <f>AI608*220/30*30.4375</f>
        <v>1645.0454166666666</v>
      </c>
      <c r="AK608" s="18">
        <v>1645.05</v>
      </c>
      <c r="AL608" s="71" t="s">
        <v>659</v>
      </c>
      <c r="AM608" s="19" t="b">
        <f>AL608=O608</f>
        <v>1</v>
      </c>
      <c r="AN608" s="7">
        <f>VLOOKUP(A608,'base ZITRHR129'!$G$1:$H$628,2,0)</f>
        <v>30041284</v>
      </c>
      <c r="AO608" s="7" t="b">
        <f>AN608=R608</f>
        <v>1</v>
      </c>
      <c r="AP608" s="7">
        <f>VLOOKUP(A608,'base ZITRHR129'!G24:W650,17,0)</f>
        <v>1645.05</v>
      </c>
      <c r="AQ608" s="7" t="b">
        <f>AP608=AK608</f>
        <v>1</v>
      </c>
      <c r="AR608" s="69"/>
    </row>
    <row r="609" spans="1:44" s="7" customFormat="1" ht="12" x14ac:dyDescent="0.2">
      <c r="A609" s="7">
        <v>10081394</v>
      </c>
      <c r="B609" s="8" t="s">
        <v>631</v>
      </c>
      <c r="C609" s="8" t="s">
        <v>715</v>
      </c>
      <c r="D609" s="8" t="s">
        <v>717</v>
      </c>
      <c r="E609" s="8" t="s">
        <v>749</v>
      </c>
      <c r="F609" s="8" t="s">
        <v>1406</v>
      </c>
      <c r="G609" s="8" t="s">
        <v>18</v>
      </c>
      <c r="H609" s="9">
        <v>14</v>
      </c>
      <c r="I609" s="8" t="s">
        <v>678</v>
      </c>
      <c r="J609" s="8" t="s">
        <v>1380</v>
      </c>
      <c r="K609" s="8" t="s">
        <v>6</v>
      </c>
      <c r="L609" s="8" t="s">
        <v>17</v>
      </c>
      <c r="M609" s="10" t="s">
        <v>715</v>
      </c>
      <c r="N609" s="10" t="s">
        <v>717</v>
      </c>
      <c r="O609" s="10" t="s">
        <v>678</v>
      </c>
      <c r="P609" s="1"/>
      <c r="Q609" s="11" t="b">
        <f>O609=P609</f>
        <v>0</v>
      </c>
      <c r="R609" s="30">
        <v>30041285</v>
      </c>
      <c r="S609" s="1"/>
      <c r="T609" s="11" t="b">
        <f>R609=S609</f>
        <v>0</v>
      </c>
      <c r="U609" s="10" t="s">
        <v>6</v>
      </c>
      <c r="V609" s="1"/>
      <c r="W609" s="11" t="b">
        <f>U609=V609</f>
        <v>0</v>
      </c>
      <c r="X609" s="13" t="s">
        <v>15</v>
      </c>
      <c r="Y609" s="1"/>
      <c r="Z609" s="1"/>
      <c r="AA609" s="63">
        <v>22002440</v>
      </c>
      <c r="AB609" s="10" t="s">
        <v>1409</v>
      </c>
      <c r="AD609" s="11" t="b">
        <f>AB609=AC609</f>
        <v>0</v>
      </c>
      <c r="AE609" s="10" t="s">
        <v>18</v>
      </c>
      <c r="AF609" s="1"/>
      <c r="AG609" s="11" t="b">
        <f>AE609=AF609</f>
        <v>0</v>
      </c>
      <c r="AH609" s="1">
        <v>14</v>
      </c>
      <c r="AI609" s="1">
        <v>7.37</v>
      </c>
      <c r="AJ609" s="16">
        <f>AI609*220/30*30.4375</f>
        <v>1645.0454166666666</v>
      </c>
      <c r="AK609" s="18">
        <v>1645.05</v>
      </c>
      <c r="AL609" s="71" t="s">
        <v>678</v>
      </c>
      <c r="AM609" s="19" t="b">
        <f>AL609=O609</f>
        <v>1</v>
      </c>
      <c r="AN609" s="7">
        <f>VLOOKUP(A609,'base ZITRHR129'!$G$1:$H$628,2,0)</f>
        <v>30041285</v>
      </c>
      <c r="AO609" s="7" t="b">
        <f>AN609=R609</f>
        <v>1</v>
      </c>
      <c r="AP609" s="7">
        <f>VLOOKUP(A609,'base ZITRHR129'!G23:W649,17,0)</f>
        <v>1645.05</v>
      </c>
      <c r="AQ609" s="7" t="b">
        <f>AP609=AK609</f>
        <v>1</v>
      </c>
      <c r="AR609" s="69"/>
    </row>
    <row r="610" spans="1:44" s="7" customFormat="1" ht="12" x14ac:dyDescent="0.2">
      <c r="A610" s="7">
        <v>10081648</v>
      </c>
      <c r="B610" s="8" t="s">
        <v>632</v>
      </c>
      <c r="C610" s="8" t="s">
        <v>679</v>
      </c>
      <c r="D610" s="8" t="s">
        <v>717</v>
      </c>
      <c r="E610" s="8" t="s">
        <v>728</v>
      </c>
      <c r="F610" s="8" t="s">
        <v>1406</v>
      </c>
      <c r="G610" s="8" t="s">
        <v>757</v>
      </c>
      <c r="H610" s="9">
        <v>13</v>
      </c>
      <c r="I610" s="8" t="s">
        <v>653</v>
      </c>
      <c r="J610" s="8" t="s">
        <v>1381</v>
      </c>
      <c r="K610" s="8" t="s">
        <v>16</v>
      </c>
      <c r="L610" s="8" t="s">
        <v>17</v>
      </c>
      <c r="M610" s="10" t="s">
        <v>679</v>
      </c>
      <c r="N610" s="10" t="s">
        <v>717</v>
      </c>
      <c r="O610" s="10" t="s">
        <v>653</v>
      </c>
      <c r="P610" s="1"/>
      <c r="Q610" s="11" t="b">
        <f>O610=P610</f>
        <v>0</v>
      </c>
      <c r="R610" s="30">
        <v>30041286</v>
      </c>
      <c r="S610" s="1"/>
      <c r="T610" s="11" t="b">
        <f>R610=S610</f>
        <v>0</v>
      </c>
      <c r="U610" s="10" t="s">
        <v>16</v>
      </c>
      <c r="V610" s="1"/>
      <c r="W610" s="11" t="b">
        <f>U610=V610</f>
        <v>0</v>
      </c>
      <c r="X610" s="13" t="s">
        <v>15</v>
      </c>
      <c r="Y610" s="1"/>
      <c r="Z610" s="1"/>
      <c r="AA610" s="60">
        <v>22000878</v>
      </c>
      <c r="AB610" s="10" t="s">
        <v>1409</v>
      </c>
      <c r="AD610" s="11" t="b">
        <f>AB610=AC610</f>
        <v>0</v>
      </c>
      <c r="AE610" s="10" t="s">
        <v>757</v>
      </c>
      <c r="AF610" s="1"/>
      <c r="AG610" s="11" t="b">
        <f>AE610=AF610</f>
        <v>0</v>
      </c>
      <c r="AH610" s="1">
        <v>13</v>
      </c>
      <c r="AI610" s="1">
        <v>7.37</v>
      </c>
      <c r="AJ610" s="16">
        <f>AI610*220/30*30.4375</f>
        <v>1645.0454166666666</v>
      </c>
      <c r="AK610" s="18">
        <v>1645.05</v>
      </c>
      <c r="AL610" s="71" t="s">
        <v>653</v>
      </c>
      <c r="AM610" s="19" t="b">
        <f>AL610=O610</f>
        <v>1</v>
      </c>
      <c r="AN610" s="7">
        <f>VLOOKUP(A610,'base ZITRHR129'!$G$1:$H$628,2,0)</f>
        <v>30041286</v>
      </c>
      <c r="AO610" s="7" t="b">
        <f>AN610=R610</f>
        <v>1</v>
      </c>
      <c r="AP610" s="7">
        <f>VLOOKUP(A610,'base ZITRHR129'!G22:W648,17,0)</f>
        <v>1645.05</v>
      </c>
      <c r="AQ610" s="7" t="b">
        <f>AP610=AK610</f>
        <v>1</v>
      </c>
      <c r="AR610" s="69"/>
    </row>
    <row r="611" spans="1:44" s="7" customFormat="1" ht="12" x14ac:dyDescent="0.2">
      <c r="A611" s="7">
        <v>10081652</v>
      </c>
      <c r="B611" s="8" t="s">
        <v>633</v>
      </c>
      <c r="C611" s="8" t="s">
        <v>689</v>
      </c>
      <c r="D611" s="8" t="s">
        <v>717</v>
      </c>
      <c r="E611" s="8" t="s">
        <v>728</v>
      </c>
      <c r="F611" s="8" t="s">
        <v>1406</v>
      </c>
      <c r="G611" s="8" t="s">
        <v>757</v>
      </c>
      <c r="H611" s="9">
        <v>13</v>
      </c>
      <c r="I611" s="8" t="s">
        <v>662</v>
      </c>
      <c r="J611" s="8" t="s">
        <v>1382</v>
      </c>
      <c r="K611" s="8" t="s">
        <v>16</v>
      </c>
      <c r="L611" s="8" t="s">
        <v>17</v>
      </c>
      <c r="M611" s="10" t="s">
        <v>689</v>
      </c>
      <c r="N611" s="10" t="s">
        <v>717</v>
      </c>
      <c r="O611" s="10" t="s">
        <v>662</v>
      </c>
      <c r="P611" s="1"/>
      <c r="Q611" s="11" t="b">
        <f>O611=P611</f>
        <v>0</v>
      </c>
      <c r="R611" s="30">
        <v>30041287</v>
      </c>
      <c r="S611" s="1"/>
      <c r="T611" s="11" t="b">
        <f>R611=S611</f>
        <v>0</v>
      </c>
      <c r="U611" s="10" t="s">
        <v>16</v>
      </c>
      <c r="V611" s="1"/>
      <c r="W611" s="11" t="b">
        <f>U611=V611</f>
        <v>0</v>
      </c>
      <c r="X611" s="13" t="s">
        <v>15</v>
      </c>
      <c r="Y611" s="1"/>
      <c r="Z611" s="1"/>
      <c r="AA611" s="60">
        <v>22000878</v>
      </c>
      <c r="AB611" s="10" t="s">
        <v>1409</v>
      </c>
      <c r="AD611" s="11" t="b">
        <f>AB611=AC611</f>
        <v>0</v>
      </c>
      <c r="AE611" s="10" t="s">
        <v>757</v>
      </c>
      <c r="AF611" s="1"/>
      <c r="AG611" s="11" t="b">
        <f>AE611=AF611</f>
        <v>0</v>
      </c>
      <c r="AH611" s="1">
        <v>13</v>
      </c>
      <c r="AI611" s="1">
        <v>7.37</v>
      </c>
      <c r="AJ611" s="16">
        <f>AI611*220/30*30.4375</f>
        <v>1645.0454166666666</v>
      </c>
      <c r="AK611" s="18">
        <v>1645.05</v>
      </c>
      <c r="AL611" s="71" t="s">
        <v>662</v>
      </c>
      <c r="AM611" s="19" t="b">
        <f>AL611=O611</f>
        <v>1</v>
      </c>
      <c r="AN611" s="7">
        <f>VLOOKUP(A611,'base ZITRHR129'!$G$1:$H$628,2,0)</f>
        <v>30041287</v>
      </c>
      <c r="AO611" s="7" t="b">
        <f>AN611=R611</f>
        <v>1</v>
      </c>
      <c r="AP611" s="7">
        <f>VLOOKUP(A611,'base ZITRHR129'!G21:W647,17,0)</f>
        <v>1645.05</v>
      </c>
      <c r="AQ611" s="7" t="b">
        <f>AP611=AK611</f>
        <v>1</v>
      </c>
      <c r="AR611" s="69"/>
    </row>
    <row r="612" spans="1:44" s="7" customFormat="1" ht="12" x14ac:dyDescent="0.2">
      <c r="A612" s="7">
        <v>10081668</v>
      </c>
      <c r="B612" s="8" t="s">
        <v>634</v>
      </c>
      <c r="C612" s="8" t="s">
        <v>689</v>
      </c>
      <c r="D612" s="8" t="s">
        <v>717</v>
      </c>
      <c r="E612" s="8" t="s">
        <v>728</v>
      </c>
      <c r="F612" s="8" t="s">
        <v>1406</v>
      </c>
      <c r="G612" s="8" t="s">
        <v>757</v>
      </c>
      <c r="H612" s="9">
        <v>13</v>
      </c>
      <c r="I612" s="8" t="s">
        <v>662</v>
      </c>
      <c r="J612" s="8" t="s">
        <v>1383</v>
      </c>
      <c r="K612" s="8" t="s">
        <v>16</v>
      </c>
      <c r="L612" s="8" t="s">
        <v>17</v>
      </c>
      <c r="M612" s="10" t="s">
        <v>689</v>
      </c>
      <c r="N612" s="10" t="s">
        <v>717</v>
      </c>
      <c r="O612" s="10" t="s">
        <v>662</v>
      </c>
      <c r="P612" s="1"/>
      <c r="Q612" s="11" t="b">
        <f>O612=P612</f>
        <v>0</v>
      </c>
      <c r="R612" s="30">
        <v>30041288</v>
      </c>
      <c r="S612" s="1"/>
      <c r="T612" s="11" t="b">
        <f>R612=S612</f>
        <v>0</v>
      </c>
      <c r="U612" s="10" t="s">
        <v>16</v>
      </c>
      <c r="V612" s="1"/>
      <c r="W612" s="11" t="b">
        <f>U612=V612</f>
        <v>0</v>
      </c>
      <c r="X612" s="13" t="s">
        <v>15</v>
      </c>
      <c r="Y612" s="1"/>
      <c r="Z612" s="1"/>
      <c r="AA612" s="60">
        <v>22000878</v>
      </c>
      <c r="AB612" s="10" t="s">
        <v>1409</v>
      </c>
      <c r="AD612" s="11" t="b">
        <f>AB612=AC612</f>
        <v>0</v>
      </c>
      <c r="AE612" s="10" t="s">
        <v>757</v>
      </c>
      <c r="AF612" s="1"/>
      <c r="AG612" s="11" t="b">
        <f>AE612=AF612</f>
        <v>0</v>
      </c>
      <c r="AH612" s="1">
        <v>13</v>
      </c>
      <c r="AI612" s="1">
        <v>7.37</v>
      </c>
      <c r="AJ612" s="16">
        <f>AI612*220/30*30.4375</f>
        <v>1645.0454166666666</v>
      </c>
      <c r="AK612" s="18">
        <v>1645.05</v>
      </c>
      <c r="AL612" s="71" t="s">
        <v>662</v>
      </c>
      <c r="AM612" s="19" t="b">
        <f>AL612=O612</f>
        <v>1</v>
      </c>
      <c r="AN612" s="7">
        <f>VLOOKUP(A612,'base ZITRHR129'!$G$1:$H$628,2,0)</f>
        <v>30041288</v>
      </c>
      <c r="AO612" s="7" t="b">
        <f>AN612=R612</f>
        <v>1</v>
      </c>
      <c r="AP612" s="7">
        <f>VLOOKUP(A612,'base ZITRHR129'!G20:W646,17,0)</f>
        <v>1645.05</v>
      </c>
      <c r="AQ612" s="7" t="b">
        <f>AP612=AK612</f>
        <v>1</v>
      </c>
      <c r="AR612" s="69"/>
    </row>
    <row r="613" spans="1:44" s="7" customFormat="1" ht="12" x14ac:dyDescent="0.2">
      <c r="A613" s="7">
        <v>10081670</v>
      </c>
      <c r="B613" s="8" t="s">
        <v>635</v>
      </c>
      <c r="C613" s="8" t="s">
        <v>701</v>
      </c>
      <c r="D613" s="8" t="s">
        <v>717</v>
      </c>
      <c r="E613" s="8" t="s">
        <v>728</v>
      </c>
      <c r="F613" s="8" t="s">
        <v>1406</v>
      </c>
      <c r="G613" s="8" t="s">
        <v>757</v>
      </c>
      <c r="H613" s="9">
        <v>13</v>
      </c>
      <c r="I613" s="8" t="s">
        <v>668</v>
      </c>
      <c r="J613" s="8" t="s">
        <v>1384</v>
      </c>
      <c r="K613" s="8" t="s">
        <v>16</v>
      </c>
      <c r="L613" s="8" t="s">
        <v>17</v>
      </c>
      <c r="M613" s="10" t="s">
        <v>701</v>
      </c>
      <c r="N613" s="10" t="s">
        <v>717</v>
      </c>
      <c r="O613" s="10" t="s">
        <v>668</v>
      </c>
      <c r="P613" s="1"/>
      <c r="Q613" s="11" t="b">
        <f>O613=P613</f>
        <v>0</v>
      </c>
      <c r="R613" s="30">
        <v>30041289</v>
      </c>
      <c r="S613" s="1"/>
      <c r="T613" s="11" t="b">
        <f>R613=S613</f>
        <v>0</v>
      </c>
      <c r="U613" s="10" t="s">
        <v>16</v>
      </c>
      <c r="V613" s="1"/>
      <c r="W613" s="11" t="b">
        <f>U613=V613</f>
        <v>0</v>
      </c>
      <c r="X613" s="13" t="s">
        <v>15</v>
      </c>
      <c r="Y613" s="1"/>
      <c r="Z613" s="1"/>
      <c r="AA613" s="60">
        <v>22000878</v>
      </c>
      <c r="AB613" s="10" t="s">
        <v>1409</v>
      </c>
      <c r="AD613" s="11" t="b">
        <f>AB613=AC613</f>
        <v>0</v>
      </c>
      <c r="AE613" s="10" t="s">
        <v>757</v>
      </c>
      <c r="AF613" s="1"/>
      <c r="AG613" s="11" t="b">
        <f>AE613=AF613</f>
        <v>0</v>
      </c>
      <c r="AH613" s="1">
        <v>13</v>
      </c>
      <c r="AI613" s="1">
        <v>7.37</v>
      </c>
      <c r="AJ613" s="16">
        <f>AI613*220/30*30.4375</f>
        <v>1645.0454166666666</v>
      </c>
      <c r="AK613" s="18">
        <v>1645.05</v>
      </c>
      <c r="AL613" s="71" t="s">
        <v>668</v>
      </c>
      <c r="AM613" s="19" t="b">
        <f>AL613=O613</f>
        <v>1</v>
      </c>
      <c r="AN613" s="7">
        <f>VLOOKUP(A613,'base ZITRHR129'!$G$1:$H$628,2,0)</f>
        <v>30041289</v>
      </c>
      <c r="AO613" s="7" t="b">
        <f>AN613=R613</f>
        <v>1</v>
      </c>
      <c r="AP613" s="7">
        <f>VLOOKUP(A613,'base ZITRHR129'!G19:W645,17,0)</f>
        <v>1645.05</v>
      </c>
      <c r="AQ613" s="7" t="b">
        <f>AP613=AK613</f>
        <v>1</v>
      </c>
      <c r="AR613" s="69"/>
    </row>
    <row r="614" spans="1:44" s="7" customFormat="1" ht="12" x14ac:dyDescent="0.2">
      <c r="A614" s="7">
        <v>10081671</v>
      </c>
      <c r="B614" s="8" t="s">
        <v>636</v>
      </c>
      <c r="C614" s="8" t="s">
        <v>684</v>
      </c>
      <c r="D614" s="8" t="s">
        <v>717</v>
      </c>
      <c r="E614" s="8" t="s">
        <v>728</v>
      </c>
      <c r="F614" s="8" t="s">
        <v>1406</v>
      </c>
      <c r="G614" s="8" t="s">
        <v>757</v>
      </c>
      <c r="H614" s="9">
        <v>13</v>
      </c>
      <c r="I614" s="8" t="s">
        <v>657</v>
      </c>
      <c r="J614" s="8" t="s">
        <v>1385</v>
      </c>
      <c r="K614" s="8" t="s">
        <v>16</v>
      </c>
      <c r="L614" s="8" t="s">
        <v>17</v>
      </c>
      <c r="M614" s="10" t="s">
        <v>684</v>
      </c>
      <c r="N614" s="10" t="s">
        <v>717</v>
      </c>
      <c r="O614" s="10" t="s">
        <v>657</v>
      </c>
      <c r="P614" s="1"/>
      <c r="Q614" s="11" t="b">
        <f>O614=P614</f>
        <v>0</v>
      </c>
      <c r="R614" s="30">
        <v>30041290</v>
      </c>
      <c r="S614" s="1"/>
      <c r="T614" s="11" t="b">
        <f>R614=S614</f>
        <v>0</v>
      </c>
      <c r="U614" s="10" t="s">
        <v>16</v>
      </c>
      <c r="V614" s="1"/>
      <c r="W614" s="11" t="b">
        <f>U614=V614</f>
        <v>0</v>
      </c>
      <c r="X614" s="13" t="s">
        <v>15</v>
      </c>
      <c r="Y614" s="1"/>
      <c r="Z614" s="1"/>
      <c r="AA614" s="60">
        <v>22000878</v>
      </c>
      <c r="AB614" s="10" t="s">
        <v>1409</v>
      </c>
      <c r="AD614" s="11" t="b">
        <f>AB614=AC614</f>
        <v>0</v>
      </c>
      <c r="AE614" s="10" t="s">
        <v>757</v>
      </c>
      <c r="AF614" s="1"/>
      <c r="AG614" s="11" t="b">
        <f>AE614=AF614</f>
        <v>0</v>
      </c>
      <c r="AH614" s="1">
        <v>13</v>
      </c>
      <c r="AI614" s="1">
        <v>7.37</v>
      </c>
      <c r="AJ614" s="16">
        <f>AI614*220/30*30.4375</f>
        <v>1645.0454166666666</v>
      </c>
      <c r="AK614" s="18">
        <v>1645.05</v>
      </c>
      <c r="AL614" s="71" t="s">
        <v>657</v>
      </c>
      <c r="AM614" s="19" t="b">
        <f>AL614=O614</f>
        <v>1</v>
      </c>
      <c r="AN614" s="7">
        <f>VLOOKUP(A614,'base ZITRHR129'!$G$1:$H$628,2,0)</f>
        <v>30041290</v>
      </c>
      <c r="AO614" s="7" t="b">
        <f>AN614=R614</f>
        <v>1</v>
      </c>
      <c r="AP614" s="7">
        <f>VLOOKUP(A614,'base ZITRHR129'!G18:W644,17,0)</f>
        <v>1645.05</v>
      </c>
      <c r="AQ614" s="7" t="b">
        <f>AP614=AK614</f>
        <v>1</v>
      </c>
      <c r="AR614" s="69"/>
    </row>
    <row r="615" spans="1:44" s="7" customFormat="1" ht="12" x14ac:dyDescent="0.2">
      <c r="A615" s="7">
        <v>10081673</v>
      </c>
      <c r="B615" s="8" t="s">
        <v>637</v>
      </c>
      <c r="C615" s="8" t="s">
        <v>701</v>
      </c>
      <c r="D615" s="8" t="s">
        <v>717</v>
      </c>
      <c r="E615" s="8" t="s">
        <v>728</v>
      </c>
      <c r="F615" s="8" t="s">
        <v>1406</v>
      </c>
      <c r="G615" s="8" t="s">
        <v>757</v>
      </c>
      <c r="H615" s="9">
        <v>13</v>
      </c>
      <c r="I615" s="8" t="s">
        <v>668</v>
      </c>
      <c r="J615" s="8" t="s">
        <v>1386</v>
      </c>
      <c r="K615" s="8" t="s">
        <v>16</v>
      </c>
      <c r="L615" s="8" t="s">
        <v>17</v>
      </c>
      <c r="M615" s="10" t="s">
        <v>701</v>
      </c>
      <c r="N615" s="10" t="s">
        <v>717</v>
      </c>
      <c r="O615" s="10" t="s">
        <v>668</v>
      </c>
      <c r="P615" s="1"/>
      <c r="Q615" s="11" t="b">
        <f>O615=P615</f>
        <v>0</v>
      </c>
      <c r="R615" s="30">
        <v>30041291</v>
      </c>
      <c r="S615" s="1"/>
      <c r="T615" s="11" t="b">
        <f>R615=S615</f>
        <v>0</v>
      </c>
      <c r="U615" s="10" t="s">
        <v>16</v>
      </c>
      <c r="V615" s="1"/>
      <c r="W615" s="11" t="b">
        <f>U615=V615</f>
        <v>0</v>
      </c>
      <c r="X615" s="13" t="s">
        <v>15</v>
      </c>
      <c r="Y615" s="1"/>
      <c r="Z615" s="1"/>
      <c r="AA615" s="60">
        <v>22000878</v>
      </c>
      <c r="AB615" s="10" t="s">
        <v>1409</v>
      </c>
      <c r="AD615" s="11" t="b">
        <f>AB615=AC615</f>
        <v>0</v>
      </c>
      <c r="AE615" s="10" t="s">
        <v>757</v>
      </c>
      <c r="AF615" s="1"/>
      <c r="AG615" s="11" t="b">
        <f>AE615=AF615</f>
        <v>0</v>
      </c>
      <c r="AH615" s="1">
        <v>13</v>
      </c>
      <c r="AI615" s="1">
        <v>7.37</v>
      </c>
      <c r="AJ615" s="16">
        <f>AI615*220/30*30.4375</f>
        <v>1645.0454166666666</v>
      </c>
      <c r="AK615" s="18">
        <v>1645.05</v>
      </c>
      <c r="AL615" s="71" t="s">
        <v>668</v>
      </c>
      <c r="AM615" s="19" t="b">
        <f>AL615=O615</f>
        <v>1</v>
      </c>
      <c r="AN615" s="7">
        <f>VLOOKUP(A615,'base ZITRHR129'!$G$1:$H$628,2,0)</f>
        <v>30041291</v>
      </c>
      <c r="AO615" s="7" t="b">
        <f>AN615=R615</f>
        <v>1</v>
      </c>
      <c r="AP615" s="7">
        <f>VLOOKUP(A615,'base ZITRHR129'!G17:W643,17,0)</f>
        <v>1645.05</v>
      </c>
      <c r="AQ615" s="7" t="b">
        <f>AP615=AK615</f>
        <v>1</v>
      </c>
      <c r="AR615" s="69"/>
    </row>
    <row r="616" spans="1:44" s="7" customFormat="1" ht="12" x14ac:dyDescent="0.2">
      <c r="A616" s="7">
        <v>10081677</v>
      </c>
      <c r="B616" s="8" t="s">
        <v>638</v>
      </c>
      <c r="C616" s="8" t="s">
        <v>679</v>
      </c>
      <c r="D616" s="8" t="s">
        <v>717</v>
      </c>
      <c r="E616" s="8" t="s">
        <v>728</v>
      </c>
      <c r="F616" s="8" t="s">
        <v>1406</v>
      </c>
      <c r="G616" s="8" t="s">
        <v>757</v>
      </c>
      <c r="H616" s="9">
        <v>13</v>
      </c>
      <c r="I616" s="8" t="s">
        <v>653</v>
      </c>
      <c r="J616" s="8" t="s">
        <v>1387</v>
      </c>
      <c r="K616" s="8" t="s">
        <v>16</v>
      </c>
      <c r="L616" s="8" t="s">
        <v>17</v>
      </c>
      <c r="M616" s="10" t="s">
        <v>679</v>
      </c>
      <c r="N616" s="10" t="s">
        <v>717</v>
      </c>
      <c r="O616" s="10" t="s">
        <v>653</v>
      </c>
      <c r="P616" s="1"/>
      <c r="Q616" s="11" t="b">
        <f>O616=P616</f>
        <v>0</v>
      </c>
      <c r="R616" s="30">
        <v>30041292</v>
      </c>
      <c r="S616" s="1"/>
      <c r="T616" s="11" t="b">
        <f>R616=S616</f>
        <v>0</v>
      </c>
      <c r="U616" s="10" t="s">
        <v>16</v>
      </c>
      <c r="V616" s="1"/>
      <c r="W616" s="11" t="b">
        <f>U616=V616</f>
        <v>0</v>
      </c>
      <c r="X616" s="13" t="s">
        <v>15</v>
      </c>
      <c r="Y616" s="1"/>
      <c r="Z616" s="1"/>
      <c r="AA616" s="60">
        <v>22000878</v>
      </c>
      <c r="AB616" s="10" t="s">
        <v>1409</v>
      </c>
      <c r="AD616" s="11" t="b">
        <f>AB616=AC616</f>
        <v>0</v>
      </c>
      <c r="AE616" s="10" t="s">
        <v>757</v>
      </c>
      <c r="AF616" s="1"/>
      <c r="AG616" s="11" t="b">
        <f>AE616=AF616</f>
        <v>0</v>
      </c>
      <c r="AH616" s="1">
        <v>13</v>
      </c>
      <c r="AI616" s="1">
        <v>7.37</v>
      </c>
      <c r="AJ616" s="16">
        <f>AI616*220/30*30.4375</f>
        <v>1645.0454166666666</v>
      </c>
      <c r="AK616" s="18">
        <v>1645.05</v>
      </c>
      <c r="AL616" s="71" t="s">
        <v>653</v>
      </c>
      <c r="AM616" s="19" t="b">
        <f>AL616=O616</f>
        <v>1</v>
      </c>
      <c r="AN616" s="7">
        <f>VLOOKUP(A616,'base ZITRHR129'!$G$1:$H$628,2,0)</f>
        <v>30041292</v>
      </c>
      <c r="AO616" s="7" t="b">
        <f>AN616=R616</f>
        <v>1</v>
      </c>
      <c r="AP616" s="7">
        <f>VLOOKUP(A616,'base ZITRHR129'!G16:W642,17,0)</f>
        <v>1645.05</v>
      </c>
      <c r="AQ616" s="7" t="b">
        <f>AP616=AK616</f>
        <v>1</v>
      </c>
      <c r="AR616" s="69"/>
    </row>
    <row r="617" spans="1:44" s="7" customFormat="1" ht="12" x14ac:dyDescent="0.2">
      <c r="A617" s="7">
        <v>10081679</v>
      </c>
      <c r="B617" s="8" t="s">
        <v>639</v>
      </c>
      <c r="C617" s="8" t="s">
        <v>679</v>
      </c>
      <c r="D617" s="8" t="s">
        <v>717</v>
      </c>
      <c r="E617" s="8" t="s">
        <v>728</v>
      </c>
      <c r="F617" s="8" t="s">
        <v>1406</v>
      </c>
      <c r="G617" s="8" t="s">
        <v>757</v>
      </c>
      <c r="H617" s="9">
        <v>13</v>
      </c>
      <c r="I617" s="8" t="s">
        <v>653</v>
      </c>
      <c r="J617" s="8" t="s">
        <v>1388</v>
      </c>
      <c r="K617" s="8" t="s">
        <v>16</v>
      </c>
      <c r="L617" s="8" t="s">
        <v>17</v>
      </c>
      <c r="M617" s="10" t="s">
        <v>679</v>
      </c>
      <c r="N617" s="10" t="s">
        <v>717</v>
      </c>
      <c r="O617" s="10" t="s">
        <v>653</v>
      </c>
      <c r="P617" s="1"/>
      <c r="Q617" s="11" t="b">
        <f>O617=P617</f>
        <v>0</v>
      </c>
      <c r="R617" s="30">
        <v>30041293</v>
      </c>
      <c r="S617" s="1"/>
      <c r="T617" s="11" t="b">
        <f>R617=S617</f>
        <v>0</v>
      </c>
      <c r="U617" s="10" t="s">
        <v>16</v>
      </c>
      <c r="V617" s="1"/>
      <c r="W617" s="11" t="b">
        <f>U617=V617</f>
        <v>0</v>
      </c>
      <c r="X617" s="13" t="s">
        <v>15</v>
      </c>
      <c r="Y617" s="1"/>
      <c r="Z617" s="1"/>
      <c r="AA617" s="60">
        <v>22000878</v>
      </c>
      <c r="AB617" s="10" t="s">
        <v>1409</v>
      </c>
      <c r="AD617" s="11" t="b">
        <f>AB617=AC617</f>
        <v>0</v>
      </c>
      <c r="AE617" s="10" t="s">
        <v>757</v>
      </c>
      <c r="AF617" s="1"/>
      <c r="AG617" s="11" t="b">
        <f>AE617=AF617</f>
        <v>0</v>
      </c>
      <c r="AH617" s="1">
        <v>13</v>
      </c>
      <c r="AI617" s="1">
        <v>7.37</v>
      </c>
      <c r="AJ617" s="16">
        <f>AI617*220/30*30.4375</f>
        <v>1645.0454166666666</v>
      </c>
      <c r="AK617" s="18">
        <v>1645.05</v>
      </c>
      <c r="AL617" s="71" t="s">
        <v>653</v>
      </c>
      <c r="AM617" s="19" t="b">
        <f>AL617=O617</f>
        <v>1</v>
      </c>
      <c r="AN617" s="7">
        <f>VLOOKUP(A617,'base ZITRHR129'!$G$1:$H$628,2,0)</f>
        <v>30041293</v>
      </c>
      <c r="AO617" s="7" t="b">
        <f>AN617=R617</f>
        <v>1</v>
      </c>
      <c r="AP617" s="7">
        <f>VLOOKUP(A617,'base ZITRHR129'!G15:W641,17,0)</f>
        <v>1645.05</v>
      </c>
      <c r="AQ617" s="7" t="b">
        <f>AP617=AK617</f>
        <v>1</v>
      </c>
      <c r="AR617" s="69"/>
    </row>
    <row r="618" spans="1:44" s="7" customFormat="1" ht="12" x14ac:dyDescent="0.2">
      <c r="A618" s="7">
        <v>10081680</v>
      </c>
      <c r="B618" s="8" t="s">
        <v>640</v>
      </c>
      <c r="C618" s="8" t="s">
        <v>695</v>
      </c>
      <c r="D618" s="8" t="s">
        <v>717</v>
      </c>
      <c r="E618" s="8" t="s">
        <v>728</v>
      </c>
      <c r="F618" s="8" t="s">
        <v>1406</v>
      </c>
      <c r="G618" s="8" t="s">
        <v>757</v>
      </c>
      <c r="H618" s="9">
        <v>13</v>
      </c>
      <c r="I618" s="8" t="s">
        <v>660</v>
      </c>
      <c r="J618" s="8" t="s">
        <v>1389</v>
      </c>
      <c r="K618" s="8" t="s">
        <v>16</v>
      </c>
      <c r="L618" s="8" t="s">
        <v>17</v>
      </c>
      <c r="M618" s="10" t="s">
        <v>695</v>
      </c>
      <c r="N618" s="10" t="s">
        <v>717</v>
      </c>
      <c r="O618" s="10" t="s">
        <v>660</v>
      </c>
      <c r="P618" s="1"/>
      <c r="Q618" s="11" t="b">
        <f>O618=P618</f>
        <v>0</v>
      </c>
      <c r="R618" s="30">
        <v>30041294</v>
      </c>
      <c r="S618" s="1"/>
      <c r="T618" s="11" t="b">
        <f>R618=S618</f>
        <v>0</v>
      </c>
      <c r="U618" s="10" t="s">
        <v>16</v>
      </c>
      <c r="V618" s="1"/>
      <c r="W618" s="11" t="b">
        <f>U618=V618</f>
        <v>0</v>
      </c>
      <c r="X618" s="13" t="s">
        <v>15</v>
      </c>
      <c r="Y618" s="1"/>
      <c r="Z618" s="1"/>
      <c r="AA618" s="60">
        <v>22000878</v>
      </c>
      <c r="AB618" s="10" t="s">
        <v>1409</v>
      </c>
      <c r="AD618" s="11" t="b">
        <f>AB618=AC618</f>
        <v>0</v>
      </c>
      <c r="AE618" s="10" t="s">
        <v>757</v>
      </c>
      <c r="AF618" s="1"/>
      <c r="AG618" s="11" t="b">
        <f>AE618=AF618</f>
        <v>0</v>
      </c>
      <c r="AH618" s="1">
        <v>13</v>
      </c>
      <c r="AI618" s="1">
        <v>7.37</v>
      </c>
      <c r="AJ618" s="16">
        <f>AI618*220/30*30.4375</f>
        <v>1645.0454166666666</v>
      </c>
      <c r="AK618" s="18">
        <v>1645.05</v>
      </c>
      <c r="AL618" s="71" t="s">
        <v>660</v>
      </c>
      <c r="AM618" s="19" t="b">
        <f>AL618=O618</f>
        <v>1</v>
      </c>
      <c r="AN618" s="7">
        <f>VLOOKUP(A618,'base ZITRHR129'!$G$1:$H$628,2,0)</f>
        <v>30041294</v>
      </c>
      <c r="AO618" s="7" t="b">
        <f>AN618=R618</f>
        <v>1</v>
      </c>
      <c r="AP618" s="7">
        <f>VLOOKUP(A618,'base ZITRHR129'!G14:W640,17,0)</f>
        <v>1645.05</v>
      </c>
      <c r="AQ618" s="7" t="b">
        <f>AP618=AK618</f>
        <v>1</v>
      </c>
      <c r="AR618" s="69"/>
    </row>
    <row r="619" spans="1:44" s="7" customFormat="1" ht="12" x14ac:dyDescent="0.2">
      <c r="A619" s="7">
        <v>10081732</v>
      </c>
      <c r="B619" s="8" t="s">
        <v>641</v>
      </c>
      <c r="C619" s="8" t="s">
        <v>716</v>
      </c>
      <c r="D619" s="8" t="s">
        <v>717</v>
      </c>
      <c r="E619" s="8" t="s">
        <v>728</v>
      </c>
      <c r="F619" s="8" t="s">
        <v>1406</v>
      </c>
      <c r="G619" s="8" t="s">
        <v>757</v>
      </c>
      <c r="H619" s="9">
        <v>13</v>
      </c>
      <c r="I619" s="8" t="s">
        <v>664</v>
      </c>
      <c r="J619" s="8" t="s">
        <v>1390</v>
      </c>
      <c r="K619" s="8" t="s">
        <v>16</v>
      </c>
      <c r="L619" s="8" t="s">
        <v>17</v>
      </c>
      <c r="M619" s="10" t="s">
        <v>716</v>
      </c>
      <c r="N619" s="10" t="s">
        <v>717</v>
      </c>
      <c r="O619" s="10" t="s">
        <v>664</v>
      </c>
      <c r="P619" s="1"/>
      <c r="Q619" s="11" t="b">
        <f>O619=P619</f>
        <v>0</v>
      </c>
      <c r="R619" s="30">
        <v>30041295</v>
      </c>
      <c r="S619" s="1"/>
      <c r="T619" s="11" t="b">
        <f>R619=S619</f>
        <v>0</v>
      </c>
      <c r="U619" s="10" t="s">
        <v>16</v>
      </c>
      <c r="V619" s="1"/>
      <c r="W619" s="11" t="b">
        <f>U619=V619</f>
        <v>0</v>
      </c>
      <c r="X619" s="13" t="s">
        <v>15</v>
      </c>
      <c r="Y619" s="1"/>
      <c r="Z619" s="1"/>
      <c r="AA619" s="60">
        <v>22000878</v>
      </c>
      <c r="AB619" s="10" t="s">
        <v>1409</v>
      </c>
      <c r="AD619" s="11" t="b">
        <f>AB619=AC619</f>
        <v>0</v>
      </c>
      <c r="AE619" s="10" t="s">
        <v>757</v>
      </c>
      <c r="AF619" s="1"/>
      <c r="AG619" s="11" t="b">
        <f>AE619=AF619</f>
        <v>0</v>
      </c>
      <c r="AH619" s="1">
        <v>13</v>
      </c>
      <c r="AI619" s="1">
        <v>7.37</v>
      </c>
      <c r="AJ619" s="16">
        <f>AI619*220/30*30.4375</f>
        <v>1645.0454166666666</v>
      </c>
      <c r="AK619" s="18">
        <v>1645.05</v>
      </c>
      <c r="AL619" s="71" t="s">
        <v>664</v>
      </c>
      <c r="AM619" s="19" t="b">
        <f>AL619=O619</f>
        <v>1</v>
      </c>
      <c r="AN619" s="7">
        <f>VLOOKUP(A619,'base ZITRHR129'!$G$1:$H$628,2,0)</f>
        <v>30041295</v>
      </c>
      <c r="AO619" s="7" t="b">
        <f>AN619=R619</f>
        <v>1</v>
      </c>
      <c r="AP619" s="7">
        <f>VLOOKUP(A619,'base ZITRHR129'!G13:W639,17,0)</f>
        <v>1645.05</v>
      </c>
      <c r="AQ619" s="7" t="b">
        <f>AP619=AK619</f>
        <v>1</v>
      </c>
      <c r="AR619" s="69"/>
    </row>
    <row r="620" spans="1:44" s="7" customFormat="1" ht="12" x14ac:dyDescent="0.2">
      <c r="A620" s="7">
        <v>10081733</v>
      </c>
      <c r="B620" s="8" t="s">
        <v>642</v>
      </c>
      <c r="C620" s="8" t="s">
        <v>716</v>
      </c>
      <c r="D620" s="8" t="s">
        <v>717</v>
      </c>
      <c r="E620" s="8" t="s">
        <v>728</v>
      </c>
      <c r="F620" s="8" t="s">
        <v>1406</v>
      </c>
      <c r="G620" s="8" t="s">
        <v>757</v>
      </c>
      <c r="H620" s="9">
        <v>13</v>
      </c>
      <c r="I620" s="8" t="s">
        <v>664</v>
      </c>
      <c r="J620" s="8" t="s">
        <v>1391</v>
      </c>
      <c r="K620" s="8" t="s">
        <v>16</v>
      </c>
      <c r="L620" s="8" t="s">
        <v>17</v>
      </c>
      <c r="M620" s="10" t="s">
        <v>716</v>
      </c>
      <c r="N620" s="10" t="s">
        <v>717</v>
      </c>
      <c r="O620" s="10" t="s">
        <v>664</v>
      </c>
      <c r="P620" s="1"/>
      <c r="Q620" s="11" t="b">
        <f>O620=P620</f>
        <v>0</v>
      </c>
      <c r="R620" s="30">
        <v>30041296</v>
      </c>
      <c r="S620" s="1"/>
      <c r="T620" s="11" t="b">
        <f>R620=S620</f>
        <v>0</v>
      </c>
      <c r="U620" s="10" t="s">
        <v>16</v>
      </c>
      <c r="V620" s="1"/>
      <c r="W620" s="11" t="b">
        <f>U620=V620</f>
        <v>0</v>
      </c>
      <c r="X620" s="13" t="s">
        <v>15</v>
      </c>
      <c r="Y620" s="1"/>
      <c r="Z620" s="1"/>
      <c r="AA620" s="60">
        <v>22000878</v>
      </c>
      <c r="AB620" s="10" t="s">
        <v>1409</v>
      </c>
      <c r="AD620" s="11" t="b">
        <f>AB620=AC620</f>
        <v>0</v>
      </c>
      <c r="AE620" s="10" t="s">
        <v>757</v>
      </c>
      <c r="AF620" s="1"/>
      <c r="AG620" s="11" t="b">
        <f>AE620=AF620</f>
        <v>0</v>
      </c>
      <c r="AH620" s="1">
        <v>13</v>
      </c>
      <c r="AI620" s="1">
        <v>7.37</v>
      </c>
      <c r="AJ620" s="16">
        <f>AI620*220/30*30.4375</f>
        <v>1645.0454166666666</v>
      </c>
      <c r="AK620" s="18">
        <v>1645.05</v>
      </c>
      <c r="AL620" s="71" t="s">
        <v>664</v>
      </c>
      <c r="AM620" s="19" t="b">
        <f>AL620=O620</f>
        <v>1</v>
      </c>
      <c r="AN620" s="7">
        <f>VLOOKUP(A620,'base ZITRHR129'!$G$1:$H$628,2,0)</f>
        <v>30041296</v>
      </c>
      <c r="AO620" s="7" t="b">
        <f>AN620=R620</f>
        <v>1</v>
      </c>
      <c r="AP620" s="7">
        <f>VLOOKUP(A620,'base ZITRHR129'!G12:W638,17,0)</f>
        <v>1645.05</v>
      </c>
      <c r="AQ620" s="7" t="b">
        <f>AP620=AK620</f>
        <v>1</v>
      </c>
      <c r="AR620" s="69"/>
    </row>
    <row r="621" spans="1:44" s="7" customFormat="1" ht="12" x14ac:dyDescent="0.2">
      <c r="A621" s="7">
        <v>10081734</v>
      </c>
      <c r="B621" s="8" t="s">
        <v>643</v>
      </c>
      <c r="C621" s="8" t="s">
        <v>716</v>
      </c>
      <c r="D621" s="8" t="s">
        <v>717</v>
      </c>
      <c r="E621" s="8" t="s">
        <v>728</v>
      </c>
      <c r="F621" s="8" t="s">
        <v>1406</v>
      </c>
      <c r="G621" s="8" t="s">
        <v>757</v>
      </c>
      <c r="H621" s="9">
        <v>13</v>
      </c>
      <c r="I621" s="8" t="s">
        <v>664</v>
      </c>
      <c r="J621" s="8" t="s">
        <v>1392</v>
      </c>
      <c r="K621" s="8" t="s">
        <v>16</v>
      </c>
      <c r="L621" s="8" t="s">
        <v>17</v>
      </c>
      <c r="M621" s="10" t="s">
        <v>716</v>
      </c>
      <c r="N621" s="10" t="s">
        <v>717</v>
      </c>
      <c r="O621" s="10" t="s">
        <v>664</v>
      </c>
      <c r="P621" s="1"/>
      <c r="Q621" s="11" t="b">
        <f>O621=P621</f>
        <v>0</v>
      </c>
      <c r="R621" s="30">
        <v>30041297</v>
      </c>
      <c r="S621" s="1"/>
      <c r="T621" s="11" t="b">
        <f>R621=S621</f>
        <v>0</v>
      </c>
      <c r="U621" s="10" t="s">
        <v>16</v>
      </c>
      <c r="V621" s="1"/>
      <c r="W621" s="11" t="b">
        <f>U621=V621</f>
        <v>0</v>
      </c>
      <c r="X621" s="13" t="s">
        <v>15</v>
      </c>
      <c r="Y621" s="1"/>
      <c r="Z621" s="1"/>
      <c r="AA621" s="60">
        <v>22000878</v>
      </c>
      <c r="AB621" s="10" t="s">
        <v>1409</v>
      </c>
      <c r="AD621" s="11" t="b">
        <f>AB621=AC621</f>
        <v>0</v>
      </c>
      <c r="AE621" s="10" t="s">
        <v>757</v>
      </c>
      <c r="AF621" s="1"/>
      <c r="AG621" s="11" t="b">
        <f>AE621=AF621</f>
        <v>0</v>
      </c>
      <c r="AH621" s="1">
        <v>13</v>
      </c>
      <c r="AI621" s="1">
        <v>7.37</v>
      </c>
      <c r="AJ621" s="16">
        <f>AI621*220/30*30.4375</f>
        <v>1645.0454166666666</v>
      </c>
      <c r="AK621" s="18">
        <v>1645.05</v>
      </c>
      <c r="AL621" s="71" t="s">
        <v>664</v>
      </c>
      <c r="AM621" s="19" t="b">
        <f>AL621=O621</f>
        <v>1</v>
      </c>
      <c r="AN621" s="7">
        <f>VLOOKUP(A621,'base ZITRHR129'!$G$1:$H$628,2,0)</f>
        <v>30041297</v>
      </c>
      <c r="AO621" s="7" t="b">
        <f>AN621=R621</f>
        <v>1</v>
      </c>
      <c r="AP621" s="7">
        <f>VLOOKUP(A621,'base ZITRHR129'!G11:W637,17,0)</f>
        <v>1645.05</v>
      </c>
      <c r="AQ621" s="7" t="b">
        <f>AP621=AK621</f>
        <v>1</v>
      </c>
      <c r="AR621" s="69"/>
    </row>
    <row r="622" spans="1:44" s="7" customFormat="1" ht="12" x14ac:dyDescent="0.2">
      <c r="A622" s="7">
        <v>10081735</v>
      </c>
      <c r="B622" s="8" t="s">
        <v>644</v>
      </c>
      <c r="C622" s="8" t="s">
        <v>716</v>
      </c>
      <c r="D622" s="8" t="s">
        <v>717</v>
      </c>
      <c r="E622" s="8" t="s">
        <v>728</v>
      </c>
      <c r="F622" s="8" t="s">
        <v>1406</v>
      </c>
      <c r="G622" s="8" t="s">
        <v>757</v>
      </c>
      <c r="H622" s="9">
        <v>13</v>
      </c>
      <c r="I622" s="8" t="s">
        <v>664</v>
      </c>
      <c r="J622" s="8" t="s">
        <v>1393</v>
      </c>
      <c r="K622" s="8" t="s">
        <v>16</v>
      </c>
      <c r="L622" s="8" t="s">
        <v>17</v>
      </c>
      <c r="M622" s="10" t="s">
        <v>716</v>
      </c>
      <c r="N622" s="10" t="s">
        <v>717</v>
      </c>
      <c r="O622" s="10" t="s">
        <v>664</v>
      </c>
      <c r="P622" s="1"/>
      <c r="Q622" s="11" t="b">
        <f>O622=P622</f>
        <v>0</v>
      </c>
      <c r="R622" s="30">
        <v>30041298</v>
      </c>
      <c r="S622" s="1"/>
      <c r="T622" s="11" t="b">
        <f>R622=S622</f>
        <v>0</v>
      </c>
      <c r="U622" s="10" t="s">
        <v>16</v>
      </c>
      <c r="V622" s="1"/>
      <c r="W622" s="11" t="b">
        <f>U622=V622</f>
        <v>0</v>
      </c>
      <c r="X622" s="13" t="s">
        <v>15</v>
      </c>
      <c r="Y622" s="1"/>
      <c r="Z622" s="1"/>
      <c r="AA622" s="60">
        <v>22000878</v>
      </c>
      <c r="AB622" s="10" t="s">
        <v>1409</v>
      </c>
      <c r="AD622" s="11" t="b">
        <f>AB622=AC622</f>
        <v>0</v>
      </c>
      <c r="AE622" s="10" t="s">
        <v>757</v>
      </c>
      <c r="AF622" s="1"/>
      <c r="AG622" s="11" t="b">
        <f>AE622=AF622</f>
        <v>0</v>
      </c>
      <c r="AH622" s="1">
        <v>13</v>
      </c>
      <c r="AI622" s="1">
        <v>7.37</v>
      </c>
      <c r="AJ622" s="16">
        <f>AI622*220/30*30.4375</f>
        <v>1645.0454166666666</v>
      </c>
      <c r="AK622" s="18">
        <v>1645.05</v>
      </c>
      <c r="AL622" s="71" t="s">
        <v>664</v>
      </c>
      <c r="AM622" s="19" t="b">
        <f>AL622=O622</f>
        <v>1</v>
      </c>
      <c r="AN622" s="7">
        <f>VLOOKUP(A622,'base ZITRHR129'!$G$1:$H$628,2,0)</f>
        <v>30041298</v>
      </c>
      <c r="AO622" s="7" t="b">
        <f>AN622=R622</f>
        <v>1</v>
      </c>
      <c r="AP622" s="7">
        <f>VLOOKUP(A622,'base ZITRHR129'!G10:W636,17,0)</f>
        <v>1645.05</v>
      </c>
      <c r="AQ622" s="7" t="b">
        <f>AP622=AK622</f>
        <v>1</v>
      </c>
      <c r="AR622" s="69"/>
    </row>
    <row r="623" spans="1:44" s="7" customFormat="1" ht="12" x14ac:dyDescent="0.2">
      <c r="A623" s="7">
        <v>10081736</v>
      </c>
      <c r="B623" s="8" t="s">
        <v>645</v>
      </c>
      <c r="C623" s="8" t="s">
        <v>687</v>
      </c>
      <c r="D623" s="8" t="s">
        <v>717</v>
      </c>
      <c r="E623" s="8" t="s">
        <v>728</v>
      </c>
      <c r="F623" s="8" t="s">
        <v>1406</v>
      </c>
      <c r="G623" s="8" t="s">
        <v>757</v>
      </c>
      <c r="H623" s="9">
        <v>13</v>
      </c>
      <c r="I623" s="8" t="s">
        <v>660</v>
      </c>
      <c r="J623" s="8" t="s">
        <v>1394</v>
      </c>
      <c r="K623" s="8" t="s">
        <v>16</v>
      </c>
      <c r="L623" s="8" t="s">
        <v>17</v>
      </c>
      <c r="M623" s="10" t="s">
        <v>687</v>
      </c>
      <c r="N623" s="10" t="s">
        <v>717</v>
      </c>
      <c r="O623" s="10" t="s">
        <v>660</v>
      </c>
      <c r="P623" s="1"/>
      <c r="Q623" s="11" t="b">
        <f>O623=P623</f>
        <v>0</v>
      </c>
      <c r="R623" s="30">
        <v>30041299</v>
      </c>
      <c r="S623" s="1"/>
      <c r="T623" s="11" t="b">
        <f>R623=S623</f>
        <v>0</v>
      </c>
      <c r="U623" s="10" t="s">
        <v>16</v>
      </c>
      <c r="V623" s="1"/>
      <c r="W623" s="11" t="b">
        <f>U623=V623</f>
        <v>0</v>
      </c>
      <c r="X623" s="13" t="s">
        <v>15</v>
      </c>
      <c r="Y623" s="1"/>
      <c r="Z623" s="1"/>
      <c r="AA623" s="60">
        <v>22000878</v>
      </c>
      <c r="AB623" s="10" t="s">
        <v>1409</v>
      </c>
      <c r="AD623" s="11" t="b">
        <f>AB623=AC623</f>
        <v>0</v>
      </c>
      <c r="AE623" s="10" t="s">
        <v>757</v>
      </c>
      <c r="AF623" s="1"/>
      <c r="AG623" s="11" t="b">
        <f>AE623=AF623</f>
        <v>0</v>
      </c>
      <c r="AH623" s="1">
        <v>13</v>
      </c>
      <c r="AI623" s="1">
        <v>7.37</v>
      </c>
      <c r="AJ623" s="16">
        <f>AI623*220/30*30.4375</f>
        <v>1645.0454166666666</v>
      </c>
      <c r="AK623" s="18">
        <v>1645.05</v>
      </c>
      <c r="AL623" s="71" t="s">
        <v>660</v>
      </c>
      <c r="AM623" s="19" t="b">
        <f>AL623=O623</f>
        <v>1</v>
      </c>
      <c r="AN623" s="7">
        <f>VLOOKUP(A623,'base ZITRHR129'!$G$1:$H$628,2,0)</f>
        <v>30041299</v>
      </c>
      <c r="AO623" s="7" t="b">
        <f>AN623=R623</f>
        <v>1</v>
      </c>
      <c r="AP623" s="7">
        <f>VLOOKUP(A623,'base ZITRHR129'!G9:W635,17,0)</f>
        <v>1645.05</v>
      </c>
      <c r="AQ623" s="7" t="b">
        <f>AP623=AK623</f>
        <v>1</v>
      </c>
      <c r="AR623" s="69"/>
    </row>
    <row r="624" spans="1:44" s="7" customFormat="1" ht="12" x14ac:dyDescent="0.2">
      <c r="A624" s="7">
        <v>10081737</v>
      </c>
      <c r="B624" s="8" t="s">
        <v>646</v>
      </c>
      <c r="C624" s="8" t="s">
        <v>687</v>
      </c>
      <c r="D624" s="8" t="s">
        <v>717</v>
      </c>
      <c r="E624" s="8" t="s">
        <v>728</v>
      </c>
      <c r="F624" s="8" t="s">
        <v>1406</v>
      </c>
      <c r="G624" s="8" t="s">
        <v>757</v>
      </c>
      <c r="H624" s="9">
        <v>13</v>
      </c>
      <c r="I624" s="8" t="s">
        <v>660</v>
      </c>
      <c r="J624" s="8" t="s">
        <v>1395</v>
      </c>
      <c r="K624" s="8" t="s">
        <v>16</v>
      </c>
      <c r="L624" s="8" t="s">
        <v>17</v>
      </c>
      <c r="M624" s="10" t="s">
        <v>687</v>
      </c>
      <c r="N624" s="10" t="s">
        <v>717</v>
      </c>
      <c r="O624" s="10" t="s">
        <v>660</v>
      </c>
      <c r="P624" s="1"/>
      <c r="Q624" s="11" t="b">
        <f>O624=P624</f>
        <v>0</v>
      </c>
      <c r="R624" s="30">
        <v>30041300</v>
      </c>
      <c r="S624" s="1"/>
      <c r="T624" s="11" t="b">
        <f>R624=S624</f>
        <v>0</v>
      </c>
      <c r="U624" s="10" t="s">
        <v>16</v>
      </c>
      <c r="V624" s="1"/>
      <c r="W624" s="11" t="b">
        <f>U624=V624</f>
        <v>0</v>
      </c>
      <c r="X624" s="13" t="s">
        <v>15</v>
      </c>
      <c r="Y624" s="1"/>
      <c r="Z624" s="1"/>
      <c r="AA624" s="60">
        <v>22000878</v>
      </c>
      <c r="AB624" s="10" t="s">
        <v>1409</v>
      </c>
      <c r="AD624" s="11" t="b">
        <f>AB624=AC624</f>
        <v>0</v>
      </c>
      <c r="AE624" s="10" t="s">
        <v>757</v>
      </c>
      <c r="AF624" s="1"/>
      <c r="AG624" s="11" t="b">
        <f>AE624=AF624</f>
        <v>0</v>
      </c>
      <c r="AH624" s="1">
        <v>13</v>
      </c>
      <c r="AI624" s="1">
        <v>7.37</v>
      </c>
      <c r="AJ624" s="16">
        <f>AI624*220/30*30.4375</f>
        <v>1645.0454166666666</v>
      </c>
      <c r="AK624" s="18">
        <v>1645.05</v>
      </c>
      <c r="AL624" s="71" t="s">
        <v>660</v>
      </c>
      <c r="AM624" s="19" t="b">
        <f>AL624=O624</f>
        <v>1</v>
      </c>
      <c r="AN624" s="7">
        <f>VLOOKUP(A624,'base ZITRHR129'!$G$1:$H$628,2,0)</f>
        <v>30041300</v>
      </c>
      <c r="AO624" s="7" t="b">
        <f>AN624=R624</f>
        <v>1</v>
      </c>
      <c r="AP624" s="7">
        <f>VLOOKUP(A624,'base ZITRHR129'!G8:W634,17,0)</f>
        <v>1645.05</v>
      </c>
      <c r="AQ624" s="7" t="b">
        <f>AP624=AK624</f>
        <v>1</v>
      </c>
      <c r="AR624" s="69"/>
    </row>
    <row r="625" spans="1:44" s="7" customFormat="1" ht="12" x14ac:dyDescent="0.2">
      <c r="A625" s="7">
        <v>10081738</v>
      </c>
      <c r="B625" s="8" t="s">
        <v>647</v>
      </c>
      <c r="C625" s="8" t="s">
        <v>687</v>
      </c>
      <c r="D625" s="8" t="s">
        <v>717</v>
      </c>
      <c r="E625" s="8" t="s">
        <v>728</v>
      </c>
      <c r="F625" s="8" t="s">
        <v>1406</v>
      </c>
      <c r="G625" s="8" t="s">
        <v>757</v>
      </c>
      <c r="H625" s="9">
        <v>13</v>
      </c>
      <c r="I625" s="8" t="s">
        <v>660</v>
      </c>
      <c r="J625" s="8" t="s">
        <v>1396</v>
      </c>
      <c r="K625" s="8" t="s">
        <v>16</v>
      </c>
      <c r="L625" s="8" t="s">
        <v>17</v>
      </c>
      <c r="M625" s="10" t="s">
        <v>687</v>
      </c>
      <c r="N625" s="10" t="s">
        <v>717</v>
      </c>
      <c r="O625" s="10" t="s">
        <v>660</v>
      </c>
      <c r="P625" s="1"/>
      <c r="Q625" s="11" t="b">
        <f>O625=P625</f>
        <v>0</v>
      </c>
      <c r="R625" s="30">
        <v>30041301</v>
      </c>
      <c r="S625" s="1"/>
      <c r="T625" s="11" t="b">
        <f>R625=S625</f>
        <v>0</v>
      </c>
      <c r="U625" s="10" t="s">
        <v>16</v>
      </c>
      <c r="V625" s="1"/>
      <c r="W625" s="11" t="b">
        <f>U625=V625</f>
        <v>0</v>
      </c>
      <c r="X625" s="13" t="s">
        <v>15</v>
      </c>
      <c r="Y625" s="1"/>
      <c r="Z625" s="1"/>
      <c r="AA625" s="60">
        <v>22000878</v>
      </c>
      <c r="AB625" s="10" t="s">
        <v>1409</v>
      </c>
      <c r="AD625" s="11" t="b">
        <f>AB625=AC625</f>
        <v>0</v>
      </c>
      <c r="AE625" s="10" t="s">
        <v>757</v>
      </c>
      <c r="AF625" s="1"/>
      <c r="AG625" s="11" t="b">
        <f>AE625=AF625</f>
        <v>0</v>
      </c>
      <c r="AH625" s="1">
        <v>13</v>
      </c>
      <c r="AI625" s="1">
        <v>7.37</v>
      </c>
      <c r="AJ625" s="16">
        <f>AI625*220/30*30.4375</f>
        <v>1645.0454166666666</v>
      </c>
      <c r="AK625" s="18">
        <v>1645.05</v>
      </c>
      <c r="AL625" s="71" t="s">
        <v>660</v>
      </c>
      <c r="AM625" s="19" t="b">
        <f>AL625=O625</f>
        <v>1</v>
      </c>
      <c r="AN625" s="7">
        <f>VLOOKUP(A625,'base ZITRHR129'!$G$1:$H$628,2,0)</f>
        <v>30041301</v>
      </c>
      <c r="AO625" s="7" t="b">
        <f>AN625=R625</f>
        <v>1</v>
      </c>
      <c r="AP625" s="7">
        <f>VLOOKUP(A625,'base ZITRHR129'!G7:W633,17,0)</f>
        <v>1645.05</v>
      </c>
      <c r="AQ625" s="7" t="b">
        <f>AP625=AK625</f>
        <v>1</v>
      </c>
      <c r="AR625" s="69"/>
    </row>
    <row r="626" spans="1:44" s="7" customFormat="1" ht="12" x14ac:dyDescent="0.2">
      <c r="A626" s="7">
        <v>10081740</v>
      </c>
      <c r="B626" s="8" t="s">
        <v>648</v>
      </c>
      <c r="C626" s="8" t="s">
        <v>693</v>
      </c>
      <c r="D626" s="8" t="s">
        <v>717</v>
      </c>
      <c r="E626" s="8" t="s">
        <v>728</v>
      </c>
      <c r="F626" s="8" t="s">
        <v>1406</v>
      </c>
      <c r="G626" s="8" t="s">
        <v>757</v>
      </c>
      <c r="H626" s="9">
        <v>13</v>
      </c>
      <c r="I626" s="8" t="s">
        <v>666</v>
      </c>
      <c r="J626" s="8" t="s">
        <v>1397</v>
      </c>
      <c r="K626" s="8" t="s">
        <v>16</v>
      </c>
      <c r="L626" s="8" t="s">
        <v>17</v>
      </c>
      <c r="M626" s="10" t="s">
        <v>693</v>
      </c>
      <c r="N626" s="10" t="s">
        <v>717</v>
      </c>
      <c r="O626" s="10" t="s">
        <v>666</v>
      </c>
      <c r="P626" s="1"/>
      <c r="Q626" s="11" t="b">
        <f>O626=P626</f>
        <v>0</v>
      </c>
      <c r="R626" s="30">
        <v>30041302</v>
      </c>
      <c r="S626" s="1"/>
      <c r="T626" s="11" t="b">
        <f>R626=S626</f>
        <v>0</v>
      </c>
      <c r="U626" s="10" t="s">
        <v>16</v>
      </c>
      <c r="V626" s="1"/>
      <c r="W626" s="11" t="b">
        <f>U626=V626</f>
        <v>0</v>
      </c>
      <c r="X626" s="13" t="s">
        <v>15</v>
      </c>
      <c r="Y626" s="1"/>
      <c r="Z626" s="1"/>
      <c r="AA626" s="60">
        <v>22000878</v>
      </c>
      <c r="AB626" s="10" t="s">
        <v>1409</v>
      </c>
      <c r="AD626" s="11" t="b">
        <f>AB626=AC626</f>
        <v>0</v>
      </c>
      <c r="AE626" s="10" t="s">
        <v>757</v>
      </c>
      <c r="AF626" s="1"/>
      <c r="AG626" s="11" t="b">
        <f>AE626=AF626</f>
        <v>0</v>
      </c>
      <c r="AH626" s="1">
        <v>13</v>
      </c>
      <c r="AI626" s="1">
        <v>7.37</v>
      </c>
      <c r="AJ626" s="16">
        <f>AI626*220/30*30.4375</f>
        <v>1645.0454166666666</v>
      </c>
      <c r="AK626" s="18">
        <v>1645.05</v>
      </c>
      <c r="AL626" s="71" t="s">
        <v>666</v>
      </c>
      <c r="AM626" s="19" t="b">
        <f>AL626=O626</f>
        <v>1</v>
      </c>
      <c r="AN626" s="7">
        <f>VLOOKUP(A626,'base ZITRHR129'!$G$1:$H$628,2,0)</f>
        <v>30041302</v>
      </c>
      <c r="AO626" s="7" t="b">
        <f>AN626=R626</f>
        <v>1</v>
      </c>
      <c r="AP626" s="7">
        <f>VLOOKUP(A626,'base ZITRHR129'!G6:W632,17,0)</f>
        <v>1645.05</v>
      </c>
      <c r="AQ626" s="7" t="b">
        <f>AP626=AK626</f>
        <v>1</v>
      </c>
      <c r="AR626" s="69"/>
    </row>
    <row r="627" spans="1:44" s="7" customFormat="1" ht="12" x14ac:dyDescent="0.2">
      <c r="A627" s="7">
        <v>10081742</v>
      </c>
      <c r="B627" s="8" t="s">
        <v>649</v>
      </c>
      <c r="C627" s="8" t="s">
        <v>716</v>
      </c>
      <c r="D627" s="8" t="s">
        <v>717</v>
      </c>
      <c r="E627" s="8" t="s">
        <v>728</v>
      </c>
      <c r="F627" s="8" t="s">
        <v>1406</v>
      </c>
      <c r="G627" s="8" t="s">
        <v>757</v>
      </c>
      <c r="H627" s="9">
        <v>13</v>
      </c>
      <c r="I627" s="8" t="s">
        <v>664</v>
      </c>
      <c r="J627" s="8" t="s">
        <v>1398</v>
      </c>
      <c r="K627" s="8" t="s">
        <v>16</v>
      </c>
      <c r="L627" s="8" t="s">
        <v>17</v>
      </c>
      <c r="M627" s="10" t="s">
        <v>716</v>
      </c>
      <c r="N627" s="10" t="s">
        <v>717</v>
      </c>
      <c r="O627" s="10" t="s">
        <v>664</v>
      </c>
      <c r="P627" s="1"/>
      <c r="Q627" s="11" t="b">
        <f>O627=P627</f>
        <v>0</v>
      </c>
      <c r="R627" s="30">
        <v>30041303</v>
      </c>
      <c r="S627" s="1"/>
      <c r="T627" s="11" t="b">
        <f>R627=S627</f>
        <v>0</v>
      </c>
      <c r="U627" s="10" t="s">
        <v>16</v>
      </c>
      <c r="V627" s="1"/>
      <c r="W627" s="11" t="b">
        <f>U627=V627</f>
        <v>0</v>
      </c>
      <c r="X627" s="13" t="s">
        <v>15</v>
      </c>
      <c r="Y627" s="1"/>
      <c r="Z627" s="1"/>
      <c r="AA627" s="60">
        <v>22000878</v>
      </c>
      <c r="AB627" s="10" t="s">
        <v>1409</v>
      </c>
      <c r="AD627" s="11" t="b">
        <f>AB627=AC627</f>
        <v>0</v>
      </c>
      <c r="AE627" s="10" t="s">
        <v>757</v>
      </c>
      <c r="AF627" s="1"/>
      <c r="AG627" s="11" t="b">
        <f>AE627=AF627</f>
        <v>0</v>
      </c>
      <c r="AH627" s="1">
        <v>13</v>
      </c>
      <c r="AI627" s="1">
        <v>7.37</v>
      </c>
      <c r="AJ627" s="16">
        <f>AI627*220/30*30.4375</f>
        <v>1645.0454166666666</v>
      </c>
      <c r="AK627" s="18">
        <v>1645.05</v>
      </c>
      <c r="AL627" s="71" t="s">
        <v>664</v>
      </c>
      <c r="AM627" s="19" t="b">
        <f>AL627=O627</f>
        <v>1</v>
      </c>
      <c r="AN627" s="7">
        <f>VLOOKUP(A627,'base ZITRHR129'!$G$1:$H$628,2,0)</f>
        <v>30041303</v>
      </c>
      <c r="AO627" s="7" t="b">
        <f>AN627=R627</f>
        <v>1</v>
      </c>
      <c r="AP627" s="7">
        <f>VLOOKUP(A627,'base ZITRHR129'!G5:W631,17,0)</f>
        <v>1645.05</v>
      </c>
      <c r="AQ627" s="7" t="b">
        <f>AP627=AK627</f>
        <v>1</v>
      </c>
      <c r="AR627" s="69"/>
    </row>
    <row r="628" spans="1:44" s="7" customFormat="1" ht="12" x14ac:dyDescent="0.2">
      <c r="A628" s="7">
        <v>10081783</v>
      </c>
      <c r="B628" s="8" t="s">
        <v>650</v>
      </c>
      <c r="C628" s="8" t="s">
        <v>695</v>
      </c>
      <c r="D628" s="8" t="s">
        <v>717</v>
      </c>
      <c r="E628" s="8" t="s">
        <v>728</v>
      </c>
      <c r="F628" s="8" t="s">
        <v>1406</v>
      </c>
      <c r="G628" s="8" t="s">
        <v>757</v>
      </c>
      <c r="H628" s="9">
        <v>13</v>
      </c>
      <c r="I628" s="8" t="s">
        <v>660</v>
      </c>
      <c r="J628" s="8" t="s">
        <v>1399</v>
      </c>
      <c r="K628" s="8" t="s">
        <v>16</v>
      </c>
      <c r="L628" s="8" t="s">
        <v>17</v>
      </c>
      <c r="M628" s="10" t="s">
        <v>695</v>
      </c>
      <c r="N628" s="10" t="s">
        <v>717</v>
      </c>
      <c r="O628" s="10" t="s">
        <v>660</v>
      </c>
      <c r="P628" s="1"/>
      <c r="Q628" s="11" t="b">
        <f>O628=P628</f>
        <v>0</v>
      </c>
      <c r="R628" s="30">
        <v>30041304</v>
      </c>
      <c r="S628" s="1"/>
      <c r="T628" s="11" t="b">
        <f>R628=S628</f>
        <v>0</v>
      </c>
      <c r="U628" s="10" t="s">
        <v>16</v>
      </c>
      <c r="V628" s="1"/>
      <c r="W628" s="11" t="b">
        <f>U628=V628</f>
        <v>0</v>
      </c>
      <c r="X628" s="13" t="s">
        <v>15</v>
      </c>
      <c r="Y628" s="1"/>
      <c r="Z628" s="1"/>
      <c r="AA628" s="60">
        <v>22000878</v>
      </c>
      <c r="AB628" s="10" t="s">
        <v>1409</v>
      </c>
      <c r="AD628" s="11" t="b">
        <f>AB628=AC628</f>
        <v>0</v>
      </c>
      <c r="AE628" s="10" t="s">
        <v>757</v>
      </c>
      <c r="AF628" s="1"/>
      <c r="AG628" s="11" t="b">
        <f>AE628=AF628</f>
        <v>0</v>
      </c>
      <c r="AH628" s="1">
        <v>13</v>
      </c>
      <c r="AI628" s="1">
        <v>7.37</v>
      </c>
      <c r="AJ628" s="16">
        <f>AI628*220/30*30.4375</f>
        <v>1645.0454166666666</v>
      </c>
      <c r="AK628" s="18">
        <v>1645.05</v>
      </c>
      <c r="AL628" s="71" t="s">
        <v>660</v>
      </c>
      <c r="AM628" s="19" t="b">
        <f>AL628=O628</f>
        <v>1</v>
      </c>
      <c r="AN628" s="7">
        <f>VLOOKUP(A628,'base ZITRHR129'!$G$1:$H$628,2,0)</f>
        <v>30041304</v>
      </c>
      <c r="AO628" s="7" t="b">
        <f>AN628=R628</f>
        <v>1</v>
      </c>
      <c r="AP628" s="7">
        <f>VLOOKUP(A628,'base ZITRHR129'!G4:W630,17,0)</f>
        <v>1645.05</v>
      </c>
      <c r="AQ628" s="7" t="b">
        <f>AP628=AK628</f>
        <v>1</v>
      </c>
      <c r="AR628" s="69"/>
    </row>
    <row r="629" spans="1:44" s="7" customFormat="1" ht="12" x14ac:dyDescent="0.2">
      <c r="A629" s="7">
        <v>10081785</v>
      </c>
      <c r="B629" s="8" t="s">
        <v>651</v>
      </c>
      <c r="C629" s="8" t="s">
        <v>695</v>
      </c>
      <c r="D629" s="8" t="s">
        <v>717</v>
      </c>
      <c r="E629" s="8" t="s">
        <v>728</v>
      </c>
      <c r="F629" s="8" t="s">
        <v>1406</v>
      </c>
      <c r="G629" s="8" t="s">
        <v>757</v>
      </c>
      <c r="H629" s="9">
        <v>13</v>
      </c>
      <c r="I629" s="8" t="s">
        <v>660</v>
      </c>
      <c r="J629" s="8" t="s">
        <v>1400</v>
      </c>
      <c r="K629" s="8" t="s">
        <v>16</v>
      </c>
      <c r="L629" s="8" t="s">
        <v>17</v>
      </c>
      <c r="M629" s="10" t="s">
        <v>695</v>
      </c>
      <c r="N629" s="10" t="s">
        <v>717</v>
      </c>
      <c r="O629" s="10" t="s">
        <v>660</v>
      </c>
      <c r="P629" s="1"/>
      <c r="Q629" s="11" t="b">
        <f>O629=P629</f>
        <v>0</v>
      </c>
      <c r="R629" s="30">
        <v>30041305</v>
      </c>
      <c r="S629" s="1"/>
      <c r="T629" s="11" t="b">
        <f>R629=S629</f>
        <v>0</v>
      </c>
      <c r="U629" s="10" t="s">
        <v>16</v>
      </c>
      <c r="V629" s="1"/>
      <c r="W629" s="11" t="b">
        <f>U629=V629</f>
        <v>0</v>
      </c>
      <c r="X629" s="13" t="s">
        <v>15</v>
      </c>
      <c r="Y629" s="1"/>
      <c r="Z629" s="1"/>
      <c r="AA629" s="60">
        <v>22000878</v>
      </c>
      <c r="AB629" s="10" t="s">
        <v>1409</v>
      </c>
      <c r="AD629" s="11" t="b">
        <f>AB629=AC629</f>
        <v>0</v>
      </c>
      <c r="AE629" s="10" t="s">
        <v>757</v>
      </c>
      <c r="AF629" s="1"/>
      <c r="AG629" s="11" t="b">
        <f>AE629=AF629</f>
        <v>0</v>
      </c>
      <c r="AH629" s="1">
        <v>13</v>
      </c>
      <c r="AI629" s="1">
        <v>7.37</v>
      </c>
      <c r="AJ629" s="16">
        <f>AI629*220/30*30.4375</f>
        <v>1645.0454166666666</v>
      </c>
      <c r="AK629" s="18">
        <v>1645.05</v>
      </c>
      <c r="AL629" s="71" t="s">
        <v>660</v>
      </c>
      <c r="AM629" s="19" t="b">
        <f>AL629=O629</f>
        <v>1</v>
      </c>
      <c r="AN629" s="7">
        <f>VLOOKUP(A629,'base ZITRHR129'!$G$1:$H$628,2,0)</f>
        <v>30041305</v>
      </c>
      <c r="AO629" s="7" t="b">
        <f>AN629=R629</f>
        <v>1</v>
      </c>
      <c r="AP629" s="7">
        <f>VLOOKUP(A629,'base ZITRHR129'!G3:W629,17,0)</f>
        <v>1645.05</v>
      </c>
      <c r="AQ629" s="7" t="b">
        <f>AP629=AK629</f>
        <v>1</v>
      </c>
      <c r="AR629" s="69"/>
    </row>
    <row r="630" spans="1:44" s="7" customFormat="1" ht="12" x14ac:dyDescent="0.2">
      <c r="A630" s="7">
        <v>10081852</v>
      </c>
      <c r="B630" s="8" t="s">
        <v>652</v>
      </c>
      <c r="C630" s="8" t="s">
        <v>680</v>
      </c>
      <c r="D630" s="8" t="s">
        <v>717</v>
      </c>
      <c r="E630" s="8" t="s">
        <v>728</v>
      </c>
      <c r="F630" s="8" t="s">
        <v>1406</v>
      </c>
      <c r="G630" s="8" t="s">
        <v>757</v>
      </c>
      <c r="H630" s="9">
        <v>13</v>
      </c>
      <c r="I630" s="8" t="s">
        <v>654</v>
      </c>
      <c r="J630" s="8" t="s">
        <v>1401</v>
      </c>
      <c r="K630" s="8" t="s">
        <v>16</v>
      </c>
      <c r="L630" s="8" t="s">
        <v>17</v>
      </c>
      <c r="M630" s="10" t="s">
        <v>680</v>
      </c>
      <c r="N630" s="10" t="s">
        <v>717</v>
      </c>
      <c r="O630" s="10" t="s">
        <v>654</v>
      </c>
      <c r="P630" s="1" t="s">
        <v>1402</v>
      </c>
      <c r="Q630" s="11" t="b">
        <f>O630=P630</f>
        <v>0</v>
      </c>
      <c r="R630" s="30">
        <v>30041306</v>
      </c>
      <c r="S630" s="1"/>
      <c r="T630" s="11" t="b">
        <f>R630=S630</f>
        <v>0</v>
      </c>
      <c r="U630" s="10" t="s">
        <v>16</v>
      </c>
      <c r="V630" s="1"/>
      <c r="W630" s="11" t="b">
        <f>U630=V630</f>
        <v>0</v>
      </c>
      <c r="X630" s="13" t="s">
        <v>15</v>
      </c>
      <c r="Y630" s="1"/>
      <c r="Z630" s="1"/>
      <c r="AA630" s="60">
        <v>22000878</v>
      </c>
      <c r="AB630" s="10" t="s">
        <v>1409</v>
      </c>
      <c r="AD630" s="11" t="b">
        <f>AB630=AC630</f>
        <v>0</v>
      </c>
      <c r="AE630" s="10" t="s">
        <v>757</v>
      </c>
      <c r="AF630" s="1"/>
      <c r="AG630" s="11" t="b">
        <f>AE630=AF630</f>
        <v>0</v>
      </c>
      <c r="AH630" s="1">
        <v>13</v>
      </c>
      <c r="AI630" s="1">
        <v>7.37</v>
      </c>
      <c r="AJ630" s="16">
        <f>AI630*220/30*30.4375</f>
        <v>1645.0454166666666</v>
      </c>
      <c r="AK630" s="18">
        <v>1645.05</v>
      </c>
      <c r="AL630" s="71" t="s">
        <v>654</v>
      </c>
      <c r="AM630" s="19" t="b">
        <f>AL630=O630</f>
        <v>1</v>
      </c>
      <c r="AN630" s="7">
        <f>VLOOKUP(A630,'base ZITRHR129'!$G$1:$H$628,2,0)</f>
        <v>30041306</v>
      </c>
      <c r="AO630" s="7" t="b">
        <f>AN630=R630</f>
        <v>1</v>
      </c>
      <c r="AP630" s="7">
        <f>VLOOKUP(A630,'base ZITRHR129'!G2:W628,17,0)</f>
        <v>1645.05</v>
      </c>
      <c r="AQ630" s="7" t="b">
        <f>AP630=AK630</f>
        <v>1</v>
      </c>
      <c r="AR630" s="69"/>
    </row>
  </sheetData>
  <autoFilter ref="A1:AR63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Z628"/>
  <sheetViews>
    <sheetView topLeftCell="P599" workbookViewId="0">
      <selection activeCell="A2" sqref="A2"/>
    </sheetView>
  </sheetViews>
  <sheetFormatPr defaultRowHeight="15" x14ac:dyDescent="0.25"/>
  <cols>
    <col min="1" max="1" width="12.7109375" bestFit="1" customWidth="1"/>
    <col min="2" max="2" width="11.85546875" bestFit="1" customWidth="1"/>
    <col min="3" max="3" width="21" bestFit="1" customWidth="1"/>
    <col min="4" max="4" width="20.5703125" bestFit="1" customWidth="1"/>
    <col min="5" max="5" width="10.42578125" bestFit="1" customWidth="1"/>
    <col min="6" max="6" width="27.85546875" bestFit="1" customWidth="1"/>
    <col min="7" max="7" width="10.42578125" style="40" bestFit="1" customWidth="1"/>
    <col min="8" max="8" width="10.42578125" style="43" bestFit="1" customWidth="1"/>
    <col min="9" max="9" width="48" bestFit="1" customWidth="1"/>
    <col min="10" max="10" width="9" bestFit="1" customWidth="1"/>
    <col min="11" max="11" width="12.5703125" bestFit="1" customWidth="1"/>
    <col min="12" max="12" width="14.85546875" bestFit="1" customWidth="1"/>
    <col min="13" max="13" width="22.7109375" bestFit="1" customWidth="1"/>
    <col min="14" max="14" width="20.7109375" bestFit="1" customWidth="1"/>
    <col min="15" max="15" width="28.5703125" bestFit="1" customWidth="1"/>
    <col min="16" max="16" width="21.5703125" bestFit="1" customWidth="1"/>
    <col min="17" max="17" width="20.42578125" bestFit="1" customWidth="1"/>
    <col min="18" max="19" width="41.85546875" bestFit="1" customWidth="1"/>
    <col min="20" max="21" width="27.85546875" bestFit="1" customWidth="1"/>
    <col min="22" max="22" width="15" bestFit="1" customWidth="1"/>
    <col min="23" max="23" width="12.140625" style="46" bestFit="1" customWidth="1"/>
    <col min="25" max="25" width="14.42578125" bestFit="1" customWidth="1"/>
    <col min="26" max="26" width="14.5703125" bestFit="1" customWidth="1"/>
  </cols>
  <sheetData>
    <row r="1" spans="1:26" ht="45" x14ac:dyDescent="0.25">
      <c r="A1" s="32" t="s">
        <v>1416</v>
      </c>
      <c r="B1" s="32" t="s">
        <v>1417</v>
      </c>
      <c r="C1" s="32" t="s">
        <v>1418</v>
      </c>
      <c r="D1" s="32" t="s">
        <v>1419</v>
      </c>
      <c r="E1" s="32" t="s">
        <v>1420</v>
      </c>
      <c r="F1" s="32" t="s">
        <v>1421</v>
      </c>
      <c r="G1" s="38" t="s">
        <v>1422</v>
      </c>
      <c r="H1" s="41" t="s">
        <v>1420</v>
      </c>
      <c r="I1" s="32" t="s">
        <v>1423</v>
      </c>
      <c r="J1" s="33" t="s">
        <v>1424</v>
      </c>
      <c r="K1" s="32" t="s">
        <v>1425</v>
      </c>
      <c r="L1" s="32" t="s">
        <v>1426</v>
      </c>
      <c r="M1" s="32" t="s">
        <v>1427</v>
      </c>
      <c r="N1" s="33" t="s">
        <v>1428</v>
      </c>
      <c r="O1" s="32" t="s">
        <v>1429</v>
      </c>
      <c r="P1" s="32" t="s">
        <v>1430</v>
      </c>
      <c r="Q1" s="32" t="s">
        <v>1431</v>
      </c>
      <c r="R1" s="32" t="s">
        <v>1432</v>
      </c>
      <c r="S1" s="32" t="s">
        <v>1433</v>
      </c>
      <c r="T1" s="32" t="s">
        <v>1434</v>
      </c>
      <c r="U1" s="32" t="s">
        <v>1435</v>
      </c>
      <c r="V1" s="32" t="s">
        <v>1436</v>
      </c>
      <c r="W1" s="44" t="s">
        <v>1437</v>
      </c>
      <c r="X1" s="33" t="s">
        <v>1438</v>
      </c>
      <c r="Y1" s="32" t="s">
        <v>1439</v>
      </c>
      <c r="Z1" s="32" t="s">
        <v>1440</v>
      </c>
    </row>
    <row r="2" spans="1:26" x14ac:dyDescent="0.25">
      <c r="A2" s="34" t="s">
        <v>1441</v>
      </c>
      <c r="B2" s="34" t="s">
        <v>1442</v>
      </c>
      <c r="C2" s="34" t="s">
        <v>16</v>
      </c>
      <c r="D2" s="34" t="s">
        <v>15</v>
      </c>
      <c r="E2" s="35">
        <v>30040653</v>
      </c>
      <c r="F2" s="34" t="s">
        <v>750</v>
      </c>
      <c r="G2" s="39">
        <v>10004512</v>
      </c>
      <c r="H2" s="42">
        <v>30040653</v>
      </c>
      <c r="I2" s="34" t="s">
        <v>26</v>
      </c>
      <c r="J2" s="34" t="s">
        <v>1443</v>
      </c>
      <c r="K2" s="36">
        <v>31845</v>
      </c>
      <c r="L2" s="34" t="s">
        <v>1444</v>
      </c>
      <c r="M2" s="34" t="s">
        <v>1445</v>
      </c>
      <c r="N2" s="34" t="s">
        <v>717</v>
      </c>
      <c r="O2" s="34" t="s">
        <v>717</v>
      </c>
      <c r="P2" s="34" t="s">
        <v>1446</v>
      </c>
      <c r="Q2" s="34" t="s">
        <v>1446</v>
      </c>
      <c r="R2" s="34" t="s">
        <v>1447</v>
      </c>
      <c r="S2" s="34" t="s">
        <v>1447</v>
      </c>
      <c r="T2" s="34" t="s">
        <v>750</v>
      </c>
      <c r="U2" s="34" t="s">
        <v>750</v>
      </c>
      <c r="V2" s="37">
        <v>18.62</v>
      </c>
      <c r="W2" s="45">
        <v>4156.1400000000003</v>
      </c>
      <c r="X2" s="37">
        <v>22220.84</v>
      </c>
      <c r="Y2" s="36">
        <v>43864</v>
      </c>
      <c r="Z2" s="34" t="s">
        <v>1448</v>
      </c>
    </row>
    <row r="3" spans="1:26" x14ac:dyDescent="0.25">
      <c r="A3" s="34" t="s">
        <v>1441</v>
      </c>
      <c r="B3" s="34" t="s">
        <v>1442</v>
      </c>
      <c r="C3" s="34" t="s">
        <v>16</v>
      </c>
      <c r="D3" s="34" t="s">
        <v>15</v>
      </c>
      <c r="E3" s="35">
        <v>30040654</v>
      </c>
      <c r="F3" s="34" t="s">
        <v>20</v>
      </c>
      <c r="G3" s="39">
        <v>10004650</v>
      </c>
      <c r="H3" s="42">
        <v>30040654</v>
      </c>
      <c r="I3" s="34" t="s">
        <v>27</v>
      </c>
      <c r="J3" s="34" t="s">
        <v>1443</v>
      </c>
      <c r="K3" s="36">
        <v>31873</v>
      </c>
      <c r="L3" s="34" t="s">
        <v>1444</v>
      </c>
      <c r="M3" s="34" t="s">
        <v>1445</v>
      </c>
      <c r="N3" s="34" t="s">
        <v>717</v>
      </c>
      <c r="O3" s="34" t="s">
        <v>717</v>
      </c>
      <c r="P3" s="34" t="s">
        <v>1449</v>
      </c>
      <c r="Q3" s="34" t="s">
        <v>1449</v>
      </c>
      <c r="R3" s="34" t="s">
        <v>1450</v>
      </c>
      <c r="S3" s="34" t="s">
        <v>1450</v>
      </c>
      <c r="T3" s="34" t="s">
        <v>20</v>
      </c>
      <c r="U3" s="34" t="s">
        <v>20</v>
      </c>
      <c r="V3" s="37">
        <v>17.43</v>
      </c>
      <c r="W3" s="45">
        <v>3890.52</v>
      </c>
      <c r="X3" s="37">
        <v>22220.83</v>
      </c>
      <c r="Y3" s="36">
        <v>43864</v>
      </c>
      <c r="Z3" s="34" t="s">
        <v>1448</v>
      </c>
    </row>
    <row r="4" spans="1:26" x14ac:dyDescent="0.25">
      <c r="A4" s="34" t="s">
        <v>1441</v>
      </c>
      <c r="B4" s="34" t="s">
        <v>1442</v>
      </c>
      <c r="C4" s="34" t="s">
        <v>16</v>
      </c>
      <c r="D4" s="34" t="s">
        <v>15</v>
      </c>
      <c r="E4" s="35">
        <v>30040655</v>
      </c>
      <c r="F4" s="34" t="s">
        <v>751</v>
      </c>
      <c r="G4" s="39">
        <v>10004846</v>
      </c>
      <c r="H4" s="42">
        <v>30040655</v>
      </c>
      <c r="I4" s="34" t="s">
        <v>28</v>
      </c>
      <c r="J4" s="34" t="s">
        <v>1443</v>
      </c>
      <c r="K4" s="36">
        <v>31936</v>
      </c>
      <c r="L4" s="34" t="s">
        <v>1444</v>
      </c>
      <c r="M4" s="34" t="s">
        <v>1445</v>
      </c>
      <c r="N4" s="34" t="s">
        <v>717</v>
      </c>
      <c r="O4" s="34" t="s">
        <v>717</v>
      </c>
      <c r="P4" s="34" t="s">
        <v>1446</v>
      </c>
      <c r="Q4" s="34" t="s">
        <v>1446</v>
      </c>
      <c r="R4" s="34" t="s">
        <v>1451</v>
      </c>
      <c r="S4" s="34" t="s">
        <v>1451</v>
      </c>
      <c r="T4" s="34" t="s">
        <v>751</v>
      </c>
      <c r="U4" s="34" t="s">
        <v>751</v>
      </c>
      <c r="V4" s="37">
        <v>17.73</v>
      </c>
      <c r="W4" s="45">
        <v>3957.48</v>
      </c>
      <c r="X4" s="37">
        <v>22220.81</v>
      </c>
      <c r="Y4" s="36">
        <v>43864</v>
      </c>
      <c r="Z4" s="34" t="s">
        <v>1448</v>
      </c>
    </row>
    <row r="5" spans="1:26" x14ac:dyDescent="0.25">
      <c r="A5" s="34" t="s">
        <v>1441</v>
      </c>
      <c r="B5" s="34" t="s">
        <v>1442</v>
      </c>
      <c r="C5" s="34" t="s">
        <v>16</v>
      </c>
      <c r="D5" s="34" t="s">
        <v>15</v>
      </c>
      <c r="E5" s="35">
        <v>30040656</v>
      </c>
      <c r="F5" s="34" t="s">
        <v>751</v>
      </c>
      <c r="G5" s="39">
        <v>10007154</v>
      </c>
      <c r="H5" s="42">
        <v>30040656</v>
      </c>
      <c r="I5" s="34" t="s">
        <v>29</v>
      </c>
      <c r="J5" s="34" t="s">
        <v>1443</v>
      </c>
      <c r="K5" s="36">
        <v>32692</v>
      </c>
      <c r="L5" s="34" t="s">
        <v>1444</v>
      </c>
      <c r="M5" s="34" t="s">
        <v>1445</v>
      </c>
      <c r="N5" s="34" t="s">
        <v>717</v>
      </c>
      <c r="O5" s="34" t="s">
        <v>717</v>
      </c>
      <c r="P5" s="34" t="s">
        <v>1446</v>
      </c>
      <c r="Q5" s="34" t="s">
        <v>1446</v>
      </c>
      <c r="R5" s="34" t="s">
        <v>1447</v>
      </c>
      <c r="S5" s="34" t="s">
        <v>1447</v>
      </c>
      <c r="T5" s="34" t="s">
        <v>751</v>
      </c>
      <c r="U5" s="34" t="s">
        <v>751</v>
      </c>
      <c r="V5" s="37">
        <v>17.73</v>
      </c>
      <c r="W5" s="45">
        <v>3957.48</v>
      </c>
      <c r="X5" s="37">
        <v>22220.81</v>
      </c>
      <c r="Y5" s="36">
        <v>43864</v>
      </c>
      <c r="Z5" s="34" t="s">
        <v>1448</v>
      </c>
    </row>
    <row r="6" spans="1:26" x14ac:dyDescent="0.25">
      <c r="A6" s="34" t="s">
        <v>1441</v>
      </c>
      <c r="B6" s="34" t="s">
        <v>1442</v>
      </c>
      <c r="C6" s="34" t="s">
        <v>16</v>
      </c>
      <c r="D6" s="34" t="s">
        <v>15</v>
      </c>
      <c r="E6" s="35">
        <v>30040657</v>
      </c>
      <c r="F6" s="34" t="s">
        <v>751</v>
      </c>
      <c r="G6" s="39">
        <v>10008208</v>
      </c>
      <c r="H6" s="42">
        <v>30040657</v>
      </c>
      <c r="I6" s="34" t="s">
        <v>30</v>
      </c>
      <c r="J6" s="34" t="s">
        <v>1443</v>
      </c>
      <c r="K6" s="36">
        <v>32916</v>
      </c>
      <c r="L6" s="34" t="s">
        <v>1444</v>
      </c>
      <c r="M6" s="34" t="s">
        <v>1445</v>
      </c>
      <c r="N6" s="34" t="s">
        <v>717</v>
      </c>
      <c r="O6" s="34" t="s">
        <v>717</v>
      </c>
      <c r="P6" s="34" t="s">
        <v>1446</v>
      </c>
      <c r="Q6" s="34" t="s">
        <v>1446</v>
      </c>
      <c r="R6" s="34" t="s">
        <v>1447</v>
      </c>
      <c r="S6" s="34" t="s">
        <v>1447</v>
      </c>
      <c r="T6" s="34" t="s">
        <v>751</v>
      </c>
      <c r="U6" s="34" t="s">
        <v>751</v>
      </c>
      <c r="V6" s="37">
        <v>17.73</v>
      </c>
      <c r="W6" s="45">
        <v>3957.48</v>
      </c>
      <c r="X6" s="37">
        <v>22220.81</v>
      </c>
      <c r="Y6" s="36">
        <v>43864</v>
      </c>
      <c r="Z6" s="34" t="s">
        <v>1448</v>
      </c>
    </row>
    <row r="7" spans="1:26" x14ac:dyDescent="0.25">
      <c r="A7" s="34" t="s">
        <v>1441</v>
      </c>
      <c r="B7" s="34" t="s">
        <v>1442</v>
      </c>
      <c r="C7" s="34" t="s">
        <v>16</v>
      </c>
      <c r="D7" s="34" t="s">
        <v>15</v>
      </c>
      <c r="E7" s="35">
        <v>30040658</v>
      </c>
      <c r="F7" s="34" t="s">
        <v>750</v>
      </c>
      <c r="G7" s="39">
        <v>10009789</v>
      </c>
      <c r="H7" s="42">
        <v>30040658</v>
      </c>
      <c r="I7" s="34" t="s">
        <v>31</v>
      </c>
      <c r="J7" s="34" t="s">
        <v>1443</v>
      </c>
      <c r="K7" s="36">
        <v>33336</v>
      </c>
      <c r="L7" s="34" t="s">
        <v>1444</v>
      </c>
      <c r="M7" s="34" t="s">
        <v>1445</v>
      </c>
      <c r="N7" s="34" t="s">
        <v>717</v>
      </c>
      <c r="O7" s="34" t="s">
        <v>717</v>
      </c>
      <c r="P7" s="34" t="s">
        <v>1446</v>
      </c>
      <c r="Q7" s="34" t="s">
        <v>1446</v>
      </c>
      <c r="R7" s="34" t="s">
        <v>1447</v>
      </c>
      <c r="S7" s="34" t="s">
        <v>1447</v>
      </c>
      <c r="T7" s="34" t="s">
        <v>750</v>
      </c>
      <c r="U7" s="34" t="s">
        <v>750</v>
      </c>
      <c r="V7" s="37">
        <v>18.62</v>
      </c>
      <c r="W7" s="45">
        <v>4156.1400000000003</v>
      </c>
      <c r="X7" s="37">
        <v>22220.84</v>
      </c>
      <c r="Y7" s="36">
        <v>43864</v>
      </c>
      <c r="Z7" s="34" t="s">
        <v>1448</v>
      </c>
    </row>
    <row r="8" spans="1:26" x14ac:dyDescent="0.25">
      <c r="A8" s="34" t="s">
        <v>1441</v>
      </c>
      <c r="B8" s="34" t="s">
        <v>1442</v>
      </c>
      <c r="C8" s="34" t="s">
        <v>16</v>
      </c>
      <c r="D8" s="34" t="s">
        <v>15</v>
      </c>
      <c r="E8" s="35">
        <v>30040659</v>
      </c>
      <c r="F8" s="34" t="s">
        <v>750</v>
      </c>
      <c r="G8" s="39">
        <v>10011466</v>
      </c>
      <c r="H8" s="42">
        <v>30040659</v>
      </c>
      <c r="I8" s="34" t="s">
        <v>32</v>
      </c>
      <c r="J8" s="34" t="s">
        <v>1443</v>
      </c>
      <c r="K8" s="36">
        <v>33819</v>
      </c>
      <c r="L8" s="34" t="s">
        <v>1444</v>
      </c>
      <c r="M8" s="34" t="s">
        <v>1445</v>
      </c>
      <c r="N8" s="34" t="s">
        <v>717</v>
      </c>
      <c r="O8" s="34" t="s">
        <v>717</v>
      </c>
      <c r="P8" s="34" t="s">
        <v>1452</v>
      </c>
      <c r="Q8" s="34" t="s">
        <v>1452</v>
      </c>
      <c r="R8" s="34" t="s">
        <v>1453</v>
      </c>
      <c r="S8" s="34" t="s">
        <v>1453</v>
      </c>
      <c r="T8" s="34" t="s">
        <v>750</v>
      </c>
      <c r="U8" s="34" t="s">
        <v>750</v>
      </c>
      <c r="V8" s="37">
        <v>18.62</v>
      </c>
      <c r="W8" s="45">
        <v>4156.1400000000003</v>
      </c>
      <c r="X8" s="37">
        <v>22220.84</v>
      </c>
      <c r="Y8" s="36">
        <v>43864</v>
      </c>
      <c r="Z8" s="34" t="s">
        <v>1448</v>
      </c>
    </row>
    <row r="9" spans="1:26" x14ac:dyDescent="0.25">
      <c r="A9" s="34" t="s">
        <v>1441</v>
      </c>
      <c r="B9" s="34" t="s">
        <v>1442</v>
      </c>
      <c r="C9" s="34" t="s">
        <v>16</v>
      </c>
      <c r="D9" s="34" t="s">
        <v>15</v>
      </c>
      <c r="E9" s="35">
        <v>30040660</v>
      </c>
      <c r="F9" s="34" t="s">
        <v>751</v>
      </c>
      <c r="G9" s="39">
        <v>10012821</v>
      </c>
      <c r="H9" s="42">
        <v>30040660</v>
      </c>
      <c r="I9" s="34" t="s">
        <v>33</v>
      </c>
      <c r="J9" s="34" t="s">
        <v>1443</v>
      </c>
      <c r="K9" s="36">
        <v>34185</v>
      </c>
      <c r="L9" s="34" t="s">
        <v>1444</v>
      </c>
      <c r="M9" s="34" t="s">
        <v>1445</v>
      </c>
      <c r="N9" s="34" t="s">
        <v>717</v>
      </c>
      <c r="O9" s="34" t="s">
        <v>717</v>
      </c>
      <c r="P9" s="34" t="s">
        <v>1452</v>
      </c>
      <c r="Q9" s="34" t="s">
        <v>1452</v>
      </c>
      <c r="R9" s="34" t="s">
        <v>1453</v>
      </c>
      <c r="S9" s="34" t="s">
        <v>1453</v>
      </c>
      <c r="T9" s="34" t="s">
        <v>751</v>
      </c>
      <c r="U9" s="34" t="s">
        <v>751</v>
      </c>
      <c r="V9" s="37">
        <v>17.73</v>
      </c>
      <c r="W9" s="45">
        <v>3957.48</v>
      </c>
      <c r="X9" s="37">
        <v>22220.81</v>
      </c>
      <c r="Y9" s="36">
        <v>43864</v>
      </c>
      <c r="Z9" s="34" t="s">
        <v>1448</v>
      </c>
    </row>
    <row r="10" spans="1:26" x14ac:dyDescent="0.25">
      <c r="A10" s="34" t="s">
        <v>1441</v>
      </c>
      <c r="B10" s="34" t="s">
        <v>1442</v>
      </c>
      <c r="C10" s="34" t="s">
        <v>6</v>
      </c>
      <c r="D10" s="34" t="s">
        <v>15</v>
      </c>
      <c r="E10" s="35">
        <v>30040661</v>
      </c>
      <c r="F10" s="34" t="s">
        <v>752</v>
      </c>
      <c r="G10" s="39">
        <v>10012913</v>
      </c>
      <c r="H10" s="42">
        <v>30040661</v>
      </c>
      <c r="I10" s="34" t="s">
        <v>34</v>
      </c>
      <c r="J10" s="34" t="s">
        <v>1443</v>
      </c>
      <c r="K10" s="36">
        <v>34228</v>
      </c>
      <c r="L10" s="34" t="s">
        <v>1444</v>
      </c>
      <c r="M10" s="34" t="s">
        <v>1445</v>
      </c>
      <c r="N10" s="34" t="s">
        <v>717</v>
      </c>
      <c r="O10" s="34" t="s">
        <v>717</v>
      </c>
      <c r="P10" s="34" t="s">
        <v>1454</v>
      </c>
      <c r="Q10" s="34" t="s">
        <v>1454</v>
      </c>
      <c r="R10" s="34" t="s">
        <v>1455</v>
      </c>
      <c r="S10" s="34" t="s">
        <v>1455</v>
      </c>
      <c r="T10" s="34" t="s">
        <v>752</v>
      </c>
      <c r="U10" s="34" t="s">
        <v>752</v>
      </c>
      <c r="V10" s="37">
        <v>24.74</v>
      </c>
      <c r="W10" s="45">
        <v>5522.17</v>
      </c>
      <c r="X10" s="37">
        <v>22220.82</v>
      </c>
      <c r="Y10" s="36">
        <v>43864</v>
      </c>
      <c r="Z10" s="34" t="s">
        <v>1448</v>
      </c>
    </row>
    <row r="11" spans="1:26" x14ac:dyDescent="0.25">
      <c r="A11" s="34" t="s">
        <v>1441</v>
      </c>
      <c r="B11" s="34" t="s">
        <v>1442</v>
      </c>
      <c r="C11" s="34" t="s">
        <v>6</v>
      </c>
      <c r="D11" s="34" t="s">
        <v>15</v>
      </c>
      <c r="E11" s="35">
        <v>30040662</v>
      </c>
      <c r="F11" s="34" t="s">
        <v>753</v>
      </c>
      <c r="G11" s="39">
        <v>10012956</v>
      </c>
      <c r="H11" s="42">
        <v>30040662</v>
      </c>
      <c r="I11" s="34" t="s">
        <v>35</v>
      </c>
      <c r="J11" s="34" t="s">
        <v>1443</v>
      </c>
      <c r="K11" s="36">
        <v>34246</v>
      </c>
      <c r="L11" s="34" t="s">
        <v>1444</v>
      </c>
      <c r="M11" s="34" t="s">
        <v>1445</v>
      </c>
      <c r="N11" s="34" t="s">
        <v>717</v>
      </c>
      <c r="O11" s="34" t="s">
        <v>717</v>
      </c>
      <c r="P11" s="34" t="s">
        <v>1454</v>
      </c>
      <c r="Q11" s="34" t="s">
        <v>1454</v>
      </c>
      <c r="R11" s="34" t="s">
        <v>1455</v>
      </c>
      <c r="S11" s="34" t="s">
        <v>1455</v>
      </c>
      <c r="T11" s="34" t="s">
        <v>753</v>
      </c>
      <c r="U11" s="34" t="s">
        <v>753</v>
      </c>
      <c r="V11" s="37">
        <v>20.49</v>
      </c>
      <c r="W11" s="45">
        <v>4573.54</v>
      </c>
      <c r="X11" s="37">
        <v>22220.84</v>
      </c>
      <c r="Y11" s="36">
        <v>43864</v>
      </c>
      <c r="Z11" s="34" t="s">
        <v>1448</v>
      </c>
    </row>
    <row r="12" spans="1:26" x14ac:dyDescent="0.25">
      <c r="A12" s="34" t="s">
        <v>1441</v>
      </c>
      <c r="B12" s="34" t="s">
        <v>1442</v>
      </c>
      <c r="C12" s="34" t="s">
        <v>16</v>
      </c>
      <c r="D12" s="34" t="s">
        <v>15</v>
      </c>
      <c r="E12" s="35">
        <v>30040663</v>
      </c>
      <c r="F12" s="34" t="s">
        <v>751</v>
      </c>
      <c r="G12" s="39">
        <v>10013042</v>
      </c>
      <c r="H12" s="42">
        <v>30040663</v>
      </c>
      <c r="I12" s="34" t="s">
        <v>36</v>
      </c>
      <c r="J12" s="34" t="s">
        <v>1443</v>
      </c>
      <c r="K12" s="36">
        <v>34276</v>
      </c>
      <c r="L12" s="34" t="s">
        <v>1444</v>
      </c>
      <c r="M12" s="34" t="s">
        <v>1445</v>
      </c>
      <c r="N12" s="34" t="s">
        <v>717</v>
      </c>
      <c r="O12" s="34" t="s">
        <v>717</v>
      </c>
      <c r="P12" s="34" t="s">
        <v>1456</v>
      </c>
      <c r="Q12" s="34" t="s">
        <v>1456</v>
      </c>
      <c r="R12" s="34" t="s">
        <v>1457</v>
      </c>
      <c r="S12" s="34" t="s">
        <v>1457</v>
      </c>
      <c r="T12" s="34" t="s">
        <v>751</v>
      </c>
      <c r="U12" s="34" t="s">
        <v>751</v>
      </c>
      <c r="V12" s="37">
        <v>17.73</v>
      </c>
      <c r="W12" s="45">
        <v>3957.48</v>
      </c>
      <c r="X12" s="37">
        <v>22220.81</v>
      </c>
      <c r="Y12" s="36">
        <v>43864</v>
      </c>
      <c r="Z12" s="34" t="s">
        <v>1448</v>
      </c>
    </row>
    <row r="13" spans="1:26" x14ac:dyDescent="0.25">
      <c r="A13" s="34" t="s">
        <v>1441</v>
      </c>
      <c r="B13" s="34" t="s">
        <v>1442</v>
      </c>
      <c r="C13" s="34" t="s">
        <v>16</v>
      </c>
      <c r="D13" s="34" t="s">
        <v>15</v>
      </c>
      <c r="E13" s="35">
        <v>30040664</v>
      </c>
      <c r="F13" s="34" t="s">
        <v>751</v>
      </c>
      <c r="G13" s="39">
        <v>10013055</v>
      </c>
      <c r="H13" s="42">
        <v>30040664</v>
      </c>
      <c r="I13" s="34" t="s">
        <v>37</v>
      </c>
      <c r="J13" s="34" t="s">
        <v>1443</v>
      </c>
      <c r="K13" s="36">
        <v>34281</v>
      </c>
      <c r="L13" s="34" t="s">
        <v>1444</v>
      </c>
      <c r="M13" s="34" t="s">
        <v>1445</v>
      </c>
      <c r="N13" s="34" t="s">
        <v>717</v>
      </c>
      <c r="O13" s="34" t="s">
        <v>717</v>
      </c>
      <c r="P13" s="34" t="s">
        <v>1452</v>
      </c>
      <c r="Q13" s="34" t="s">
        <v>1452</v>
      </c>
      <c r="R13" s="34" t="s">
        <v>1458</v>
      </c>
      <c r="S13" s="34" t="s">
        <v>1458</v>
      </c>
      <c r="T13" s="34" t="s">
        <v>751</v>
      </c>
      <c r="U13" s="34" t="s">
        <v>751</v>
      </c>
      <c r="V13" s="37">
        <v>17.73</v>
      </c>
      <c r="W13" s="45">
        <v>3957.48</v>
      </c>
      <c r="X13" s="37">
        <v>22220.81</v>
      </c>
      <c r="Y13" s="36">
        <v>43864</v>
      </c>
      <c r="Z13" s="34" t="s">
        <v>1448</v>
      </c>
    </row>
    <row r="14" spans="1:26" x14ac:dyDescent="0.25">
      <c r="A14" s="34" t="s">
        <v>1441</v>
      </c>
      <c r="B14" s="34" t="s">
        <v>1442</v>
      </c>
      <c r="C14" s="34" t="s">
        <v>6</v>
      </c>
      <c r="D14" s="34" t="s">
        <v>15</v>
      </c>
      <c r="E14" s="35">
        <v>30040665</v>
      </c>
      <c r="F14" s="34" t="s">
        <v>751</v>
      </c>
      <c r="G14" s="39">
        <v>10013221</v>
      </c>
      <c r="H14" s="42">
        <v>30040665</v>
      </c>
      <c r="I14" s="34" t="s">
        <v>38</v>
      </c>
      <c r="J14" s="34" t="s">
        <v>1443</v>
      </c>
      <c r="K14" s="36">
        <v>34381</v>
      </c>
      <c r="L14" s="34" t="s">
        <v>1444</v>
      </c>
      <c r="M14" s="34" t="s">
        <v>1445</v>
      </c>
      <c r="N14" s="34" t="s">
        <v>717</v>
      </c>
      <c r="O14" s="34" t="s">
        <v>717</v>
      </c>
      <c r="P14" s="34" t="s">
        <v>1459</v>
      </c>
      <c r="Q14" s="34" t="s">
        <v>1456</v>
      </c>
      <c r="R14" s="34" t="s">
        <v>1457</v>
      </c>
      <c r="S14" s="34" t="s">
        <v>1457</v>
      </c>
      <c r="T14" s="34" t="s">
        <v>751</v>
      </c>
      <c r="U14" s="34" t="s">
        <v>751</v>
      </c>
      <c r="V14" s="37">
        <v>17.73</v>
      </c>
      <c r="W14" s="45">
        <v>3957.48</v>
      </c>
      <c r="X14" s="37">
        <v>22220.81</v>
      </c>
      <c r="Y14" s="36">
        <v>43864</v>
      </c>
      <c r="Z14" s="34" t="s">
        <v>1448</v>
      </c>
    </row>
    <row r="15" spans="1:26" x14ac:dyDescent="0.25">
      <c r="A15" s="34" t="s">
        <v>1441</v>
      </c>
      <c r="B15" s="34" t="s">
        <v>1442</v>
      </c>
      <c r="C15" s="34" t="s">
        <v>6</v>
      </c>
      <c r="D15" s="34" t="s">
        <v>15</v>
      </c>
      <c r="E15" s="35">
        <v>30040666</v>
      </c>
      <c r="F15" s="34" t="s">
        <v>19</v>
      </c>
      <c r="G15" s="39">
        <v>10013223</v>
      </c>
      <c r="H15" s="42">
        <v>30040666</v>
      </c>
      <c r="I15" s="34" t="s">
        <v>39</v>
      </c>
      <c r="J15" s="34" t="s">
        <v>1443</v>
      </c>
      <c r="K15" s="36">
        <v>34381</v>
      </c>
      <c r="L15" s="34" t="s">
        <v>1444</v>
      </c>
      <c r="M15" s="34" t="s">
        <v>1445</v>
      </c>
      <c r="N15" s="34" t="s">
        <v>717</v>
      </c>
      <c r="O15" s="34" t="s">
        <v>717</v>
      </c>
      <c r="P15" s="34" t="s">
        <v>1460</v>
      </c>
      <c r="Q15" s="34" t="s">
        <v>1460</v>
      </c>
      <c r="R15" s="34" t="s">
        <v>1461</v>
      </c>
      <c r="S15" s="34" t="s">
        <v>1461</v>
      </c>
      <c r="T15" s="34" t="s">
        <v>19</v>
      </c>
      <c r="U15" s="34" t="s">
        <v>19</v>
      </c>
      <c r="V15" s="37">
        <v>10.26</v>
      </c>
      <c r="W15" s="45">
        <v>2290.12</v>
      </c>
      <c r="X15" s="37">
        <v>22220.86</v>
      </c>
      <c r="Y15" s="36">
        <v>43864</v>
      </c>
      <c r="Z15" s="34" t="s">
        <v>1448</v>
      </c>
    </row>
    <row r="16" spans="1:26" x14ac:dyDescent="0.25">
      <c r="A16" s="34" t="s">
        <v>1441</v>
      </c>
      <c r="B16" s="34" t="s">
        <v>1442</v>
      </c>
      <c r="C16" s="34" t="s">
        <v>16</v>
      </c>
      <c r="D16" s="34" t="s">
        <v>15</v>
      </c>
      <c r="E16" s="35">
        <v>30040667</v>
      </c>
      <c r="F16" s="34" t="s">
        <v>21</v>
      </c>
      <c r="G16" s="39">
        <v>10013292</v>
      </c>
      <c r="H16" s="42">
        <v>30040667</v>
      </c>
      <c r="I16" s="34" t="s">
        <v>40</v>
      </c>
      <c r="J16" s="34" t="s">
        <v>1443</v>
      </c>
      <c r="K16" s="36">
        <v>34430</v>
      </c>
      <c r="L16" s="34" t="s">
        <v>1444</v>
      </c>
      <c r="M16" s="34" t="s">
        <v>1445</v>
      </c>
      <c r="N16" s="34" t="s">
        <v>717</v>
      </c>
      <c r="O16" s="34" t="s">
        <v>717</v>
      </c>
      <c r="P16" s="34" t="s">
        <v>1462</v>
      </c>
      <c r="Q16" s="34" t="s">
        <v>1462</v>
      </c>
      <c r="R16" s="34" t="s">
        <v>1463</v>
      </c>
      <c r="S16" s="34" t="s">
        <v>1463</v>
      </c>
      <c r="T16" s="34" t="s">
        <v>21</v>
      </c>
      <c r="U16" s="34" t="s">
        <v>21</v>
      </c>
      <c r="V16" s="37">
        <v>11.71</v>
      </c>
      <c r="W16" s="45">
        <v>2613.77</v>
      </c>
      <c r="X16" s="37">
        <v>22220.84</v>
      </c>
      <c r="Y16" s="36">
        <v>43864</v>
      </c>
      <c r="Z16" s="34" t="s">
        <v>1448</v>
      </c>
    </row>
    <row r="17" spans="1:26" x14ac:dyDescent="0.25">
      <c r="A17" s="34" t="s">
        <v>1441</v>
      </c>
      <c r="B17" s="34" t="s">
        <v>1442</v>
      </c>
      <c r="C17" s="34" t="s">
        <v>16</v>
      </c>
      <c r="D17" s="34" t="s">
        <v>15</v>
      </c>
      <c r="E17" s="35">
        <v>30040668</v>
      </c>
      <c r="F17" s="34" t="s">
        <v>20</v>
      </c>
      <c r="G17" s="39">
        <v>10013389</v>
      </c>
      <c r="H17" s="42">
        <v>30040668</v>
      </c>
      <c r="I17" s="34" t="s">
        <v>41</v>
      </c>
      <c r="J17" s="34" t="s">
        <v>1443</v>
      </c>
      <c r="K17" s="36">
        <v>34491</v>
      </c>
      <c r="L17" s="34" t="s">
        <v>1444</v>
      </c>
      <c r="M17" s="34" t="s">
        <v>1445</v>
      </c>
      <c r="N17" s="34" t="s">
        <v>717</v>
      </c>
      <c r="O17" s="34" t="s">
        <v>717</v>
      </c>
      <c r="P17" s="34" t="s">
        <v>1449</v>
      </c>
      <c r="Q17" s="34" t="s">
        <v>1449</v>
      </c>
      <c r="R17" s="34" t="s">
        <v>1450</v>
      </c>
      <c r="S17" s="34" t="s">
        <v>1450</v>
      </c>
      <c r="T17" s="34" t="s">
        <v>20</v>
      </c>
      <c r="U17" s="34" t="s">
        <v>20</v>
      </c>
      <c r="V17" s="37">
        <v>17.43</v>
      </c>
      <c r="W17" s="45">
        <v>3890.52</v>
      </c>
      <c r="X17" s="37">
        <v>22220.83</v>
      </c>
      <c r="Y17" s="36">
        <v>43864</v>
      </c>
      <c r="Z17" s="34" t="s">
        <v>1448</v>
      </c>
    </row>
    <row r="18" spans="1:26" x14ac:dyDescent="0.25">
      <c r="A18" s="34" t="s">
        <v>1441</v>
      </c>
      <c r="B18" s="34" t="s">
        <v>1442</v>
      </c>
      <c r="C18" s="34" t="s">
        <v>16</v>
      </c>
      <c r="D18" s="34" t="s">
        <v>15</v>
      </c>
      <c r="E18" s="35">
        <v>30040669</v>
      </c>
      <c r="F18" s="34" t="s">
        <v>20</v>
      </c>
      <c r="G18" s="39">
        <v>10013417</v>
      </c>
      <c r="H18" s="42">
        <v>30040669</v>
      </c>
      <c r="I18" s="34" t="s">
        <v>42</v>
      </c>
      <c r="J18" s="34" t="s">
        <v>1443</v>
      </c>
      <c r="K18" s="36">
        <v>34499</v>
      </c>
      <c r="L18" s="34" t="s">
        <v>1444</v>
      </c>
      <c r="M18" s="34" t="s">
        <v>1445</v>
      </c>
      <c r="N18" s="34" t="s">
        <v>717</v>
      </c>
      <c r="O18" s="34" t="s">
        <v>717</v>
      </c>
      <c r="P18" s="34" t="s">
        <v>1462</v>
      </c>
      <c r="Q18" s="34" t="s">
        <v>1462</v>
      </c>
      <c r="R18" s="34" t="s">
        <v>1463</v>
      </c>
      <c r="S18" s="34" t="s">
        <v>1463</v>
      </c>
      <c r="T18" s="34" t="s">
        <v>20</v>
      </c>
      <c r="U18" s="34" t="s">
        <v>20</v>
      </c>
      <c r="V18" s="37">
        <v>13.39</v>
      </c>
      <c r="W18" s="45">
        <v>2988.76</v>
      </c>
      <c r="X18" s="37">
        <v>22220.84</v>
      </c>
      <c r="Y18" s="36">
        <v>43864</v>
      </c>
      <c r="Z18" s="34" t="s">
        <v>1448</v>
      </c>
    </row>
    <row r="19" spans="1:26" x14ac:dyDescent="0.25">
      <c r="A19" s="34" t="s">
        <v>1441</v>
      </c>
      <c r="B19" s="34" t="s">
        <v>1442</v>
      </c>
      <c r="C19" s="34" t="s">
        <v>6</v>
      </c>
      <c r="D19" s="34" t="s">
        <v>15</v>
      </c>
      <c r="E19" s="35">
        <v>30040670</v>
      </c>
      <c r="F19" s="34" t="s">
        <v>754</v>
      </c>
      <c r="G19" s="39">
        <v>10014091</v>
      </c>
      <c r="H19" s="42">
        <v>30040670</v>
      </c>
      <c r="I19" s="34" t="s">
        <v>43</v>
      </c>
      <c r="J19" s="34" t="s">
        <v>1443</v>
      </c>
      <c r="K19" s="36">
        <v>34645</v>
      </c>
      <c r="L19" s="34" t="s">
        <v>1444</v>
      </c>
      <c r="M19" s="34" t="s">
        <v>1445</v>
      </c>
      <c r="N19" s="34" t="s">
        <v>717</v>
      </c>
      <c r="O19" s="34" t="s">
        <v>717</v>
      </c>
      <c r="P19" s="34" t="s">
        <v>1454</v>
      </c>
      <c r="Q19" s="34" t="s">
        <v>1454</v>
      </c>
      <c r="R19" s="34" t="s">
        <v>1455</v>
      </c>
      <c r="S19" s="34" t="s">
        <v>1455</v>
      </c>
      <c r="T19" s="34" t="s">
        <v>754</v>
      </c>
      <c r="U19" s="34" t="s">
        <v>754</v>
      </c>
      <c r="V19" s="37">
        <v>24.47</v>
      </c>
      <c r="W19" s="45">
        <v>5461.91</v>
      </c>
      <c r="X19" s="37">
        <v>22220.84</v>
      </c>
      <c r="Y19" s="36">
        <v>43864</v>
      </c>
      <c r="Z19" s="34" t="s">
        <v>1448</v>
      </c>
    </row>
    <row r="20" spans="1:26" x14ac:dyDescent="0.25">
      <c r="A20" s="34" t="s">
        <v>1441</v>
      </c>
      <c r="B20" s="34" t="s">
        <v>1442</v>
      </c>
      <c r="C20" s="34" t="s">
        <v>16</v>
      </c>
      <c r="D20" s="34" t="s">
        <v>15</v>
      </c>
      <c r="E20" s="35">
        <v>30040671</v>
      </c>
      <c r="F20" s="34" t="s">
        <v>751</v>
      </c>
      <c r="G20" s="39">
        <v>10014732</v>
      </c>
      <c r="H20" s="42">
        <v>30040671</v>
      </c>
      <c r="I20" s="34" t="s">
        <v>44</v>
      </c>
      <c r="J20" s="34" t="s">
        <v>1443</v>
      </c>
      <c r="K20" s="36">
        <v>34759</v>
      </c>
      <c r="L20" s="34" t="s">
        <v>1444</v>
      </c>
      <c r="M20" s="34" t="s">
        <v>1445</v>
      </c>
      <c r="N20" s="34" t="s">
        <v>717</v>
      </c>
      <c r="O20" s="34" t="s">
        <v>717</v>
      </c>
      <c r="P20" s="34" t="s">
        <v>1452</v>
      </c>
      <c r="Q20" s="34" t="s">
        <v>1452</v>
      </c>
      <c r="R20" s="34" t="s">
        <v>1453</v>
      </c>
      <c r="S20" s="34" t="s">
        <v>1453</v>
      </c>
      <c r="T20" s="34" t="s">
        <v>751</v>
      </c>
      <c r="U20" s="34" t="s">
        <v>751</v>
      </c>
      <c r="V20" s="37">
        <v>17.73</v>
      </c>
      <c r="W20" s="45">
        <v>3957.48</v>
      </c>
      <c r="X20" s="37">
        <v>22220.81</v>
      </c>
      <c r="Y20" s="36">
        <v>43864</v>
      </c>
      <c r="Z20" s="34" t="s">
        <v>1448</v>
      </c>
    </row>
    <row r="21" spans="1:26" x14ac:dyDescent="0.25">
      <c r="A21" s="34" t="s">
        <v>1441</v>
      </c>
      <c r="B21" s="34" t="s">
        <v>1442</v>
      </c>
      <c r="C21" s="34" t="s">
        <v>16</v>
      </c>
      <c r="D21" s="34" t="s">
        <v>15</v>
      </c>
      <c r="E21" s="35">
        <v>30040672</v>
      </c>
      <c r="F21" s="34" t="s">
        <v>19</v>
      </c>
      <c r="G21" s="39">
        <v>10014840</v>
      </c>
      <c r="H21" s="42">
        <v>30040672</v>
      </c>
      <c r="I21" s="34" t="s">
        <v>45</v>
      </c>
      <c r="J21" s="34" t="s">
        <v>1443</v>
      </c>
      <c r="K21" s="36">
        <v>34773</v>
      </c>
      <c r="L21" s="34" t="s">
        <v>1444</v>
      </c>
      <c r="M21" s="34" t="s">
        <v>1445</v>
      </c>
      <c r="N21" s="34" t="s">
        <v>717</v>
      </c>
      <c r="O21" s="34" t="s">
        <v>717</v>
      </c>
      <c r="P21" s="34" t="s">
        <v>1464</v>
      </c>
      <c r="Q21" s="34" t="s">
        <v>1464</v>
      </c>
      <c r="R21" s="34" t="s">
        <v>1465</v>
      </c>
      <c r="S21" s="34" t="s">
        <v>1465</v>
      </c>
      <c r="T21" s="34" t="s">
        <v>19</v>
      </c>
      <c r="U21" s="34" t="s">
        <v>19</v>
      </c>
      <c r="V21" s="37">
        <v>10.26</v>
      </c>
      <c r="W21" s="45">
        <v>2290.12</v>
      </c>
      <c r="X21" s="37">
        <v>22220.86</v>
      </c>
      <c r="Y21" s="36">
        <v>43864</v>
      </c>
      <c r="Z21" s="34" t="s">
        <v>1448</v>
      </c>
    </row>
    <row r="22" spans="1:26" x14ac:dyDescent="0.25">
      <c r="A22" s="34" t="s">
        <v>1441</v>
      </c>
      <c r="B22" s="34" t="s">
        <v>1442</v>
      </c>
      <c r="C22" s="34" t="s">
        <v>16</v>
      </c>
      <c r="D22" s="34" t="s">
        <v>15</v>
      </c>
      <c r="E22" s="35">
        <v>30040673</v>
      </c>
      <c r="F22" s="34" t="s">
        <v>750</v>
      </c>
      <c r="G22" s="39">
        <v>10015464</v>
      </c>
      <c r="H22" s="42">
        <v>30040673</v>
      </c>
      <c r="I22" s="34" t="s">
        <v>46</v>
      </c>
      <c r="J22" s="34" t="s">
        <v>1443</v>
      </c>
      <c r="K22" s="36">
        <v>34947</v>
      </c>
      <c r="L22" s="34" t="s">
        <v>1444</v>
      </c>
      <c r="M22" s="34" t="s">
        <v>1445</v>
      </c>
      <c r="N22" s="34" t="s">
        <v>717</v>
      </c>
      <c r="O22" s="34" t="s">
        <v>717</v>
      </c>
      <c r="P22" s="34" t="s">
        <v>1466</v>
      </c>
      <c r="Q22" s="34" t="s">
        <v>1466</v>
      </c>
      <c r="R22" s="34" t="s">
        <v>1467</v>
      </c>
      <c r="S22" s="34" t="s">
        <v>1467</v>
      </c>
      <c r="T22" s="34" t="s">
        <v>750</v>
      </c>
      <c r="U22" s="34" t="s">
        <v>750</v>
      </c>
      <c r="V22" s="37">
        <v>18.62</v>
      </c>
      <c r="W22" s="45">
        <v>4156.1400000000003</v>
      </c>
      <c r="X22" s="37">
        <v>22220.84</v>
      </c>
      <c r="Y22" s="36">
        <v>43864</v>
      </c>
      <c r="Z22" s="34" t="s">
        <v>1448</v>
      </c>
    </row>
    <row r="23" spans="1:26" x14ac:dyDescent="0.25">
      <c r="A23" s="34" t="s">
        <v>1441</v>
      </c>
      <c r="B23" s="34" t="s">
        <v>1442</v>
      </c>
      <c r="C23" s="34" t="s">
        <v>16</v>
      </c>
      <c r="D23" s="34" t="s">
        <v>15</v>
      </c>
      <c r="E23" s="35">
        <v>30040674</v>
      </c>
      <c r="F23" s="34" t="s">
        <v>755</v>
      </c>
      <c r="G23" s="39">
        <v>10016441</v>
      </c>
      <c r="H23" s="42">
        <v>30040674</v>
      </c>
      <c r="I23" s="34" t="s">
        <v>47</v>
      </c>
      <c r="J23" s="34" t="s">
        <v>1443</v>
      </c>
      <c r="K23" s="36">
        <v>35205</v>
      </c>
      <c r="L23" s="34" t="s">
        <v>1444</v>
      </c>
      <c r="M23" s="34" t="s">
        <v>1445</v>
      </c>
      <c r="N23" s="34" t="s">
        <v>717</v>
      </c>
      <c r="O23" s="34" t="s">
        <v>717</v>
      </c>
      <c r="P23" s="34" t="s">
        <v>1468</v>
      </c>
      <c r="Q23" s="34" t="s">
        <v>1468</v>
      </c>
      <c r="R23" s="34" t="s">
        <v>1469</v>
      </c>
      <c r="S23" s="34" t="s">
        <v>1469</v>
      </c>
      <c r="T23" s="34" t="s">
        <v>755</v>
      </c>
      <c r="U23" s="34" t="s">
        <v>755</v>
      </c>
      <c r="V23" s="37">
        <v>11.43</v>
      </c>
      <c r="W23" s="45">
        <v>2551.27</v>
      </c>
      <c r="X23" s="37">
        <v>22220.82</v>
      </c>
      <c r="Y23" s="36">
        <v>43864</v>
      </c>
      <c r="Z23" s="34" t="s">
        <v>1448</v>
      </c>
    </row>
    <row r="24" spans="1:26" x14ac:dyDescent="0.25">
      <c r="A24" s="34" t="s">
        <v>1441</v>
      </c>
      <c r="B24" s="34" t="s">
        <v>1442</v>
      </c>
      <c r="C24" s="34" t="s">
        <v>16</v>
      </c>
      <c r="D24" s="34" t="s">
        <v>15</v>
      </c>
      <c r="E24" s="35">
        <v>30040700</v>
      </c>
      <c r="F24" s="34" t="s">
        <v>751</v>
      </c>
      <c r="G24" s="39">
        <v>10016465</v>
      </c>
      <c r="H24" s="42">
        <v>30040700</v>
      </c>
      <c r="I24" s="34" t="s">
        <v>48</v>
      </c>
      <c r="J24" s="34" t="s">
        <v>1443</v>
      </c>
      <c r="K24" s="36">
        <v>35219</v>
      </c>
      <c r="L24" s="34" t="s">
        <v>1444</v>
      </c>
      <c r="M24" s="34" t="s">
        <v>1445</v>
      </c>
      <c r="N24" s="34" t="s">
        <v>717</v>
      </c>
      <c r="O24" s="34" t="s">
        <v>717</v>
      </c>
      <c r="P24" s="34" t="s">
        <v>1452</v>
      </c>
      <c r="Q24" s="34" t="s">
        <v>1452</v>
      </c>
      <c r="R24" s="34" t="s">
        <v>1453</v>
      </c>
      <c r="S24" s="34" t="s">
        <v>1453</v>
      </c>
      <c r="T24" s="34" t="s">
        <v>751</v>
      </c>
      <c r="U24" s="34" t="s">
        <v>751</v>
      </c>
      <c r="V24" s="37">
        <v>17.73</v>
      </c>
      <c r="W24" s="45">
        <v>3957.48</v>
      </c>
      <c r="X24" s="37">
        <v>22220.81</v>
      </c>
      <c r="Y24" s="36">
        <v>43864</v>
      </c>
      <c r="Z24" s="34" t="s">
        <v>1448</v>
      </c>
    </row>
    <row r="25" spans="1:26" x14ac:dyDescent="0.25">
      <c r="A25" s="34" t="s">
        <v>1441</v>
      </c>
      <c r="B25" s="34" t="s">
        <v>1442</v>
      </c>
      <c r="C25" s="34" t="s">
        <v>16</v>
      </c>
      <c r="D25" s="34" t="s">
        <v>15</v>
      </c>
      <c r="E25" s="35">
        <v>30040701</v>
      </c>
      <c r="F25" s="34" t="s">
        <v>751</v>
      </c>
      <c r="G25" s="39">
        <v>10016495</v>
      </c>
      <c r="H25" s="42">
        <v>30040701</v>
      </c>
      <c r="I25" s="34" t="s">
        <v>49</v>
      </c>
      <c r="J25" s="34" t="s">
        <v>1443</v>
      </c>
      <c r="K25" s="36">
        <v>35221</v>
      </c>
      <c r="L25" s="34" t="s">
        <v>1444</v>
      </c>
      <c r="M25" s="34" t="s">
        <v>1445</v>
      </c>
      <c r="N25" s="34" t="s">
        <v>717</v>
      </c>
      <c r="O25" s="34" t="s">
        <v>717</v>
      </c>
      <c r="P25" s="34" t="s">
        <v>1446</v>
      </c>
      <c r="Q25" s="34" t="s">
        <v>1446</v>
      </c>
      <c r="R25" s="34" t="s">
        <v>1447</v>
      </c>
      <c r="S25" s="34" t="s">
        <v>1447</v>
      </c>
      <c r="T25" s="34" t="s">
        <v>751</v>
      </c>
      <c r="U25" s="34" t="s">
        <v>751</v>
      </c>
      <c r="V25" s="37">
        <v>17.73</v>
      </c>
      <c r="W25" s="45">
        <v>3957.48</v>
      </c>
      <c r="X25" s="37">
        <v>22220.81</v>
      </c>
      <c r="Y25" s="36">
        <v>43864</v>
      </c>
      <c r="Z25" s="34" t="s">
        <v>1448</v>
      </c>
    </row>
    <row r="26" spans="1:26" x14ac:dyDescent="0.25">
      <c r="A26" s="34" t="s">
        <v>1441</v>
      </c>
      <c r="B26" s="34" t="s">
        <v>1442</v>
      </c>
      <c r="C26" s="34" t="s">
        <v>16</v>
      </c>
      <c r="D26" s="34" t="s">
        <v>15</v>
      </c>
      <c r="E26" s="35">
        <v>30040702</v>
      </c>
      <c r="F26" s="34" t="s">
        <v>756</v>
      </c>
      <c r="G26" s="39">
        <v>10016875</v>
      </c>
      <c r="H26" s="42">
        <v>30040702</v>
      </c>
      <c r="I26" s="34" t="s">
        <v>50</v>
      </c>
      <c r="J26" s="34" t="s">
        <v>1443</v>
      </c>
      <c r="K26" s="36">
        <v>35282</v>
      </c>
      <c r="L26" s="34" t="s">
        <v>1444</v>
      </c>
      <c r="M26" s="34" t="s">
        <v>1445</v>
      </c>
      <c r="N26" s="34" t="s">
        <v>717</v>
      </c>
      <c r="O26" s="34" t="s">
        <v>717</v>
      </c>
      <c r="P26" s="34" t="s">
        <v>1470</v>
      </c>
      <c r="Q26" s="34" t="s">
        <v>1470</v>
      </c>
      <c r="R26" s="34" t="s">
        <v>1471</v>
      </c>
      <c r="S26" s="34" t="s">
        <v>1471</v>
      </c>
      <c r="T26" s="34" t="s">
        <v>756</v>
      </c>
      <c r="U26" s="34" t="s">
        <v>756</v>
      </c>
      <c r="V26" s="37">
        <v>14.04</v>
      </c>
      <c r="W26" s="45">
        <v>3133.85</v>
      </c>
      <c r="X26" s="37">
        <v>22220.87</v>
      </c>
      <c r="Y26" s="36">
        <v>43864</v>
      </c>
      <c r="Z26" s="34" t="s">
        <v>1448</v>
      </c>
    </row>
    <row r="27" spans="1:26" x14ac:dyDescent="0.25">
      <c r="A27" s="34" t="s">
        <v>1441</v>
      </c>
      <c r="B27" s="34" t="s">
        <v>1442</v>
      </c>
      <c r="C27" s="34" t="s">
        <v>16</v>
      </c>
      <c r="D27" s="34" t="s">
        <v>15</v>
      </c>
      <c r="E27" s="35">
        <v>30040703</v>
      </c>
      <c r="F27" s="34" t="s">
        <v>751</v>
      </c>
      <c r="G27" s="39">
        <v>10017236</v>
      </c>
      <c r="H27" s="42">
        <v>30040703</v>
      </c>
      <c r="I27" s="34" t="s">
        <v>51</v>
      </c>
      <c r="J27" s="34" t="s">
        <v>1443</v>
      </c>
      <c r="K27" s="36">
        <v>35389</v>
      </c>
      <c r="L27" s="34" t="s">
        <v>1444</v>
      </c>
      <c r="M27" s="34" t="s">
        <v>1445</v>
      </c>
      <c r="N27" s="34" t="s">
        <v>717</v>
      </c>
      <c r="O27" s="34" t="s">
        <v>717</v>
      </c>
      <c r="P27" s="34" t="s">
        <v>1446</v>
      </c>
      <c r="Q27" s="34" t="s">
        <v>1446</v>
      </c>
      <c r="R27" s="34" t="s">
        <v>1451</v>
      </c>
      <c r="S27" s="34" t="s">
        <v>1451</v>
      </c>
      <c r="T27" s="34" t="s">
        <v>751</v>
      </c>
      <c r="U27" s="34" t="s">
        <v>751</v>
      </c>
      <c r="V27" s="37">
        <v>17.73</v>
      </c>
      <c r="W27" s="45">
        <v>3957.48</v>
      </c>
      <c r="X27" s="37">
        <v>22220.81</v>
      </c>
      <c r="Y27" s="36">
        <v>43864</v>
      </c>
      <c r="Z27" s="34" t="s">
        <v>1448</v>
      </c>
    </row>
    <row r="28" spans="1:26" x14ac:dyDescent="0.25">
      <c r="A28" s="34" t="s">
        <v>1441</v>
      </c>
      <c r="B28" s="34" t="s">
        <v>1442</v>
      </c>
      <c r="C28" s="34" t="s">
        <v>6</v>
      </c>
      <c r="D28" s="34" t="s">
        <v>15</v>
      </c>
      <c r="E28" s="35">
        <v>30040704</v>
      </c>
      <c r="F28" s="34" t="s">
        <v>753</v>
      </c>
      <c r="G28" s="39">
        <v>10017411</v>
      </c>
      <c r="H28" s="42">
        <v>30040704</v>
      </c>
      <c r="I28" s="34" t="s">
        <v>52</v>
      </c>
      <c r="J28" s="34" t="s">
        <v>1443</v>
      </c>
      <c r="K28" s="36">
        <v>35438</v>
      </c>
      <c r="L28" s="34" t="s">
        <v>1444</v>
      </c>
      <c r="M28" s="34" t="s">
        <v>1445</v>
      </c>
      <c r="N28" s="34" t="s">
        <v>717</v>
      </c>
      <c r="O28" s="34" t="s">
        <v>717</v>
      </c>
      <c r="P28" s="34" t="s">
        <v>1472</v>
      </c>
      <c r="Q28" s="34" t="s">
        <v>1472</v>
      </c>
      <c r="R28" s="34" t="s">
        <v>1473</v>
      </c>
      <c r="S28" s="34" t="s">
        <v>1473</v>
      </c>
      <c r="T28" s="34" t="s">
        <v>753</v>
      </c>
      <c r="U28" s="34" t="s">
        <v>753</v>
      </c>
      <c r="V28" s="37">
        <v>18.510000000000002</v>
      </c>
      <c r="W28" s="45">
        <v>4131.59</v>
      </c>
      <c r="X28" s="37">
        <v>22220.85</v>
      </c>
      <c r="Y28" s="36">
        <v>43864</v>
      </c>
      <c r="Z28" s="34" t="s">
        <v>1448</v>
      </c>
    </row>
    <row r="29" spans="1:26" x14ac:dyDescent="0.25">
      <c r="A29" s="34" t="s">
        <v>1441</v>
      </c>
      <c r="B29" s="34" t="s">
        <v>1442</v>
      </c>
      <c r="C29" s="34" t="s">
        <v>16</v>
      </c>
      <c r="D29" s="34" t="s">
        <v>15</v>
      </c>
      <c r="E29" s="35">
        <v>30040705</v>
      </c>
      <c r="F29" s="34" t="s">
        <v>751</v>
      </c>
      <c r="G29" s="39">
        <v>10017451</v>
      </c>
      <c r="H29" s="42">
        <v>30040705</v>
      </c>
      <c r="I29" s="34" t="s">
        <v>53</v>
      </c>
      <c r="J29" s="34" t="s">
        <v>1443</v>
      </c>
      <c r="K29" s="36">
        <v>35450</v>
      </c>
      <c r="L29" s="34" t="s">
        <v>1444</v>
      </c>
      <c r="M29" s="34" t="s">
        <v>1445</v>
      </c>
      <c r="N29" s="34" t="s">
        <v>717</v>
      </c>
      <c r="O29" s="34" t="s">
        <v>717</v>
      </c>
      <c r="P29" s="34" t="s">
        <v>1446</v>
      </c>
      <c r="Q29" s="34" t="s">
        <v>1446</v>
      </c>
      <c r="R29" s="34" t="s">
        <v>1451</v>
      </c>
      <c r="S29" s="34" t="s">
        <v>1451</v>
      </c>
      <c r="T29" s="34" t="s">
        <v>751</v>
      </c>
      <c r="U29" s="34" t="s">
        <v>751</v>
      </c>
      <c r="V29" s="37">
        <v>17.73</v>
      </c>
      <c r="W29" s="45">
        <v>3957.48</v>
      </c>
      <c r="X29" s="37">
        <v>22220.81</v>
      </c>
      <c r="Y29" s="36">
        <v>43864</v>
      </c>
      <c r="Z29" s="34" t="s">
        <v>1448</v>
      </c>
    </row>
    <row r="30" spans="1:26" x14ac:dyDescent="0.25">
      <c r="A30" s="34" t="s">
        <v>1441</v>
      </c>
      <c r="B30" s="34" t="s">
        <v>1442</v>
      </c>
      <c r="C30" s="34" t="s">
        <v>16</v>
      </c>
      <c r="D30" s="34" t="s">
        <v>15</v>
      </c>
      <c r="E30" s="35">
        <v>30040706</v>
      </c>
      <c r="F30" s="34" t="s">
        <v>757</v>
      </c>
      <c r="G30" s="39">
        <v>10017730</v>
      </c>
      <c r="H30" s="42">
        <v>30040706</v>
      </c>
      <c r="I30" s="34" t="s">
        <v>54</v>
      </c>
      <c r="J30" s="34" t="s">
        <v>1443</v>
      </c>
      <c r="K30" s="36">
        <v>35506</v>
      </c>
      <c r="L30" s="34" t="s">
        <v>1444</v>
      </c>
      <c r="M30" s="34" t="s">
        <v>1445</v>
      </c>
      <c r="N30" s="34" t="s">
        <v>717</v>
      </c>
      <c r="O30" s="34" t="s">
        <v>717</v>
      </c>
      <c r="P30" s="34" t="s">
        <v>1474</v>
      </c>
      <c r="Q30" s="34" t="s">
        <v>1474</v>
      </c>
      <c r="R30" s="34" t="s">
        <v>1475</v>
      </c>
      <c r="S30" s="34" t="s">
        <v>1475</v>
      </c>
      <c r="T30" s="34" t="s">
        <v>757</v>
      </c>
      <c r="U30" s="34" t="s">
        <v>757</v>
      </c>
      <c r="V30" s="37">
        <v>7.37</v>
      </c>
      <c r="W30" s="45">
        <v>1645.05</v>
      </c>
      <c r="X30" s="37">
        <v>22220.9</v>
      </c>
      <c r="Y30" s="36">
        <v>43864</v>
      </c>
      <c r="Z30" s="34" t="s">
        <v>1448</v>
      </c>
    </row>
    <row r="31" spans="1:26" x14ac:dyDescent="0.25">
      <c r="A31" s="34" t="s">
        <v>1441</v>
      </c>
      <c r="B31" s="34" t="s">
        <v>1442</v>
      </c>
      <c r="C31" s="34" t="s">
        <v>6</v>
      </c>
      <c r="D31" s="34" t="s">
        <v>15</v>
      </c>
      <c r="E31" s="35">
        <v>30040707</v>
      </c>
      <c r="F31" s="34" t="s">
        <v>753</v>
      </c>
      <c r="G31" s="39">
        <v>10018175</v>
      </c>
      <c r="H31" s="42">
        <v>30040707</v>
      </c>
      <c r="I31" s="34" t="s">
        <v>55</v>
      </c>
      <c r="J31" s="34" t="s">
        <v>1443</v>
      </c>
      <c r="K31" s="36">
        <v>35612</v>
      </c>
      <c r="L31" s="34" t="s">
        <v>1444</v>
      </c>
      <c r="M31" s="34" t="s">
        <v>1445</v>
      </c>
      <c r="N31" s="34" t="s">
        <v>717</v>
      </c>
      <c r="O31" s="34" t="s">
        <v>717</v>
      </c>
      <c r="P31" s="34" t="s">
        <v>1472</v>
      </c>
      <c r="Q31" s="34" t="s">
        <v>1472</v>
      </c>
      <c r="R31" s="34" t="s">
        <v>1473</v>
      </c>
      <c r="S31" s="34" t="s">
        <v>1473</v>
      </c>
      <c r="T31" s="34" t="s">
        <v>753</v>
      </c>
      <c r="U31" s="34" t="s">
        <v>753</v>
      </c>
      <c r="V31" s="37">
        <v>21.73</v>
      </c>
      <c r="W31" s="45">
        <v>4850.32</v>
      </c>
      <c r="X31" s="37">
        <v>22220.85</v>
      </c>
      <c r="Y31" s="36">
        <v>43864</v>
      </c>
      <c r="Z31" s="34" t="s">
        <v>1448</v>
      </c>
    </row>
    <row r="32" spans="1:26" x14ac:dyDescent="0.25">
      <c r="A32" s="34" t="s">
        <v>1441</v>
      </c>
      <c r="B32" s="34" t="s">
        <v>1442</v>
      </c>
      <c r="C32" s="34" t="s">
        <v>16</v>
      </c>
      <c r="D32" s="34" t="s">
        <v>15</v>
      </c>
      <c r="E32" s="35">
        <v>30040708</v>
      </c>
      <c r="F32" s="34" t="s">
        <v>750</v>
      </c>
      <c r="G32" s="39">
        <v>10018179</v>
      </c>
      <c r="H32" s="42">
        <v>30040708</v>
      </c>
      <c r="I32" s="34" t="s">
        <v>56</v>
      </c>
      <c r="J32" s="34" t="s">
        <v>1443</v>
      </c>
      <c r="K32" s="36">
        <v>35612</v>
      </c>
      <c r="L32" s="34" t="s">
        <v>1444</v>
      </c>
      <c r="M32" s="34" t="s">
        <v>1445</v>
      </c>
      <c r="N32" s="34" t="s">
        <v>717</v>
      </c>
      <c r="O32" s="34" t="s">
        <v>717</v>
      </c>
      <c r="P32" s="34" t="s">
        <v>1476</v>
      </c>
      <c r="Q32" s="34" t="s">
        <v>1476</v>
      </c>
      <c r="R32" s="34" t="s">
        <v>1477</v>
      </c>
      <c r="S32" s="34" t="s">
        <v>1477</v>
      </c>
      <c r="T32" s="34" t="s">
        <v>750</v>
      </c>
      <c r="U32" s="34" t="s">
        <v>750</v>
      </c>
      <c r="V32" s="37">
        <v>18.62</v>
      </c>
      <c r="W32" s="45">
        <v>4156.1400000000003</v>
      </c>
      <c r="X32" s="37">
        <v>22220.84</v>
      </c>
      <c r="Y32" s="36">
        <v>43864</v>
      </c>
      <c r="Z32" s="34" t="s">
        <v>1448</v>
      </c>
    </row>
    <row r="33" spans="1:26" x14ac:dyDescent="0.25">
      <c r="A33" s="34" t="s">
        <v>1441</v>
      </c>
      <c r="B33" s="34" t="s">
        <v>1442</v>
      </c>
      <c r="C33" s="34" t="s">
        <v>16</v>
      </c>
      <c r="D33" s="34" t="s">
        <v>15</v>
      </c>
      <c r="E33" s="35">
        <v>30040709</v>
      </c>
      <c r="F33" s="34" t="s">
        <v>751</v>
      </c>
      <c r="G33" s="39">
        <v>10018357</v>
      </c>
      <c r="H33" s="42">
        <v>30040709</v>
      </c>
      <c r="I33" s="34" t="s">
        <v>57</v>
      </c>
      <c r="J33" s="34" t="s">
        <v>1443</v>
      </c>
      <c r="K33" s="36">
        <v>35654</v>
      </c>
      <c r="L33" s="34" t="s">
        <v>1444</v>
      </c>
      <c r="M33" s="34" t="s">
        <v>1445</v>
      </c>
      <c r="N33" s="34" t="s">
        <v>717</v>
      </c>
      <c r="O33" s="34" t="s">
        <v>717</v>
      </c>
      <c r="P33" s="34" t="s">
        <v>1446</v>
      </c>
      <c r="Q33" s="34" t="s">
        <v>1446</v>
      </c>
      <c r="R33" s="34" t="s">
        <v>1451</v>
      </c>
      <c r="S33" s="34" t="s">
        <v>1451</v>
      </c>
      <c r="T33" s="34" t="s">
        <v>751</v>
      </c>
      <c r="U33" s="34" t="s">
        <v>751</v>
      </c>
      <c r="V33" s="37">
        <v>17.73</v>
      </c>
      <c r="W33" s="45">
        <v>3957.48</v>
      </c>
      <c r="X33" s="37">
        <v>22220.81</v>
      </c>
      <c r="Y33" s="36">
        <v>43864</v>
      </c>
      <c r="Z33" s="34" t="s">
        <v>1448</v>
      </c>
    </row>
    <row r="34" spans="1:26" x14ac:dyDescent="0.25">
      <c r="A34" s="34" t="s">
        <v>1441</v>
      </c>
      <c r="B34" s="34" t="s">
        <v>1442</v>
      </c>
      <c r="C34" s="34" t="s">
        <v>16</v>
      </c>
      <c r="D34" s="34" t="s">
        <v>15</v>
      </c>
      <c r="E34" s="35">
        <v>30040710</v>
      </c>
      <c r="F34" s="34" t="s">
        <v>751</v>
      </c>
      <c r="G34" s="39">
        <v>10018364</v>
      </c>
      <c r="H34" s="42">
        <v>30040710</v>
      </c>
      <c r="I34" s="34" t="s">
        <v>58</v>
      </c>
      <c r="J34" s="34" t="s">
        <v>1443</v>
      </c>
      <c r="K34" s="36">
        <v>35660</v>
      </c>
      <c r="L34" s="34" t="s">
        <v>1444</v>
      </c>
      <c r="M34" s="34" t="s">
        <v>1445</v>
      </c>
      <c r="N34" s="34" t="s">
        <v>717</v>
      </c>
      <c r="O34" s="34" t="s">
        <v>717</v>
      </c>
      <c r="P34" s="34" t="s">
        <v>1446</v>
      </c>
      <c r="Q34" s="34" t="s">
        <v>1446</v>
      </c>
      <c r="R34" s="34" t="s">
        <v>1447</v>
      </c>
      <c r="S34" s="34" t="s">
        <v>1447</v>
      </c>
      <c r="T34" s="34" t="s">
        <v>751</v>
      </c>
      <c r="U34" s="34" t="s">
        <v>751</v>
      </c>
      <c r="V34" s="37">
        <v>17.73</v>
      </c>
      <c r="W34" s="45">
        <v>3957.48</v>
      </c>
      <c r="X34" s="37">
        <v>22220.81</v>
      </c>
      <c r="Y34" s="36">
        <v>43864</v>
      </c>
      <c r="Z34" s="34" t="s">
        <v>1448</v>
      </c>
    </row>
    <row r="35" spans="1:26" x14ac:dyDescent="0.25">
      <c r="A35" s="34" t="s">
        <v>1441</v>
      </c>
      <c r="B35" s="34" t="s">
        <v>1442</v>
      </c>
      <c r="C35" s="34" t="s">
        <v>16</v>
      </c>
      <c r="D35" s="34" t="s">
        <v>15</v>
      </c>
      <c r="E35" s="35">
        <v>30040711</v>
      </c>
      <c r="F35" s="34" t="s">
        <v>751</v>
      </c>
      <c r="G35" s="39">
        <v>10018829</v>
      </c>
      <c r="H35" s="42">
        <v>30040711</v>
      </c>
      <c r="I35" s="34" t="s">
        <v>59</v>
      </c>
      <c r="J35" s="34" t="s">
        <v>1443</v>
      </c>
      <c r="K35" s="36">
        <v>35835</v>
      </c>
      <c r="L35" s="34" t="s">
        <v>1444</v>
      </c>
      <c r="M35" s="34" t="s">
        <v>1445</v>
      </c>
      <c r="N35" s="34" t="s">
        <v>717</v>
      </c>
      <c r="O35" s="34" t="s">
        <v>717</v>
      </c>
      <c r="P35" s="34" t="s">
        <v>1452</v>
      </c>
      <c r="Q35" s="34" t="s">
        <v>1452</v>
      </c>
      <c r="R35" s="34" t="s">
        <v>1453</v>
      </c>
      <c r="S35" s="34" t="s">
        <v>1453</v>
      </c>
      <c r="T35" s="34" t="s">
        <v>751</v>
      </c>
      <c r="U35" s="34" t="s">
        <v>751</v>
      </c>
      <c r="V35" s="37">
        <v>17.73</v>
      </c>
      <c r="W35" s="45">
        <v>3957.48</v>
      </c>
      <c r="X35" s="37">
        <v>22220.81</v>
      </c>
      <c r="Y35" s="36">
        <v>43864</v>
      </c>
      <c r="Z35" s="34" t="s">
        <v>1448</v>
      </c>
    </row>
    <row r="36" spans="1:26" x14ac:dyDescent="0.25">
      <c r="A36" s="34" t="s">
        <v>1441</v>
      </c>
      <c r="B36" s="34" t="s">
        <v>1442</v>
      </c>
      <c r="C36" s="34" t="s">
        <v>16</v>
      </c>
      <c r="D36" s="34" t="s">
        <v>15</v>
      </c>
      <c r="E36" s="35">
        <v>30040712</v>
      </c>
      <c r="F36" s="34" t="s">
        <v>21</v>
      </c>
      <c r="G36" s="39">
        <v>10018940</v>
      </c>
      <c r="H36" s="42">
        <v>30040712</v>
      </c>
      <c r="I36" s="34" t="s">
        <v>60</v>
      </c>
      <c r="J36" s="34" t="s">
        <v>1443</v>
      </c>
      <c r="K36" s="36">
        <v>35866</v>
      </c>
      <c r="L36" s="34" t="s">
        <v>1444</v>
      </c>
      <c r="M36" s="34" t="s">
        <v>1445</v>
      </c>
      <c r="N36" s="34" t="s">
        <v>717</v>
      </c>
      <c r="O36" s="34" t="s">
        <v>717</v>
      </c>
      <c r="P36" s="34" t="s">
        <v>1462</v>
      </c>
      <c r="Q36" s="34" t="s">
        <v>1462</v>
      </c>
      <c r="R36" s="34" t="s">
        <v>1478</v>
      </c>
      <c r="S36" s="34" t="s">
        <v>1478</v>
      </c>
      <c r="T36" s="34" t="s">
        <v>21</v>
      </c>
      <c r="U36" s="34" t="s">
        <v>21</v>
      </c>
      <c r="V36" s="37">
        <v>11.71</v>
      </c>
      <c r="W36" s="45">
        <v>2613.77</v>
      </c>
      <c r="X36" s="37">
        <v>22220.84</v>
      </c>
      <c r="Y36" s="36">
        <v>43864</v>
      </c>
      <c r="Z36" s="34" t="s">
        <v>1448</v>
      </c>
    </row>
    <row r="37" spans="1:26" x14ac:dyDescent="0.25">
      <c r="A37" s="34" t="s">
        <v>1441</v>
      </c>
      <c r="B37" s="34" t="s">
        <v>1442</v>
      </c>
      <c r="C37" s="34" t="s">
        <v>16</v>
      </c>
      <c r="D37" s="34" t="s">
        <v>15</v>
      </c>
      <c r="E37" s="35">
        <v>30040713</v>
      </c>
      <c r="F37" s="34" t="s">
        <v>758</v>
      </c>
      <c r="G37" s="39">
        <v>10019554</v>
      </c>
      <c r="H37" s="42">
        <v>30040713</v>
      </c>
      <c r="I37" s="34" t="s">
        <v>61</v>
      </c>
      <c r="J37" s="34" t="s">
        <v>1443</v>
      </c>
      <c r="K37" s="36">
        <v>36130</v>
      </c>
      <c r="L37" s="34" t="s">
        <v>1444</v>
      </c>
      <c r="M37" s="34" t="s">
        <v>1445</v>
      </c>
      <c r="N37" s="34" t="s">
        <v>717</v>
      </c>
      <c r="O37" s="34" t="s">
        <v>717</v>
      </c>
      <c r="P37" s="34" t="s">
        <v>1449</v>
      </c>
      <c r="Q37" s="34" t="s">
        <v>1449</v>
      </c>
      <c r="R37" s="34" t="s">
        <v>1450</v>
      </c>
      <c r="S37" s="34" t="s">
        <v>1450</v>
      </c>
      <c r="T37" s="34" t="s">
        <v>758</v>
      </c>
      <c r="U37" s="34" t="s">
        <v>758</v>
      </c>
      <c r="V37" s="37">
        <v>14.48</v>
      </c>
      <c r="W37" s="45">
        <v>3232.06</v>
      </c>
      <c r="X37" s="37">
        <v>22220.86</v>
      </c>
      <c r="Y37" s="36">
        <v>43864</v>
      </c>
      <c r="Z37" s="34" t="s">
        <v>1448</v>
      </c>
    </row>
    <row r="38" spans="1:26" x14ac:dyDescent="0.25">
      <c r="A38" s="34" t="s">
        <v>1441</v>
      </c>
      <c r="B38" s="34" t="s">
        <v>1442</v>
      </c>
      <c r="C38" s="34" t="s">
        <v>6</v>
      </c>
      <c r="D38" s="34" t="s">
        <v>15</v>
      </c>
      <c r="E38" s="35">
        <v>30040714</v>
      </c>
      <c r="F38" s="34" t="s">
        <v>753</v>
      </c>
      <c r="G38" s="39">
        <v>10019666</v>
      </c>
      <c r="H38" s="42">
        <v>30040714</v>
      </c>
      <c r="I38" s="34" t="s">
        <v>62</v>
      </c>
      <c r="J38" s="34" t="s">
        <v>1443</v>
      </c>
      <c r="K38" s="36">
        <v>36192</v>
      </c>
      <c r="L38" s="34" t="s">
        <v>1444</v>
      </c>
      <c r="M38" s="34" t="s">
        <v>1445</v>
      </c>
      <c r="N38" s="34" t="s">
        <v>717</v>
      </c>
      <c r="O38" s="34" t="s">
        <v>717</v>
      </c>
      <c r="P38" s="34" t="s">
        <v>1472</v>
      </c>
      <c r="Q38" s="34" t="s">
        <v>1472</v>
      </c>
      <c r="R38" s="34" t="s">
        <v>1473</v>
      </c>
      <c r="S38" s="34" t="s">
        <v>1473</v>
      </c>
      <c r="T38" s="34" t="s">
        <v>753</v>
      </c>
      <c r="U38" s="34" t="s">
        <v>753</v>
      </c>
      <c r="V38" s="37">
        <v>20.49</v>
      </c>
      <c r="W38" s="45">
        <v>4573.54</v>
      </c>
      <c r="X38" s="37">
        <v>22220.84</v>
      </c>
      <c r="Y38" s="36">
        <v>43864</v>
      </c>
      <c r="Z38" s="34" t="s">
        <v>1448</v>
      </c>
    </row>
    <row r="39" spans="1:26" x14ac:dyDescent="0.25">
      <c r="A39" s="34" t="s">
        <v>1441</v>
      </c>
      <c r="B39" s="34" t="s">
        <v>1442</v>
      </c>
      <c r="C39" s="34" t="s">
        <v>16</v>
      </c>
      <c r="D39" s="34" t="s">
        <v>15</v>
      </c>
      <c r="E39" s="35">
        <v>30040715</v>
      </c>
      <c r="F39" s="34" t="s">
        <v>759</v>
      </c>
      <c r="G39" s="39">
        <v>10019732</v>
      </c>
      <c r="H39" s="42">
        <v>30040715</v>
      </c>
      <c r="I39" s="34" t="s">
        <v>63</v>
      </c>
      <c r="J39" s="34" t="s">
        <v>1443</v>
      </c>
      <c r="K39" s="36">
        <v>36236</v>
      </c>
      <c r="L39" s="34" t="s">
        <v>1444</v>
      </c>
      <c r="M39" s="34" t="s">
        <v>1445</v>
      </c>
      <c r="N39" s="34" t="s">
        <v>717</v>
      </c>
      <c r="O39" s="34" t="s">
        <v>717</v>
      </c>
      <c r="P39" s="34" t="s">
        <v>1466</v>
      </c>
      <c r="Q39" s="34" t="s">
        <v>1466</v>
      </c>
      <c r="R39" s="34" t="s">
        <v>1467</v>
      </c>
      <c r="S39" s="34" t="s">
        <v>1467</v>
      </c>
      <c r="T39" s="34" t="s">
        <v>759</v>
      </c>
      <c r="U39" s="34" t="s">
        <v>759</v>
      </c>
      <c r="V39" s="37">
        <v>14.04</v>
      </c>
      <c r="W39" s="45">
        <v>3133.85</v>
      </c>
      <c r="X39" s="37">
        <v>22220.87</v>
      </c>
      <c r="Y39" s="36">
        <v>43864</v>
      </c>
      <c r="Z39" s="34" t="s">
        <v>1448</v>
      </c>
    </row>
    <row r="40" spans="1:26" x14ac:dyDescent="0.25">
      <c r="A40" s="34" t="s">
        <v>1441</v>
      </c>
      <c r="B40" s="34" t="s">
        <v>1442</v>
      </c>
      <c r="C40" s="34" t="s">
        <v>16</v>
      </c>
      <c r="D40" s="34" t="s">
        <v>15</v>
      </c>
      <c r="E40" s="35">
        <v>30040716</v>
      </c>
      <c r="F40" s="34" t="s">
        <v>21</v>
      </c>
      <c r="G40" s="39">
        <v>10019981</v>
      </c>
      <c r="H40" s="42">
        <v>30040716</v>
      </c>
      <c r="I40" s="34" t="s">
        <v>64</v>
      </c>
      <c r="J40" s="34" t="s">
        <v>1443</v>
      </c>
      <c r="K40" s="36">
        <v>36319</v>
      </c>
      <c r="L40" s="34" t="s">
        <v>1444</v>
      </c>
      <c r="M40" s="34" t="s">
        <v>1445</v>
      </c>
      <c r="N40" s="34" t="s">
        <v>717</v>
      </c>
      <c r="O40" s="34" t="s">
        <v>717</v>
      </c>
      <c r="P40" s="34" t="s">
        <v>1462</v>
      </c>
      <c r="Q40" s="34" t="s">
        <v>1462</v>
      </c>
      <c r="R40" s="34" t="s">
        <v>1463</v>
      </c>
      <c r="S40" s="34" t="s">
        <v>1463</v>
      </c>
      <c r="T40" s="34" t="s">
        <v>21</v>
      </c>
      <c r="U40" s="34" t="s">
        <v>21</v>
      </c>
      <c r="V40" s="37">
        <v>11.71</v>
      </c>
      <c r="W40" s="45">
        <v>2613.77</v>
      </c>
      <c r="X40" s="37">
        <v>22220.84</v>
      </c>
      <c r="Y40" s="36">
        <v>43864</v>
      </c>
      <c r="Z40" s="34" t="s">
        <v>1448</v>
      </c>
    </row>
    <row r="41" spans="1:26" x14ac:dyDescent="0.25">
      <c r="A41" s="34" t="s">
        <v>1441</v>
      </c>
      <c r="B41" s="34" t="s">
        <v>1442</v>
      </c>
      <c r="C41" s="34" t="s">
        <v>16</v>
      </c>
      <c r="D41" s="34" t="s">
        <v>15</v>
      </c>
      <c r="E41" s="35">
        <v>30040717</v>
      </c>
      <c r="F41" s="34" t="s">
        <v>751</v>
      </c>
      <c r="G41" s="39">
        <v>10020256</v>
      </c>
      <c r="H41" s="42">
        <v>30040717</v>
      </c>
      <c r="I41" s="34" t="s">
        <v>65</v>
      </c>
      <c r="J41" s="34" t="s">
        <v>1443</v>
      </c>
      <c r="K41" s="36">
        <v>36437</v>
      </c>
      <c r="L41" s="34" t="s">
        <v>1444</v>
      </c>
      <c r="M41" s="34" t="s">
        <v>1445</v>
      </c>
      <c r="N41" s="34" t="s">
        <v>717</v>
      </c>
      <c r="O41" s="34" t="s">
        <v>717</v>
      </c>
      <c r="P41" s="34" t="s">
        <v>1456</v>
      </c>
      <c r="Q41" s="34" t="s">
        <v>1456</v>
      </c>
      <c r="R41" s="34" t="s">
        <v>1457</v>
      </c>
      <c r="S41" s="34" t="s">
        <v>1457</v>
      </c>
      <c r="T41" s="34" t="s">
        <v>751</v>
      </c>
      <c r="U41" s="34" t="s">
        <v>751</v>
      </c>
      <c r="V41" s="37">
        <v>17.73</v>
      </c>
      <c r="W41" s="45">
        <v>3957.48</v>
      </c>
      <c r="X41" s="37">
        <v>22220.81</v>
      </c>
      <c r="Y41" s="36">
        <v>43864</v>
      </c>
      <c r="Z41" s="34" t="s">
        <v>1448</v>
      </c>
    </row>
    <row r="42" spans="1:26" x14ac:dyDescent="0.25">
      <c r="A42" s="34" t="s">
        <v>1441</v>
      </c>
      <c r="B42" s="34" t="s">
        <v>1442</v>
      </c>
      <c r="C42" s="34" t="s">
        <v>16</v>
      </c>
      <c r="D42" s="34" t="s">
        <v>15</v>
      </c>
      <c r="E42" s="35">
        <v>30040718</v>
      </c>
      <c r="F42" s="34" t="s">
        <v>758</v>
      </c>
      <c r="G42" s="39">
        <v>10020317</v>
      </c>
      <c r="H42" s="42">
        <v>30040718</v>
      </c>
      <c r="I42" s="34" t="s">
        <v>66</v>
      </c>
      <c r="J42" s="34" t="s">
        <v>1443</v>
      </c>
      <c r="K42" s="36">
        <v>36467</v>
      </c>
      <c r="L42" s="34" t="s">
        <v>1444</v>
      </c>
      <c r="M42" s="34" t="s">
        <v>1445</v>
      </c>
      <c r="N42" s="34" t="s">
        <v>717</v>
      </c>
      <c r="O42" s="34" t="s">
        <v>717</v>
      </c>
      <c r="P42" s="34" t="s">
        <v>1449</v>
      </c>
      <c r="Q42" s="34" t="s">
        <v>1449</v>
      </c>
      <c r="R42" s="34" t="s">
        <v>1450</v>
      </c>
      <c r="S42" s="34" t="s">
        <v>1450</v>
      </c>
      <c r="T42" s="34" t="s">
        <v>758</v>
      </c>
      <c r="U42" s="34" t="s">
        <v>758</v>
      </c>
      <c r="V42" s="37">
        <v>14.48</v>
      </c>
      <c r="W42" s="45">
        <v>3232.06</v>
      </c>
      <c r="X42" s="37">
        <v>22220.86</v>
      </c>
      <c r="Y42" s="36">
        <v>43864</v>
      </c>
      <c r="Z42" s="34" t="s">
        <v>1448</v>
      </c>
    </row>
    <row r="43" spans="1:26" x14ac:dyDescent="0.25">
      <c r="A43" s="34" t="s">
        <v>1441</v>
      </c>
      <c r="B43" s="34" t="s">
        <v>1442</v>
      </c>
      <c r="C43" s="34" t="s">
        <v>16</v>
      </c>
      <c r="D43" s="34" t="s">
        <v>15</v>
      </c>
      <c r="E43" s="35">
        <v>30040719</v>
      </c>
      <c r="F43" s="34" t="s">
        <v>751</v>
      </c>
      <c r="G43" s="39">
        <v>10020924</v>
      </c>
      <c r="H43" s="42">
        <v>30040719</v>
      </c>
      <c r="I43" s="34" t="s">
        <v>67</v>
      </c>
      <c r="J43" s="34" t="s">
        <v>1443</v>
      </c>
      <c r="K43" s="36">
        <v>36682</v>
      </c>
      <c r="L43" s="34" t="s">
        <v>1444</v>
      </c>
      <c r="M43" s="34" t="s">
        <v>1445</v>
      </c>
      <c r="N43" s="34" t="s">
        <v>717</v>
      </c>
      <c r="O43" s="34" t="s">
        <v>717</v>
      </c>
      <c r="P43" s="34" t="s">
        <v>1446</v>
      </c>
      <c r="Q43" s="34" t="s">
        <v>1446</v>
      </c>
      <c r="R43" s="34" t="s">
        <v>1447</v>
      </c>
      <c r="S43" s="34" t="s">
        <v>1447</v>
      </c>
      <c r="T43" s="34" t="s">
        <v>751</v>
      </c>
      <c r="U43" s="34" t="s">
        <v>751</v>
      </c>
      <c r="V43" s="37">
        <v>17.73</v>
      </c>
      <c r="W43" s="45">
        <v>3957.48</v>
      </c>
      <c r="X43" s="37">
        <v>22220.81</v>
      </c>
      <c r="Y43" s="36">
        <v>43864</v>
      </c>
      <c r="Z43" s="34" t="s">
        <v>1448</v>
      </c>
    </row>
    <row r="44" spans="1:26" x14ac:dyDescent="0.25">
      <c r="A44" s="34" t="s">
        <v>1441</v>
      </c>
      <c r="B44" s="34" t="s">
        <v>1442</v>
      </c>
      <c r="C44" s="34" t="s">
        <v>16</v>
      </c>
      <c r="D44" s="34" t="s">
        <v>15</v>
      </c>
      <c r="E44" s="35">
        <v>30040720</v>
      </c>
      <c r="F44" s="34" t="s">
        <v>759</v>
      </c>
      <c r="G44" s="39">
        <v>10021237</v>
      </c>
      <c r="H44" s="42">
        <v>30040720</v>
      </c>
      <c r="I44" s="34" t="s">
        <v>68</v>
      </c>
      <c r="J44" s="34" t="s">
        <v>1443</v>
      </c>
      <c r="K44" s="36">
        <v>36817</v>
      </c>
      <c r="L44" s="34" t="s">
        <v>1444</v>
      </c>
      <c r="M44" s="34" t="s">
        <v>1445</v>
      </c>
      <c r="N44" s="34" t="s">
        <v>717</v>
      </c>
      <c r="O44" s="34" t="s">
        <v>717</v>
      </c>
      <c r="P44" s="34" t="s">
        <v>1466</v>
      </c>
      <c r="Q44" s="34" t="s">
        <v>1466</v>
      </c>
      <c r="R44" s="34" t="s">
        <v>1467</v>
      </c>
      <c r="S44" s="34" t="s">
        <v>1467</v>
      </c>
      <c r="T44" s="34" t="s">
        <v>759</v>
      </c>
      <c r="U44" s="34" t="s">
        <v>759</v>
      </c>
      <c r="V44" s="37">
        <v>14.04</v>
      </c>
      <c r="W44" s="45">
        <v>3133.85</v>
      </c>
      <c r="X44" s="37">
        <v>22220.87</v>
      </c>
      <c r="Y44" s="36">
        <v>43864</v>
      </c>
      <c r="Z44" s="34" t="s">
        <v>1448</v>
      </c>
    </row>
    <row r="45" spans="1:26" x14ac:dyDescent="0.25">
      <c r="A45" s="34" t="s">
        <v>1441</v>
      </c>
      <c r="B45" s="34" t="s">
        <v>1442</v>
      </c>
      <c r="C45" s="34" t="s">
        <v>6</v>
      </c>
      <c r="D45" s="34" t="s">
        <v>15</v>
      </c>
      <c r="E45" s="35">
        <v>30040721</v>
      </c>
      <c r="F45" s="34" t="s">
        <v>751</v>
      </c>
      <c r="G45" s="39">
        <v>10021848</v>
      </c>
      <c r="H45" s="42">
        <v>30040721</v>
      </c>
      <c r="I45" s="34" t="s">
        <v>69</v>
      </c>
      <c r="J45" s="34" t="s">
        <v>1443</v>
      </c>
      <c r="K45" s="36">
        <v>37013</v>
      </c>
      <c r="L45" s="34" t="s">
        <v>1444</v>
      </c>
      <c r="M45" s="34" t="s">
        <v>1445</v>
      </c>
      <c r="N45" s="34" t="s">
        <v>717</v>
      </c>
      <c r="O45" s="34" t="s">
        <v>717</v>
      </c>
      <c r="P45" s="34" t="s">
        <v>1459</v>
      </c>
      <c r="Q45" s="34" t="s">
        <v>1456</v>
      </c>
      <c r="R45" s="34" t="s">
        <v>1457</v>
      </c>
      <c r="S45" s="34" t="s">
        <v>1457</v>
      </c>
      <c r="T45" s="34" t="s">
        <v>751</v>
      </c>
      <c r="U45" s="34" t="s">
        <v>751</v>
      </c>
      <c r="V45" s="37">
        <v>17.73</v>
      </c>
      <c r="W45" s="45">
        <v>3957.48</v>
      </c>
      <c r="X45" s="37">
        <v>22220.81</v>
      </c>
      <c r="Y45" s="36">
        <v>43864</v>
      </c>
      <c r="Z45" s="34" t="s">
        <v>1448</v>
      </c>
    </row>
    <row r="46" spans="1:26" x14ac:dyDescent="0.25">
      <c r="A46" s="34" t="s">
        <v>1441</v>
      </c>
      <c r="B46" s="34" t="s">
        <v>1442</v>
      </c>
      <c r="C46" s="34" t="s">
        <v>16</v>
      </c>
      <c r="D46" s="34" t="s">
        <v>15</v>
      </c>
      <c r="E46" s="35">
        <v>30040722</v>
      </c>
      <c r="F46" s="34" t="s">
        <v>751</v>
      </c>
      <c r="G46" s="39">
        <v>10022000</v>
      </c>
      <c r="H46" s="42">
        <v>30040722</v>
      </c>
      <c r="I46" s="34" t="s">
        <v>70</v>
      </c>
      <c r="J46" s="34" t="s">
        <v>1443</v>
      </c>
      <c r="K46" s="36">
        <v>37053</v>
      </c>
      <c r="L46" s="34" t="s">
        <v>1444</v>
      </c>
      <c r="M46" s="34" t="s">
        <v>1445</v>
      </c>
      <c r="N46" s="34" t="s">
        <v>717</v>
      </c>
      <c r="O46" s="34" t="s">
        <v>717</v>
      </c>
      <c r="P46" s="34" t="s">
        <v>1446</v>
      </c>
      <c r="Q46" s="34" t="s">
        <v>1446</v>
      </c>
      <c r="R46" s="34" t="s">
        <v>1447</v>
      </c>
      <c r="S46" s="34" t="s">
        <v>1447</v>
      </c>
      <c r="T46" s="34" t="s">
        <v>751</v>
      </c>
      <c r="U46" s="34" t="s">
        <v>751</v>
      </c>
      <c r="V46" s="37">
        <v>17.73</v>
      </c>
      <c r="W46" s="45">
        <v>3957.48</v>
      </c>
      <c r="X46" s="37">
        <v>22220.81</v>
      </c>
      <c r="Y46" s="36">
        <v>43864</v>
      </c>
      <c r="Z46" s="34" t="s">
        <v>1448</v>
      </c>
    </row>
    <row r="47" spans="1:26" x14ac:dyDescent="0.25">
      <c r="A47" s="34" t="s">
        <v>1441</v>
      </c>
      <c r="B47" s="34" t="s">
        <v>1442</v>
      </c>
      <c r="C47" s="34" t="s">
        <v>16</v>
      </c>
      <c r="D47" s="34" t="s">
        <v>15</v>
      </c>
      <c r="E47" s="35">
        <v>30040723</v>
      </c>
      <c r="F47" s="34" t="s">
        <v>758</v>
      </c>
      <c r="G47" s="39">
        <v>10022082</v>
      </c>
      <c r="H47" s="42">
        <v>30040723</v>
      </c>
      <c r="I47" s="34" t="s">
        <v>71</v>
      </c>
      <c r="J47" s="34" t="s">
        <v>1443</v>
      </c>
      <c r="K47" s="36">
        <v>37083</v>
      </c>
      <c r="L47" s="34" t="s">
        <v>1444</v>
      </c>
      <c r="M47" s="34" t="s">
        <v>1445</v>
      </c>
      <c r="N47" s="34" t="s">
        <v>717</v>
      </c>
      <c r="O47" s="34" t="s">
        <v>717</v>
      </c>
      <c r="P47" s="34" t="s">
        <v>1449</v>
      </c>
      <c r="Q47" s="34" t="s">
        <v>1449</v>
      </c>
      <c r="R47" s="34" t="s">
        <v>1450</v>
      </c>
      <c r="S47" s="34" t="s">
        <v>1450</v>
      </c>
      <c r="T47" s="34" t="s">
        <v>758</v>
      </c>
      <c r="U47" s="34" t="s">
        <v>758</v>
      </c>
      <c r="V47" s="37">
        <v>14.48</v>
      </c>
      <c r="W47" s="45">
        <v>3232.06</v>
      </c>
      <c r="X47" s="37">
        <v>22220.86</v>
      </c>
      <c r="Y47" s="36">
        <v>43864</v>
      </c>
      <c r="Z47" s="34" t="s">
        <v>1448</v>
      </c>
    </row>
    <row r="48" spans="1:26" x14ac:dyDescent="0.25">
      <c r="A48" s="34" t="s">
        <v>1441</v>
      </c>
      <c r="B48" s="34" t="s">
        <v>1442</v>
      </c>
      <c r="C48" s="34" t="s">
        <v>16</v>
      </c>
      <c r="D48" s="34" t="s">
        <v>15</v>
      </c>
      <c r="E48" s="35">
        <v>30040724</v>
      </c>
      <c r="F48" s="34" t="s">
        <v>21</v>
      </c>
      <c r="G48" s="39">
        <v>10022105</v>
      </c>
      <c r="H48" s="42">
        <v>30040724</v>
      </c>
      <c r="I48" s="34" t="s">
        <v>72</v>
      </c>
      <c r="J48" s="34" t="s">
        <v>1443</v>
      </c>
      <c r="K48" s="36">
        <v>37090</v>
      </c>
      <c r="L48" s="34" t="s">
        <v>1444</v>
      </c>
      <c r="M48" s="34" t="s">
        <v>1445</v>
      </c>
      <c r="N48" s="34" t="s">
        <v>717</v>
      </c>
      <c r="O48" s="34" t="s">
        <v>717</v>
      </c>
      <c r="P48" s="34" t="s">
        <v>1462</v>
      </c>
      <c r="Q48" s="34" t="s">
        <v>1462</v>
      </c>
      <c r="R48" s="34" t="s">
        <v>1478</v>
      </c>
      <c r="S48" s="34" t="s">
        <v>1478</v>
      </c>
      <c r="T48" s="34" t="s">
        <v>21</v>
      </c>
      <c r="U48" s="34" t="s">
        <v>21</v>
      </c>
      <c r="V48" s="37">
        <v>11.71</v>
      </c>
      <c r="W48" s="45">
        <v>2613.77</v>
      </c>
      <c r="X48" s="37">
        <v>22220.84</v>
      </c>
      <c r="Y48" s="36">
        <v>43864</v>
      </c>
      <c r="Z48" s="34" t="s">
        <v>1448</v>
      </c>
    </row>
    <row r="49" spans="1:26" x14ac:dyDescent="0.25">
      <c r="A49" s="34" t="s">
        <v>1441</v>
      </c>
      <c r="B49" s="34" t="s">
        <v>1442</v>
      </c>
      <c r="C49" s="34" t="s">
        <v>16</v>
      </c>
      <c r="D49" s="34" t="s">
        <v>15</v>
      </c>
      <c r="E49" s="35">
        <v>30040725</v>
      </c>
      <c r="F49" s="34" t="s">
        <v>759</v>
      </c>
      <c r="G49" s="39">
        <v>10022125</v>
      </c>
      <c r="H49" s="42">
        <v>30040725</v>
      </c>
      <c r="I49" s="34" t="s">
        <v>73</v>
      </c>
      <c r="J49" s="34" t="s">
        <v>1443</v>
      </c>
      <c r="K49" s="36">
        <v>37104</v>
      </c>
      <c r="L49" s="34" t="s">
        <v>1444</v>
      </c>
      <c r="M49" s="34" t="s">
        <v>1445</v>
      </c>
      <c r="N49" s="34" t="s">
        <v>717</v>
      </c>
      <c r="O49" s="34" t="s">
        <v>717</v>
      </c>
      <c r="P49" s="34" t="s">
        <v>1466</v>
      </c>
      <c r="Q49" s="34" t="s">
        <v>1466</v>
      </c>
      <c r="R49" s="34" t="s">
        <v>1467</v>
      </c>
      <c r="S49" s="34" t="s">
        <v>1467</v>
      </c>
      <c r="T49" s="34" t="s">
        <v>759</v>
      </c>
      <c r="U49" s="34" t="s">
        <v>759</v>
      </c>
      <c r="V49" s="37">
        <v>14.04</v>
      </c>
      <c r="W49" s="45">
        <v>3133.85</v>
      </c>
      <c r="X49" s="37">
        <v>22220.87</v>
      </c>
      <c r="Y49" s="36">
        <v>43864</v>
      </c>
      <c r="Z49" s="34" t="s">
        <v>1448</v>
      </c>
    </row>
    <row r="50" spans="1:26" x14ac:dyDescent="0.25">
      <c r="A50" s="34" t="s">
        <v>1441</v>
      </c>
      <c r="B50" s="34" t="s">
        <v>1442</v>
      </c>
      <c r="C50" s="34" t="s">
        <v>6</v>
      </c>
      <c r="D50" s="34" t="s">
        <v>15</v>
      </c>
      <c r="E50" s="35">
        <v>30040726</v>
      </c>
      <c r="F50" s="34" t="s">
        <v>760</v>
      </c>
      <c r="G50" s="39">
        <v>10022129</v>
      </c>
      <c r="H50" s="42">
        <v>30040726</v>
      </c>
      <c r="I50" s="34" t="s">
        <v>74</v>
      </c>
      <c r="J50" s="34" t="s">
        <v>1443</v>
      </c>
      <c r="K50" s="36">
        <v>37104</v>
      </c>
      <c r="L50" s="34" t="s">
        <v>1444</v>
      </c>
      <c r="M50" s="34" t="s">
        <v>1445</v>
      </c>
      <c r="N50" s="34" t="s">
        <v>717</v>
      </c>
      <c r="O50" s="34" t="s">
        <v>717</v>
      </c>
      <c r="P50" s="34" t="s">
        <v>1459</v>
      </c>
      <c r="Q50" s="34" t="s">
        <v>1479</v>
      </c>
      <c r="R50" s="34" t="s">
        <v>1480</v>
      </c>
      <c r="S50" s="34" t="s">
        <v>1480</v>
      </c>
      <c r="T50" s="34" t="s">
        <v>760</v>
      </c>
      <c r="U50" s="34" t="s">
        <v>760</v>
      </c>
      <c r="V50" s="37">
        <v>18.62</v>
      </c>
      <c r="W50" s="45">
        <v>4156.1400000000003</v>
      </c>
      <c r="X50" s="37">
        <v>22220.84</v>
      </c>
      <c r="Y50" s="36">
        <v>43864</v>
      </c>
      <c r="Z50" s="34" t="s">
        <v>1448</v>
      </c>
    </row>
    <row r="51" spans="1:26" x14ac:dyDescent="0.25">
      <c r="A51" s="34" t="s">
        <v>1441</v>
      </c>
      <c r="B51" s="34" t="s">
        <v>1442</v>
      </c>
      <c r="C51" s="34" t="s">
        <v>6</v>
      </c>
      <c r="D51" s="34" t="s">
        <v>15</v>
      </c>
      <c r="E51" s="35">
        <v>30040727</v>
      </c>
      <c r="F51" s="34" t="s">
        <v>757</v>
      </c>
      <c r="G51" s="39">
        <v>10022253</v>
      </c>
      <c r="H51" s="42">
        <v>30040727</v>
      </c>
      <c r="I51" s="34" t="s">
        <v>75</v>
      </c>
      <c r="J51" s="34" t="s">
        <v>1443</v>
      </c>
      <c r="K51" s="36">
        <v>37144</v>
      </c>
      <c r="L51" s="34" t="s">
        <v>1444</v>
      </c>
      <c r="M51" s="34" t="s">
        <v>1445</v>
      </c>
      <c r="N51" s="34" t="s">
        <v>717</v>
      </c>
      <c r="O51" s="34" t="s">
        <v>717</v>
      </c>
      <c r="P51" s="34" t="s">
        <v>1459</v>
      </c>
      <c r="Q51" s="34" t="s">
        <v>1470</v>
      </c>
      <c r="R51" s="34" t="s">
        <v>1471</v>
      </c>
      <c r="S51" s="34" t="s">
        <v>1471</v>
      </c>
      <c r="T51" s="34" t="s">
        <v>757</v>
      </c>
      <c r="U51" s="34" t="s">
        <v>757</v>
      </c>
      <c r="V51" s="37">
        <v>7.37</v>
      </c>
      <c r="W51" s="45">
        <v>1645.05</v>
      </c>
      <c r="X51" s="37">
        <v>22220.9</v>
      </c>
      <c r="Y51" s="36">
        <v>43864</v>
      </c>
      <c r="Z51" s="34" t="s">
        <v>1448</v>
      </c>
    </row>
    <row r="52" spans="1:26" x14ac:dyDescent="0.25">
      <c r="A52" s="34" t="s">
        <v>1441</v>
      </c>
      <c r="B52" s="34" t="s">
        <v>1442</v>
      </c>
      <c r="C52" s="34" t="s">
        <v>6</v>
      </c>
      <c r="D52" s="34" t="s">
        <v>15</v>
      </c>
      <c r="E52" s="35">
        <v>30040728</v>
      </c>
      <c r="F52" s="34" t="s">
        <v>751</v>
      </c>
      <c r="G52" s="39">
        <v>10022283</v>
      </c>
      <c r="H52" s="42">
        <v>30040728</v>
      </c>
      <c r="I52" s="34" t="s">
        <v>76</v>
      </c>
      <c r="J52" s="34" t="s">
        <v>1443</v>
      </c>
      <c r="K52" s="36">
        <v>37165</v>
      </c>
      <c r="L52" s="34" t="s">
        <v>1444</v>
      </c>
      <c r="M52" s="34" t="s">
        <v>1445</v>
      </c>
      <c r="N52" s="34" t="s">
        <v>717</v>
      </c>
      <c r="O52" s="34" t="s">
        <v>717</v>
      </c>
      <c r="P52" s="34" t="s">
        <v>1459</v>
      </c>
      <c r="Q52" s="34" t="s">
        <v>1459</v>
      </c>
      <c r="R52" s="34" t="s">
        <v>1481</v>
      </c>
      <c r="S52" s="34" t="s">
        <v>1481</v>
      </c>
      <c r="T52" s="34" t="s">
        <v>751</v>
      </c>
      <c r="U52" s="34" t="s">
        <v>751</v>
      </c>
      <c r="V52" s="37">
        <v>17.73</v>
      </c>
      <c r="W52" s="45">
        <v>3957.48</v>
      </c>
      <c r="X52" s="37">
        <v>22220.81</v>
      </c>
      <c r="Y52" s="36">
        <v>43864</v>
      </c>
      <c r="Z52" s="34" t="s">
        <v>1448</v>
      </c>
    </row>
    <row r="53" spans="1:26" x14ac:dyDescent="0.25">
      <c r="A53" s="34" t="s">
        <v>1441</v>
      </c>
      <c r="B53" s="34" t="s">
        <v>1442</v>
      </c>
      <c r="C53" s="34" t="s">
        <v>16</v>
      </c>
      <c r="D53" s="34" t="s">
        <v>15</v>
      </c>
      <c r="E53" s="35">
        <v>30040729</v>
      </c>
      <c r="F53" s="34" t="s">
        <v>750</v>
      </c>
      <c r="G53" s="39">
        <v>10022445</v>
      </c>
      <c r="H53" s="42">
        <v>30040729</v>
      </c>
      <c r="I53" s="34" t="s">
        <v>77</v>
      </c>
      <c r="J53" s="34" t="s">
        <v>1443</v>
      </c>
      <c r="K53" s="36">
        <v>37214</v>
      </c>
      <c r="L53" s="34" t="s">
        <v>1444</v>
      </c>
      <c r="M53" s="34" t="s">
        <v>1445</v>
      </c>
      <c r="N53" s="34" t="s">
        <v>717</v>
      </c>
      <c r="O53" s="34" t="s">
        <v>717</v>
      </c>
      <c r="P53" s="34" t="s">
        <v>1446</v>
      </c>
      <c r="Q53" s="34" t="s">
        <v>1446</v>
      </c>
      <c r="R53" s="34" t="s">
        <v>1451</v>
      </c>
      <c r="S53" s="34" t="s">
        <v>1451</v>
      </c>
      <c r="T53" s="34" t="s">
        <v>750</v>
      </c>
      <c r="U53" s="34" t="s">
        <v>750</v>
      </c>
      <c r="V53" s="37">
        <v>18.62</v>
      </c>
      <c r="W53" s="45">
        <v>4156.1400000000003</v>
      </c>
      <c r="X53" s="37">
        <v>22220.84</v>
      </c>
      <c r="Y53" s="36">
        <v>43864</v>
      </c>
      <c r="Z53" s="34" t="s">
        <v>1448</v>
      </c>
    </row>
    <row r="54" spans="1:26" x14ac:dyDescent="0.25">
      <c r="A54" s="34" t="s">
        <v>1441</v>
      </c>
      <c r="B54" s="34" t="s">
        <v>1442</v>
      </c>
      <c r="C54" s="34" t="s">
        <v>16</v>
      </c>
      <c r="D54" s="34" t="s">
        <v>15</v>
      </c>
      <c r="E54" s="35">
        <v>30040730</v>
      </c>
      <c r="F54" s="34" t="s">
        <v>758</v>
      </c>
      <c r="G54" s="39">
        <v>10023214</v>
      </c>
      <c r="H54" s="42">
        <v>30040730</v>
      </c>
      <c r="I54" s="34" t="s">
        <v>78</v>
      </c>
      <c r="J54" s="34" t="s">
        <v>1443</v>
      </c>
      <c r="K54" s="36">
        <v>37517</v>
      </c>
      <c r="L54" s="34" t="s">
        <v>1444</v>
      </c>
      <c r="M54" s="34" t="s">
        <v>1445</v>
      </c>
      <c r="N54" s="34" t="s">
        <v>717</v>
      </c>
      <c r="O54" s="34" t="s">
        <v>717</v>
      </c>
      <c r="P54" s="34" t="s">
        <v>1449</v>
      </c>
      <c r="Q54" s="34" t="s">
        <v>1449</v>
      </c>
      <c r="R54" s="34" t="s">
        <v>1450</v>
      </c>
      <c r="S54" s="34" t="s">
        <v>1450</v>
      </c>
      <c r="T54" s="34" t="s">
        <v>758</v>
      </c>
      <c r="U54" s="34" t="s">
        <v>758</v>
      </c>
      <c r="V54" s="37">
        <v>14.48</v>
      </c>
      <c r="W54" s="45">
        <v>3232.06</v>
      </c>
      <c r="X54" s="37">
        <v>22220.86</v>
      </c>
      <c r="Y54" s="36">
        <v>43864</v>
      </c>
      <c r="Z54" s="34" t="s">
        <v>1448</v>
      </c>
    </row>
    <row r="55" spans="1:26" x14ac:dyDescent="0.25">
      <c r="A55" s="34" t="s">
        <v>1441</v>
      </c>
      <c r="B55" s="34" t="s">
        <v>1442</v>
      </c>
      <c r="C55" s="34" t="s">
        <v>16</v>
      </c>
      <c r="D55" s="34" t="s">
        <v>15</v>
      </c>
      <c r="E55" s="35">
        <v>30040731</v>
      </c>
      <c r="F55" s="34" t="s">
        <v>751</v>
      </c>
      <c r="G55" s="39">
        <v>10023588</v>
      </c>
      <c r="H55" s="42">
        <v>30040731</v>
      </c>
      <c r="I55" s="34" t="s">
        <v>79</v>
      </c>
      <c r="J55" s="34" t="s">
        <v>1443</v>
      </c>
      <c r="K55" s="36">
        <v>37641</v>
      </c>
      <c r="L55" s="34" t="s">
        <v>1444</v>
      </c>
      <c r="M55" s="34" t="s">
        <v>1445</v>
      </c>
      <c r="N55" s="34" t="s">
        <v>717</v>
      </c>
      <c r="O55" s="34" t="s">
        <v>717</v>
      </c>
      <c r="P55" s="34" t="s">
        <v>1446</v>
      </c>
      <c r="Q55" s="34" t="s">
        <v>1446</v>
      </c>
      <c r="R55" s="34" t="s">
        <v>1447</v>
      </c>
      <c r="S55" s="34" t="s">
        <v>1447</v>
      </c>
      <c r="T55" s="34" t="s">
        <v>751</v>
      </c>
      <c r="U55" s="34" t="s">
        <v>751</v>
      </c>
      <c r="V55" s="37">
        <v>17.73</v>
      </c>
      <c r="W55" s="45">
        <v>3957.48</v>
      </c>
      <c r="X55" s="37">
        <v>22220.81</v>
      </c>
      <c r="Y55" s="36">
        <v>43864</v>
      </c>
      <c r="Z55" s="34" t="s">
        <v>1448</v>
      </c>
    </row>
    <row r="56" spans="1:26" x14ac:dyDescent="0.25">
      <c r="A56" s="34" t="s">
        <v>1441</v>
      </c>
      <c r="B56" s="34" t="s">
        <v>1442</v>
      </c>
      <c r="C56" s="34" t="s">
        <v>16</v>
      </c>
      <c r="D56" s="34" t="s">
        <v>15</v>
      </c>
      <c r="E56" s="35">
        <v>30040732</v>
      </c>
      <c r="F56" s="34" t="s">
        <v>756</v>
      </c>
      <c r="G56" s="39">
        <v>10023605</v>
      </c>
      <c r="H56" s="42">
        <v>30040732</v>
      </c>
      <c r="I56" s="34" t="s">
        <v>80</v>
      </c>
      <c r="J56" s="34" t="s">
        <v>1443</v>
      </c>
      <c r="K56" s="36">
        <v>37641</v>
      </c>
      <c r="L56" s="34" t="s">
        <v>1444</v>
      </c>
      <c r="M56" s="34" t="s">
        <v>1445</v>
      </c>
      <c r="N56" s="34" t="s">
        <v>717</v>
      </c>
      <c r="O56" s="34" t="s">
        <v>717</v>
      </c>
      <c r="P56" s="34" t="s">
        <v>1470</v>
      </c>
      <c r="Q56" s="34" t="s">
        <v>1470</v>
      </c>
      <c r="R56" s="34" t="s">
        <v>1482</v>
      </c>
      <c r="S56" s="34" t="s">
        <v>1482</v>
      </c>
      <c r="T56" s="34" t="s">
        <v>756</v>
      </c>
      <c r="U56" s="34" t="s">
        <v>756</v>
      </c>
      <c r="V56" s="37">
        <v>14.04</v>
      </c>
      <c r="W56" s="45">
        <v>3133.85</v>
      </c>
      <c r="X56" s="37">
        <v>22220.87</v>
      </c>
      <c r="Y56" s="36">
        <v>43864</v>
      </c>
      <c r="Z56" s="34" t="s">
        <v>1448</v>
      </c>
    </row>
    <row r="57" spans="1:26" x14ac:dyDescent="0.25">
      <c r="A57" s="34" t="s">
        <v>1441</v>
      </c>
      <c r="B57" s="34" t="s">
        <v>1442</v>
      </c>
      <c r="C57" s="34" t="s">
        <v>16</v>
      </c>
      <c r="D57" s="34" t="s">
        <v>15</v>
      </c>
      <c r="E57" s="35">
        <v>30040733</v>
      </c>
      <c r="F57" s="34" t="s">
        <v>20</v>
      </c>
      <c r="G57" s="39">
        <v>10023645</v>
      </c>
      <c r="H57" s="42">
        <v>30040733</v>
      </c>
      <c r="I57" s="34" t="s">
        <v>81</v>
      </c>
      <c r="J57" s="34" t="s">
        <v>1443</v>
      </c>
      <c r="K57" s="36">
        <v>37648</v>
      </c>
      <c r="L57" s="34" t="s">
        <v>1444</v>
      </c>
      <c r="M57" s="34" t="s">
        <v>1445</v>
      </c>
      <c r="N57" s="34" t="s">
        <v>717</v>
      </c>
      <c r="O57" s="34" t="s">
        <v>717</v>
      </c>
      <c r="P57" s="34" t="s">
        <v>1462</v>
      </c>
      <c r="Q57" s="34" t="s">
        <v>1462</v>
      </c>
      <c r="R57" s="34" t="s">
        <v>1478</v>
      </c>
      <c r="S57" s="34" t="s">
        <v>1478</v>
      </c>
      <c r="T57" s="34" t="s">
        <v>20</v>
      </c>
      <c r="U57" s="34" t="s">
        <v>20</v>
      </c>
      <c r="V57" s="37">
        <v>13.39</v>
      </c>
      <c r="W57" s="45">
        <v>2988.76</v>
      </c>
      <c r="X57" s="37">
        <v>22220.84</v>
      </c>
      <c r="Y57" s="36">
        <v>43864</v>
      </c>
      <c r="Z57" s="34" t="s">
        <v>1448</v>
      </c>
    </row>
    <row r="58" spans="1:26" x14ac:dyDescent="0.25">
      <c r="A58" s="34" t="s">
        <v>1441</v>
      </c>
      <c r="B58" s="34" t="s">
        <v>1442</v>
      </c>
      <c r="C58" s="34" t="s">
        <v>16</v>
      </c>
      <c r="D58" s="34" t="s">
        <v>15</v>
      </c>
      <c r="E58" s="35">
        <v>30040734</v>
      </c>
      <c r="F58" s="34" t="s">
        <v>751</v>
      </c>
      <c r="G58" s="39">
        <v>10023650</v>
      </c>
      <c r="H58" s="42">
        <v>30040734</v>
      </c>
      <c r="I58" s="34" t="s">
        <v>82</v>
      </c>
      <c r="J58" s="34" t="s">
        <v>1443</v>
      </c>
      <c r="K58" s="36">
        <v>37648</v>
      </c>
      <c r="L58" s="34" t="s">
        <v>1444</v>
      </c>
      <c r="M58" s="34" t="s">
        <v>1445</v>
      </c>
      <c r="N58" s="34" t="s">
        <v>717</v>
      </c>
      <c r="O58" s="34" t="s">
        <v>717</v>
      </c>
      <c r="P58" s="34" t="s">
        <v>1446</v>
      </c>
      <c r="Q58" s="34" t="s">
        <v>1446</v>
      </c>
      <c r="R58" s="34" t="s">
        <v>1447</v>
      </c>
      <c r="S58" s="34" t="s">
        <v>1447</v>
      </c>
      <c r="T58" s="34" t="s">
        <v>751</v>
      </c>
      <c r="U58" s="34" t="s">
        <v>751</v>
      </c>
      <c r="V58" s="37">
        <v>17.73</v>
      </c>
      <c r="W58" s="45">
        <v>3957.48</v>
      </c>
      <c r="X58" s="37">
        <v>22220.81</v>
      </c>
      <c r="Y58" s="36">
        <v>43864</v>
      </c>
      <c r="Z58" s="34" t="s">
        <v>1448</v>
      </c>
    </row>
    <row r="59" spans="1:26" x14ac:dyDescent="0.25">
      <c r="A59" s="34" t="s">
        <v>1441</v>
      </c>
      <c r="B59" s="34" t="s">
        <v>1442</v>
      </c>
      <c r="C59" s="34" t="s">
        <v>16</v>
      </c>
      <c r="D59" s="34" t="s">
        <v>15</v>
      </c>
      <c r="E59" s="35">
        <v>30040735</v>
      </c>
      <c r="F59" s="34" t="s">
        <v>751</v>
      </c>
      <c r="G59" s="39">
        <v>10023653</v>
      </c>
      <c r="H59" s="42">
        <v>30040735</v>
      </c>
      <c r="I59" s="34" t="s">
        <v>83</v>
      </c>
      <c r="J59" s="34" t="s">
        <v>1443</v>
      </c>
      <c r="K59" s="36">
        <v>37648</v>
      </c>
      <c r="L59" s="34" t="s">
        <v>1444</v>
      </c>
      <c r="M59" s="34" t="s">
        <v>1445</v>
      </c>
      <c r="N59" s="34" t="s">
        <v>717</v>
      </c>
      <c r="O59" s="34" t="s">
        <v>717</v>
      </c>
      <c r="P59" s="34" t="s">
        <v>1446</v>
      </c>
      <c r="Q59" s="34" t="s">
        <v>1446</v>
      </c>
      <c r="R59" s="34" t="s">
        <v>1447</v>
      </c>
      <c r="S59" s="34" t="s">
        <v>1447</v>
      </c>
      <c r="T59" s="34" t="s">
        <v>751</v>
      </c>
      <c r="U59" s="34" t="s">
        <v>751</v>
      </c>
      <c r="V59" s="37">
        <v>17.73</v>
      </c>
      <c r="W59" s="45">
        <v>3957.48</v>
      </c>
      <c r="X59" s="37">
        <v>22220.81</v>
      </c>
      <c r="Y59" s="36">
        <v>43864</v>
      </c>
      <c r="Z59" s="34" t="s">
        <v>1448</v>
      </c>
    </row>
    <row r="60" spans="1:26" x14ac:dyDescent="0.25">
      <c r="A60" s="34" t="s">
        <v>1441</v>
      </c>
      <c r="B60" s="34" t="s">
        <v>1442</v>
      </c>
      <c r="C60" s="34" t="s">
        <v>16</v>
      </c>
      <c r="D60" s="34" t="s">
        <v>15</v>
      </c>
      <c r="E60" s="35">
        <v>30040736</v>
      </c>
      <c r="F60" s="34" t="s">
        <v>758</v>
      </c>
      <c r="G60" s="39">
        <v>10023664</v>
      </c>
      <c r="H60" s="42">
        <v>30040736</v>
      </c>
      <c r="I60" s="34" t="s">
        <v>84</v>
      </c>
      <c r="J60" s="34" t="s">
        <v>1443</v>
      </c>
      <c r="K60" s="36">
        <v>37655</v>
      </c>
      <c r="L60" s="34" t="s">
        <v>1444</v>
      </c>
      <c r="M60" s="34" t="s">
        <v>1445</v>
      </c>
      <c r="N60" s="34" t="s">
        <v>717</v>
      </c>
      <c r="O60" s="34" t="s">
        <v>717</v>
      </c>
      <c r="P60" s="34" t="s">
        <v>1449</v>
      </c>
      <c r="Q60" s="34" t="s">
        <v>1449</v>
      </c>
      <c r="R60" s="34" t="s">
        <v>1450</v>
      </c>
      <c r="S60" s="34" t="s">
        <v>1450</v>
      </c>
      <c r="T60" s="34" t="s">
        <v>758</v>
      </c>
      <c r="U60" s="34" t="s">
        <v>758</v>
      </c>
      <c r="V60" s="37">
        <v>14.48</v>
      </c>
      <c r="W60" s="45">
        <v>3232.06</v>
      </c>
      <c r="X60" s="37">
        <v>22220.86</v>
      </c>
      <c r="Y60" s="36">
        <v>43864</v>
      </c>
      <c r="Z60" s="34" t="s">
        <v>1448</v>
      </c>
    </row>
    <row r="61" spans="1:26" x14ac:dyDescent="0.25">
      <c r="A61" s="34" t="s">
        <v>1441</v>
      </c>
      <c r="B61" s="34" t="s">
        <v>1442</v>
      </c>
      <c r="C61" s="34" t="s">
        <v>16</v>
      </c>
      <c r="D61" s="34" t="s">
        <v>15</v>
      </c>
      <c r="E61" s="35">
        <v>30040737</v>
      </c>
      <c r="F61" s="34" t="s">
        <v>751</v>
      </c>
      <c r="G61" s="39">
        <v>10023721</v>
      </c>
      <c r="H61" s="42">
        <v>30040737</v>
      </c>
      <c r="I61" s="34" t="s">
        <v>85</v>
      </c>
      <c r="J61" s="34" t="s">
        <v>1443</v>
      </c>
      <c r="K61" s="36">
        <v>37662</v>
      </c>
      <c r="L61" s="34" t="s">
        <v>1444</v>
      </c>
      <c r="M61" s="34" t="s">
        <v>1445</v>
      </c>
      <c r="N61" s="34" t="s">
        <v>717</v>
      </c>
      <c r="O61" s="34" t="s">
        <v>717</v>
      </c>
      <c r="P61" s="34" t="s">
        <v>1452</v>
      </c>
      <c r="Q61" s="34" t="s">
        <v>1452</v>
      </c>
      <c r="R61" s="34" t="s">
        <v>1453</v>
      </c>
      <c r="S61" s="34" t="s">
        <v>1453</v>
      </c>
      <c r="T61" s="34" t="s">
        <v>751</v>
      </c>
      <c r="U61" s="34" t="s">
        <v>751</v>
      </c>
      <c r="V61" s="37">
        <v>17.73</v>
      </c>
      <c r="W61" s="45">
        <v>3957.48</v>
      </c>
      <c r="X61" s="37">
        <v>22220.81</v>
      </c>
      <c r="Y61" s="36">
        <v>43864</v>
      </c>
      <c r="Z61" s="34" t="s">
        <v>1448</v>
      </c>
    </row>
    <row r="62" spans="1:26" x14ac:dyDescent="0.25">
      <c r="A62" s="34" t="s">
        <v>1441</v>
      </c>
      <c r="B62" s="34" t="s">
        <v>1442</v>
      </c>
      <c r="C62" s="34" t="s">
        <v>6</v>
      </c>
      <c r="D62" s="34" t="s">
        <v>15</v>
      </c>
      <c r="E62" s="35">
        <v>30040738</v>
      </c>
      <c r="F62" s="34" t="s">
        <v>751</v>
      </c>
      <c r="G62" s="39">
        <v>10023726</v>
      </c>
      <c r="H62" s="42">
        <v>30040738</v>
      </c>
      <c r="I62" s="34" t="s">
        <v>86</v>
      </c>
      <c r="J62" s="34" t="s">
        <v>1443</v>
      </c>
      <c r="K62" s="36">
        <v>37662</v>
      </c>
      <c r="L62" s="34" t="s">
        <v>1444</v>
      </c>
      <c r="M62" s="34" t="s">
        <v>1445</v>
      </c>
      <c r="N62" s="34" t="s">
        <v>717</v>
      </c>
      <c r="O62" s="34" t="s">
        <v>717</v>
      </c>
      <c r="P62" s="34" t="s">
        <v>1459</v>
      </c>
      <c r="Q62" s="34" t="s">
        <v>1483</v>
      </c>
      <c r="R62" s="34" t="s">
        <v>1484</v>
      </c>
      <c r="S62" s="34" t="s">
        <v>1484</v>
      </c>
      <c r="T62" s="34" t="s">
        <v>751</v>
      </c>
      <c r="U62" s="34" t="s">
        <v>751</v>
      </c>
      <c r="V62" s="37">
        <v>17.73</v>
      </c>
      <c r="W62" s="45">
        <v>3957.48</v>
      </c>
      <c r="X62" s="37">
        <v>22220.81</v>
      </c>
      <c r="Y62" s="36">
        <v>43864</v>
      </c>
      <c r="Z62" s="34" t="s">
        <v>1448</v>
      </c>
    </row>
    <row r="63" spans="1:26" x14ac:dyDescent="0.25">
      <c r="A63" s="34" t="s">
        <v>1441</v>
      </c>
      <c r="B63" s="34" t="s">
        <v>1442</v>
      </c>
      <c r="C63" s="34" t="s">
        <v>16</v>
      </c>
      <c r="D63" s="34" t="s">
        <v>15</v>
      </c>
      <c r="E63" s="35">
        <v>30040739</v>
      </c>
      <c r="F63" s="34" t="s">
        <v>751</v>
      </c>
      <c r="G63" s="39">
        <v>10023740</v>
      </c>
      <c r="H63" s="42">
        <v>30040739</v>
      </c>
      <c r="I63" s="34" t="s">
        <v>87</v>
      </c>
      <c r="J63" s="34" t="s">
        <v>1443</v>
      </c>
      <c r="K63" s="36">
        <v>37662</v>
      </c>
      <c r="L63" s="34" t="s">
        <v>1444</v>
      </c>
      <c r="M63" s="34" t="s">
        <v>1445</v>
      </c>
      <c r="N63" s="34" t="s">
        <v>717</v>
      </c>
      <c r="O63" s="34" t="s">
        <v>717</v>
      </c>
      <c r="P63" s="34" t="s">
        <v>1446</v>
      </c>
      <c r="Q63" s="34" t="s">
        <v>1446</v>
      </c>
      <c r="R63" s="34" t="s">
        <v>1447</v>
      </c>
      <c r="S63" s="34" t="s">
        <v>1447</v>
      </c>
      <c r="T63" s="34" t="s">
        <v>751</v>
      </c>
      <c r="U63" s="34" t="s">
        <v>751</v>
      </c>
      <c r="V63" s="37">
        <v>17.73</v>
      </c>
      <c r="W63" s="45">
        <v>3957.48</v>
      </c>
      <c r="X63" s="37">
        <v>22220.81</v>
      </c>
      <c r="Y63" s="36">
        <v>43864</v>
      </c>
      <c r="Z63" s="34" t="s">
        <v>1448</v>
      </c>
    </row>
    <row r="64" spans="1:26" x14ac:dyDescent="0.25">
      <c r="A64" s="34" t="s">
        <v>1441</v>
      </c>
      <c r="B64" s="34" t="s">
        <v>1442</v>
      </c>
      <c r="C64" s="34" t="s">
        <v>16</v>
      </c>
      <c r="D64" s="34" t="s">
        <v>15</v>
      </c>
      <c r="E64" s="35">
        <v>30040740</v>
      </c>
      <c r="F64" s="34" t="s">
        <v>20</v>
      </c>
      <c r="G64" s="39">
        <v>10024640</v>
      </c>
      <c r="H64" s="42">
        <v>30040740</v>
      </c>
      <c r="I64" s="34" t="s">
        <v>88</v>
      </c>
      <c r="J64" s="34" t="s">
        <v>1443</v>
      </c>
      <c r="K64" s="36">
        <v>38061</v>
      </c>
      <c r="L64" s="34" t="s">
        <v>1444</v>
      </c>
      <c r="M64" s="34" t="s">
        <v>1445</v>
      </c>
      <c r="N64" s="34" t="s">
        <v>717</v>
      </c>
      <c r="O64" s="34" t="s">
        <v>717</v>
      </c>
      <c r="P64" s="34" t="s">
        <v>1470</v>
      </c>
      <c r="Q64" s="34" t="s">
        <v>1470</v>
      </c>
      <c r="R64" s="34" t="s">
        <v>1482</v>
      </c>
      <c r="S64" s="34" t="s">
        <v>1482</v>
      </c>
      <c r="T64" s="34" t="s">
        <v>20</v>
      </c>
      <c r="U64" s="34" t="s">
        <v>20</v>
      </c>
      <c r="V64" s="37">
        <v>17.73</v>
      </c>
      <c r="W64" s="45">
        <v>3957.48</v>
      </c>
      <c r="X64" s="37">
        <v>22220.81</v>
      </c>
      <c r="Y64" s="36">
        <v>43864</v>
      </c>
      <c r="Z64" s="34" t="s">
        <v>1448</v>
      </c>
    </row>
    <row r="65" spans="1:26" x14ac:dyDescent="0.25">
      <c r="A65" s="34" t="s">
        <v>1441</v>
      </c>
      <c r="B65" s="34" t="s">
        <v>1442</v>
      </c>
      <c r="C65" s="34" t="s">
        <v>16</v>
      </c>
      <c r="D65" s="34" t="s">
        <v>15</v>
      </c>
      <c r="E65" s="35">
        <v>30041326</v>
      </c>
      <c r="F65" s="34" t="s">
        <v>761</v>
      </c>
      <c r="G65" s="39">
        <v>10024696</v>
      </c>
      <c r="H65" s="42">
        <v>30041326</v>
      </c>
      <c r="I65" s="34" t="s">
        <v>89</v>
      </c>
      <c r="J65" s="34" t="s">
        <v>1443</v>
      </c>
      <c r="K65" s="36">
        <v>38082</v>
      </c>
      <c r="L65" s="34" t="s">
        <v>1444</v>
      </c>
      <c r="M65" s="34" t="s">
        <v>1445</v>
      </c>
      <c r="N65" s="34" t="s">
        <v>717</v>
      </c>
      <c r="O65" s="34" t="s">
        <v>717</v>
      </c>
      <c r="P65" s="34" t="s">
        <v>1474</v>
      </c>
      <c r="Q65" s="34" t="s">
        <v>1474</v>
      </c>
      <c r="R65" s="34" t="s">
        <v>1485</v>
      </c>
      <c r="S65" s="34" t="s">
        <v>1485</v>
      </c>
      <c r="T65" s="34" t="s">
        <v>761</v>
      </c>
      <c r="U65" s="34" t="s">
        <v>761</v>
      </c>
      <c r="V65" s="37">
        <v>11.71</v>
      </c>
      <c r="W65" s="45">
        <v>2138.54</v>
      </c>
      <c r="X65" s="37">
        <v>18162.509999999998</v>
      </c>
      <c r="Y65" s="36">
        <v>43864</v>
      </c>
      <c r="Z65" s="34" t="s">
        <v>1448</v>
      </c>
    </row>
    <row r="66" spans="1:26" x14ac:dyDescent="0.25">
      <c r="A66" s="34" t="s">
        <v>1441</v>
      </c>
      <c r="B66" s="34" t="s">
        <v>1442</v>
      </c>
      <c r="C66" s="34" t="s">
        <v>16</v>
      </c>
      <c r="D66" s="34" t="s">
        <v>15</v>
      </c>
      <c r="E66" s="35">
        <v>30040742</v>
      </c>
      <c r="F66" s="34" t="s">
        <v>21</v>
      </c>
      <c r="G66" s="39">
        <v>10024707</v>
      </c>
      <c r="H66" s="42">
        <v>30040742</v>
      </c>
      <c r="I66" s="34" t="s">
        <v>90</v>
      </c>
      <c r="J66" s="34" t="s">
        <v>1443</v>
      </c>
      <c r="K66" s="36">
        <v>38082</v>
      </c>
      <c r="L66" s="34" t="s">
        <v>1444</v>
      </c>
      <c r="M66" s="34" t="s">
        <v>1445</v>
      </c>
      <c r="N66" s="34" t="s">
        <v>717</v>
      </c>
      <c r="O66" s="34" t="s">
        <v>717</v>
      </c>
      <c r="P66" s="34" t="s">
        <v>1462</v>
      </c>
      <c r="Q66" s="34" t="s">
        <v>1462</v>
      </c>
      <c r="R66" s="34" t="s">
        <v>1478</v>
      </c>
      <c r="S66" s="34" t="s">
        <v>1478</v>
      </c>
      <c r="T66" s="34" t="s">
        <v>21</v>
      </c>
      <c r="U66" s="34" t="s">
        <v>21</v>
      </c>
      <c r="V66" s="37">
        <v>11.71</v>
      </c>
      <c r="W66" s="45">
        <v>2613.77</v>
      </c>
      <c r="X66" s="37">
        <v>22220.84</v>
      </c>
      <c r="Y66" s="36">
        <v>43864</v>
      </c>
      <c r="Z66" s="34" t="s">
        <v>1448</v>
      </c>
    </row>
    <row r="67" spans="1:26" x14ac:dyDescent="0.25">
      <c r="A67" s="34" t="s">
        <v>1441</v>
      </c>
      <c r="B67" s="34" t="s">
        <v>1442</v>
      </c>
      <c r="C67" s="34" t="s">
        <v>16</v>
      </c>
      <c r="D67" s="34" t="s">
        <v>15</v>
      </c>
      <c r="E67" s="35">
        <v>30040743</v>
      </c>
      <c r="F67" s="34" t="s">
        <v>750</v>
      </c>
      <c r="G67" s="39">
        <v>10024750</v>
      </c>
      <c r="H67" s="42">
        <v>30040743</v>
      </c>
      <c r="I67" s="34" t="s">
        <v>91</v>
      </c>
      <c r="J67" s="34" t="s">
        <v>1443</v>
      </c>
      <c r="K67" s="36">
        <v>38096</v>
      </c>
      <c r="L67" s="34" t="s">
        <v>1444</v>
      </c>
      <c r="M67" s="34" t="s">
        <v>1445</v>
      </c>
      <c r="N67" s="34" t="s">
        <v>717</v>
      </c>
      <c r="O67" s="34" t="s">
        <v>717</v>
      </c>
      <c r="P67" s="34" t="s">
        <v>1456</v>
      </c>
      <c r="Q67" s="34" t="s">
        <v>1456</v>
      </c>
      <c r="R67" s="34" t="s">
        <v>1457</v>
      </c>
      <c r="S67" s="34" t="s">
        <v>1457</v>
      </c>
      <c r="T67" s="34" t="s">
        <v>750</v>
      </c>
      <c r="U67" s="34" t="s">
        <v>750</v>
      </c>
      <c r="V67" s="37">
        <v>18.62</v>
      </c>
      <c r="W67" s="45">
        <v>4156.1400000000003</v>
      </c>
      <c r="X67" s="37">
        <v>22220.84</v>
      </c>
      <c r="Y67" s="36">
        <v>43864</v>
      </c>
      <c r="Z67" s="34" t="s">
        <v>1448</v>
      </c>
    </row>
    <row r="68" spans="1:26" x14ac:dyDescent="0.25">
      <c r="A68" s="34" t="s">
        <v>1441</v>
      </c>
      <c r="B68" s="34" t="s">
        <v>1442</v>
      </c>
      <c r="C68" s="34" t="s">
        <v>16</v>
      </c>
      <c r="D68" s="34" t="s">
        <v>15</v>
      </c>
      <c r="E68" s="35">
        <v>30040744</v>
      </c>
      <c r="F68" s="34" t="s">
        <v>751</v>
      </c>
      <c r="G68" s="39">
        <v>10024753</v>
      </c>
      <c r="H68" s="42">
        <v>30040744</v>
      </c>
      <c r="I68" s="34" t="s">
        <v>92</v>
      </c>
      <c r="J68" s="34" t="s">
        <v>1443</v>
      </c>
      <c r="K68" s="36">
        <v>38096</v>
      </c>
      <c r="L68" s="34" t="s">
        <v>1444</v>
      </c>
      <c r="M68" s="34" t="s">
        <v>1445</v>
      </c>
      <c r="N68" s="34" t="s">
        <v>717</v>
      </c>
      <c r="O68" s="34" t="s">
        <v>717</v>
      </c>
      <c r="P68" s="34" t="s">
        <v>1446</v>
      </c>
      <c r="Q68" s="34" t="s">
        <v>1446</v>
      </c>
      <c r="R68" s="34" t="s">
        <v>1447</v>
      </c>
      <c r="S68" s="34" t="s">
        <v>1447</v>
      </c>
      <c r="T68" s="34" t="s">
        <v>751</v>
      </c>
      <c r="U68" s="34" t="s">
        <v>751</v>
      </c>
      <c r="V68" s="37">
        <v>17.73</v>
      </c>
      <c r="W68" s="45">
        <v>3957.48</v>
      </c>
      <c r="X68" s="37">
        <v>22220.81</v>
      </c>
      <c r="Y68" s="36">
        <v>43864</v>
      </c>
      <c r="Z68" s="34" t="s">
        <v>1448</v>
      </c>
    </row>
    <row r="69" spans="1:26" x14ac:dyDescent="0.25">
      <c r="A69" s="34" t="s">
        <v>1441</v>
      </c>
      <c r="B69" s="34" t="s">
        <v>1442</v>
      </c>
      <c r="C69" s="34" t="s">
        <v>16</v>
      </c>
      <c r="D69" s="34" t="s">
        <v>15</v>
      </c>
      <c r="E69" s="35">
        <v>30040745</v>
      </c>
      <c r="F69" s="34" t="s">
        <v>758</v>
      </c>
      <c r="G69" s="39">
        <v>10024833</v>
      </c>
      <c r="H69" s="42">
        <v>30040745</v>
      </c>
      <c r="I69" s="34" t="s">
        <v>93</v>
      </c>
      <c r="J69" s="34" t="s">
        <v>1443</v>
      </c>
      <c r="K69" s="36">
        <v>38131</v>
      </c>
      <c r="L69" s="34" t="s">
        <v>1444</v>
      </c>
      <c r="M69" s="34" t="s">
        <v>1445</v>
      </c>
      <c r="N69" s="34" t="s">
        <v>717</v>
      </c>
      <c r="O69" s="34" t="s">
        <v>717</v>
      </c>
      <c r="P69" s="34" t="s">
        <v>1449</v>
      </c>
      <c r="Q69" s="34" t="s">
        <v>1449</v>
      </c>
      <c r="R69" s="34" t="s">
        <v>1450</v>
      </c>
      <c r="S69" s="34" t="s">
        <v>1450</v>
      </c>
      <c r="T69" s="34" t="s">
        <v>758</v>
      </c>
      <c r="U69" s="34" t="s">
        <v>758</v>
      </c>
      <c r="V69" s="37">
        <v>14.48</v>
      </c>
      <c r="W69" s="45">
        <v>3232.06</v>
      </c>
      <c r="X69" s="37">
        <v>22220.86</v>
      </c>
      <c r="Y69" s="36">
        <v>43864</v>
      </c>
      <c r="Z69" s="34" t="s">
        <v>1448</v>
      </c>
    </row>
    <row r="70" spans="1:26" x14ac:dyDescent="0.25">
      <c r="A70" s="34" t="s">
        <v>1441</v>
      </c>
      <c r="B70" s="34" t="s">
        <v>1442</v>
      </c>
      <c r="C70" s="34" t="s">
        <v>16</v>
      </c>
      <c r="D70" s="34" t="s">
        <v>15</v>
      </c>
      <c r="E70" s="35">
        <v>30040746</v>
      </c>
      <c r="F70" s="34" t="s">
        <v>751</v>
      </c>
      <c r="G70" s="39">
        <v>10024890</v>
      </c>
      <c r="H70" s="42">
        <v>30040746</v>
      </c>
      <c r="I70" s="34" t="s">
        <v>94</v>
      </c>
      <c r="J70" s="34" t="s">
        <v>1443</v>
      </c>
      <c r="K70" s="36">
        <v>38152</v>
      </c>
      <c r="L70" s="34" t="s">
        <v>1444</v>
      </c>
      <c r="M70" s="34" t="s">
        <v>1445</v>
      </c>
      <c r="N70" s="34" t="s">
        <v>717</v>
      </c>
      <c r="O70" s="34" t="s">
        <v>717</v>
      </c>
      <c r="P70" s="34" t="s">
        <v>1486</v>
      </c>
      <c r="Q70" s="34" t="s">
        <v>1486</v>
      </c>
      <c r="R70" s="34" t="s">
        <v>1487</v>
      </c>
      <c r="S70" s="34" t="s">
        <v>1487</v>
      </c>
      <c r="T70" s="34" t="s">
        <v>751</v>
      </c>
      <c r="U70" s="34" t="s">
        <v>751</v>
      </c>
      <c r="V70" s="37">
        <v>17.73</v>
      </c>
      <c r="W70" s="45">
        <v>3957.48</v>
      </c>
      <c r="X70" s="37">
        <v>22220.81</v>
      </c>
      <c r="Y70" s="36">
        <v>43864</v>
      </c>
      <c r="Z70" s="34" t="s">
        <v>1448</v>
      </c>
    </row>
    <row r="71" spans="1:26" x14ac:dyDescent="0.25">
      <c r="A71" s="34" t="s">
        <v>1441</v>
      </c>
      <c r="B71" s="34" t="s">
        <v>1442</v>
      </c>
      <c r="C71" s="34" t="s">
        <v>16</v>
      </c>
      <c r="D71" s="34" t="s">
        <v>15</v>
      </c>
      <c r="E71" s="35">
        <v>30040747</v>
      </c>
      <c r="F71" s="34" t="s">
        <v>751</v>
      </c>
      <c r="G71" s="39">
        <v>10024993</v>
      </c>
      <c r="H71" s="42">
        <v>30040747</v>
      </c>
      <c r="I71" s="34" t="s">
        <v>95</v>
      </c>
      <c r="J71" s="34" t="s">
        <v>1443</v>
      </c>
      <c r="K71" s="36">
        <v>38189</v>
      </c>
      <c r="L71" s="34" t="s">
        <v>1444</v>
      </c>
      <c r="M71" s="34" t="s">
        <v>1445</v>
      </c>
      <c r="N71" s="34" t="s">
        <v>717</v>
      </c>
      <c r="O71" s="34" t="s">
        <v>717</v>
      </c>
      <c r="P71" s="34" t="s">
        <v>1486</v>
      </c>
      <c r="Q71" s="34" t="s">
        <v>1486</v>
      </c>
      <c r="R71" s="34" t="s">
        <v>1488</v>
      </c>
      <c r="S71" s="34" t="s">
        <v>1488</v>
      </c>
      <c r="T71" s="34" t="s">
        <v>751</v>
      </c>
      <c r="U71" s="34" t="s">
        <v>751</v>
      </c>
      <c r="V71" s="37">
        <v>17.73</v>
      </c>
      <c r="W71" s="45">
        <v>3957.48</v>
      </c>
      <c r="X71" s="37">
        <v>22220.81</v>
      </c>
      <c r="Y71" s="36">
        <v>43864</v>
      </c>
      <c r="Z71" s="34" t="s">
        <v>1448</v>
      </c>
    </row>
    <row r="72" spans="1:26" x14ac:dyDescent="0.25">
      <c r="A72" s="34" t="s">
        <v>1441</v>
      </c>
      <c r="B72" s="34" t="s">
        <v>1442</v>
      </c>
      <c r="C72" s="34" t="s">
        <v>16</v>
      </c>
      <c r="D72" s="34" t="s">
        <v>15</v>
      </c>
      <c r="E72" s="35">
        <v>30040748</v>
      </c>
      <c r="F72" s="34" t="s">
        <v>751</v>
      </c>
      <c r="G72" s="39">
        <v>10024996</v>
      </c>
      <c r="H72" s="42">
        <v>30040748</v>
      </c>
      <c r="I72" s="34" t="s">
        <v>96</v>
      </c>
      <c r="J72" s="34" t="s">
        <v>1443</v>
      </c>
      <c r="K72" s="36">
        <v>38189</v>
      </c>
      <c r="L72" s="34" t="s">
        <v>1444</v>
      </c>
      <c r="M72" s="34" t="s">
        <v>1445</v>
      </c>
      <c r="N72" s="34" t="s">
        <v>717</v>
      </c>
      <c r="O72" s="34" t="s">
        <v>717</v>
      </c>
      <c r="P72" s="34" t="s">
        <v>1446</v>
      </c>
      <c r="Q72" s="34" t="s">
        <v>1446</v>
      </c>
      <c r="R72" s="34" t="s">
        <v>1447</v>
      </c>
      <c r="S72" s="34" t="s">
        <v>1447</v>
      </c>
      <c r="T72" s="34" t="s">
        <v>751</v>
      </c>
      <c r="U72" s="34" t="s">
        <v>751</v>
      </c>
      <c r="V72" s="37">
        <v>17.73</v>
      </c>
      <c r="W72" s="45">
        <v>3957.48</v>
      </c>
      <c r="X72" s="37">
        <v>22220.81</v>
      </c>
      <c r="Y72" s="36">
        <v>43864</v>
      </c>
      <c r="Z72" s="34" t="s">
        <v>1448</v>
      </c>
    </row>
    <row r="73" spans="1:26" x14ac:dyDescent="0.25">
      <c r="A73" s="34" t="s">
        <v>1441</v>
      </c>
      <c r="B73" s="34" t="s">
        <v>1442</v>
      </c>
      <c r="C73" s="34" t="s">
        <v>16</v>
      </c>
      <c r="D73" s="34" t="s">
        <v>15</v>
      </c>
      <c r="E73" s="35">
        <v>30040749</v>
      </c>
      <c r="F73" s="34" t="s">
        <v>759</v>
      </c>
      <c r="G73" s="39">
        <v>10025002</v>
      </c>
      <c r="H73" s="42">
        <v>30040749</v>
      </c>
      <c r="I73" s="34" t="s">
        <v>97</v>
      </c>
      <c r="J73" s="34" t="s">
        <v>1443</v>
      </c>
      <c r="K73" s="36">
        <v>38189</v>
      </c>
      <c r="L73" s="34" t="s">
        <v>1444</v>
      </c>
      <c r="M73" s="34" t="s">
        <v>1445</v>
      </c>
      <c r="N73" s="34" t="s">
        <v>717</v>
      </c>
      <c r="O73" s="34" t="s">
        <v>717</v>
      </c>
      <c r="P73" s="34" t="s">
        <v>1466</v>
      </c>
      <c r="Q73" s="34" t="s">
        <v>1466</v>
      </c>
      <c r="R73" s="34" t="s">
        <v>1467</v>
      </c>
      <c r="S73" s="34" t="s">
        <v>1467</v>
      </c>
      <c r="T73" s="34" t="s">
        <v>759</v>
      </c>
      <c r="U73" s="34" t="s">
        <v>759</v>
      </c>
      <c r="V73" s="37">
        <v>14.04</v>
      </c>
      <c r="W73" s="45">
        <v>3133.85</v>
      </c>
      <c r="X73" s="37">
        <v>22220.87</v>
      </c>
      <c r="Y73" s="36">
        <v>43864</v>
      </c>
      <c r="Z73" s="34" t="s">
        <v>1448</v>
      </c>
    </row>
    <row r="74" spans="1:26" x14ac:dyDescent="0.25">
      <c r="A74" s="34" t="s">
        <v>1441</v>
      </c>
      <c r="B74" s="34" t="s">
        <v>1442</v>
      </c>
      <c r="C74" s="34" t="s">
        <v>6</v>
      </c>
      <c r="D74" s="34" t="s">
        <v>15</v>
      </c>
      <c r="E74" s="35">
        <v>30040750</v>
      </c>
      <c r="F74" s="34" t="s">
        <v>753</v>
      </c>
      <c r="G74" s="39">
        <v>10025018</v>
      </c>
      <c r="H74" s="42">
        <v>30040750</v>
      </c>
      <c r="I74" s="34" t="s">
        <v>98</v>
      </c>
      <c r="J74" s="34" t="s">
        <v>1443</v>
      </c>
      <c r="K74" s="36">
        <v>38201</v>
      </c>
      <c r="L74" s="34" t="s">
        <v>1444</v>
      </c>
      <c r="M74" s="34" t="s">
        <v>1445</v>
      </c>
      <c r="N74" s="34" t="s">
        <v>717</v>
      </c>
      <c r="O74" s="34" t="s">
        <v>717</v>
      </c>
      <c r="P74" s="34" t="s">
        <v>1472</v>
      </c>
      <c r="Q74" s="34" t="s">
        <v>1472</v>
      </c>
      <c r="R74" s="34" t="s">
        <v>1473</v>
      </c>
      <c r="S74" s="34" t="s">
        <v>1473</v>
      </c>
      <c r="T74" s="34" t="s">
        <v>753</v>
      </c>
      <c r="U74" s="34" t="s">
        <v>753</v>
      </c>
      <c r="V74" s="37">
        <v>18.260000000000002</v>
      </c>
      <c r="W74" s="45">
        <v>4075.78</v>
      </c>
      <c r="X74" s="37">
        <v>22220.81</v>
      </c>
      <c r="Y74" s="36">
        <v>43864</v>
      </c>
      <c r="Z74" s="34" t="s">
        <v>1448</v>
      </c>
    </row>
    <row r="75" spans="1:26" x14ac:dyDescent="0.25">
      <c r="A75" s="34" t="s">
        <v>1441</v>
      </c>
      <c r="B75" s="34" t="s">
        <v>1442</v>
      </c>
      <c r="C75" s="34" t="s">
        <v>16</v>
      </c>
      <c r="D75" s="34" t="s">
        <v>15</v>
      </c>
      <c r="E75" s="35">
        <v>30040751</v>
      </c>
      <c r="F75" s="34" t="s">
        <v>758</v>
      </c>
      <c r="G75" s="39">
        <v>10025024</v>
      </c>
      <c r="H75" s="42">
        <v>30040751</v>
      </c>
      <c r="I75" s="34" t="s">
        <v>99</v>
      </c>
      <c r="J75" s="34" t="s">
        <v>1443</v>
      </c>
      <c r="K75" s="36">
        <v>38203</v>
      </c>
      <c r="L75" s="34" t="s">
        <v>1444</v>
      </c>
      <c r="M75" s="34" t="s">
        <v>1445</v>
      </c>
      <c r="N75" s="34" t="s">
        <v>717</v>
      </c>
      <c r="O75" s="34" t="s">
        <v>717</v>
      </c>
      <c r="P75" s="34" t="s">
        <v>1449</v>
      </c>
      <c r="Q75" s="34" t="s">
        <v>1449</v>
      </c>
      <c r="R75" s="34" t="s">
        <v>1450</v>
      </c>
      <c r="S75" s="34" t="s">
        <v>1450</v>
      </c>
      <c r="T75" s="34" t="s">
        <v>758</v>
      </c>
      <c r="U75" s="34" t="s">
        <v>758</v>
      </c>
      <c r="V75" s="37">
        <v>14.48</v>
      </c>
      <c r="W75" s="45">
        <v>3232.06</v>
      </c>
      <c r="X75" s="37">
        <v>22220.86</v>
      </c>
      <c r="Y75" s="36">
        <v>43864</v>
      </c>
      <c r="Z75" s="34" t="s">
        <v>1448</v>
      </c>
    </row>
    <row r="76" spans="1:26" x14ac:dyDescent="0.25">
      <c r="A76" s="34" t="s">
        <v>1441</v>
      </c>
      <c r="B76" s="34" t="s">
        <v>1442</v>
      </c>
      <c r="C76" s="34" t="s">
        <v>6</v>
      </c>
      <c r="D76" s="34" t="s">
        <v>15</v>
      </c>
      <c r="E76" s="35">
        <v>30040752</v>
      </c>
      <c r="F76" s="34" t="s">
        <v>753</v>
      </c>
      <c r="G76" s="39">
        <v>10025032</v>
      </c>
      <c r="H76" s="42">
        <v>30040752</v>
      </c>
      <c r="I76" s="34" t="s">
        <v>100</v>
      </c>
      <c r="J76" s="34" t="s">
        <v>1443</v>
      </c>
      <c r="K76" s="36">
        <v>38203</v>
      </c>
      <c r="L76" s="34" t="s">
        <v>1444</v>
      </c>
      <c r="M76" s="34" t="s">
        <v>1445</v>
      </c>
      <c r="N76" s="34" t="s">
        <v>717</v>
      </c>
      <c r="O76" s="34" t="s">
        <v>717</v>
      </c>
      <c r="P76" s="34" t="s">
        <v>1472</v>
      </c>
      <c r="Q76" s="34" t="s">
        <v>1472</v>
      </c>
      <c r="R76" s="34" t="s">
        <v>1473</v>
      </c>
      <c r="S76" s="34" t="s">
        <v>1473</v>
      </c>
      <c r="T76" s="34" t="s">
        <v>753</v>
      </c>
      <c r="U76" s="34" t="s">
        <v>753</v>
      </c>
      <c r="V76" s="37">
        <v>18.260000000000002</v>
      </c>
      <c r="W76" s="45">
        <v>4075.78</v>
      </c>
      <c r="X76" s="37">
        <v>22220.81</v>
      </c>
      <c r="Y76" s="36">
        <v>43864</v>
      </c>
      <c r="Z76" s="34" t="s">
        <v>1448</v>
      </c>
    </row>
    <row r="77" spans="1:26" x14ac:dyDescent="0.25">
      <c r="A77" s="34" t="s">
        <v>1441</v>
      </c>
      <c r="B77" s="34" t="s">
        <v>1442</v>
      </c>
      <c r="C77" s="34" t="s">
        <v>16</v>
      </c>
      <c r="D77" s="34" t="s">
        <v>15</v>
      </c>
      <c r="E77" s="35">
        <v>30040753</v>
      </c>
      <c r="F77" s="34" t="s">
        <v>751</v>
      </c>
      <c r="G77" s="39">
        <v>10025328</v>
      </c>
      <c r="H77" s="42">
        <v>30040753</v>
      </c>
      <c r="I77" s="34" t="s">
        <v>101</v>
      </c>
      <c r="J77" s="34" t="s">
        <v>1443</v>
      </c>
      <c r="K77" s="36">
        <v>38327</v>
      </c>
      <c r="L77" s="34" t="s">
        <v>1444</v>
      </c>
      <c r="M77" s="34" t="s">
        <v>1445</v>
      </c>
      <c r="N77" s="34" t="s">
        <v>717</v>
      </c>
      <c r="O77" s="34" t="s">
        <v>717</v>
      </c>
      <c r="P77" s="34" t="s">
        <v>1486</v>
      </c>
      <c r="Q77" s="34" t="s">
        <v>1486</v>
      </c>
      <c r="R77" s="34" t="s">
        <v>1487</v>
      </c>
      <c r="S77" s="34" t="s">
        <v>1487</v>
      </c>
      <c r="T77" s="34" t="s">
        <v>751</v>
      </c>
      <c r="U77" s="34" t="s">
        <v>751</v>
      </c>
      <c r="V77" s="37">
        <v>17.73</v>
      </c>
      <c r="W77" s="45">
        <v>3957.48</v>
      </c>
      <c r="X77" s="37">
        <v>22220.81</v>
      </c>
      <c r="Y77" s="36">
        <v>43864</v>
      </c>
      <c r="Z77" s="34" t="s">
        <v>1448</v>
      </c>
    </row>
    <row r="78" spans="1:26" x14ac:dyDescent="0.25">
      <c r="A78" s="34" t="s">
        <v>1441</v>
      </c>
      <c r="B78" s="34" t="s">
        <v>1442</v>
      </c>
      <c r="C78" s="34" t="s">
        <v>16</v>
      </c>
      <c r="D78" s="34" t="s">
        <v>15</v>
      </c>
      <c r="E78" s="35">
        <v>30040754</v>
      </c>
      <c r="F78" s="34" t="s">
        <v>751</v>
      </c>
      <c r="G78" s="39">
        <v>10025613</v>
      </c>
      <c r="H78" s="42">
        <v>30040754</v>
      </c>
      <c r="I78" s="34" t="s">
        <v>102</v>
      </c>
      <c r="J78" s="34" t="s">
        <v>1443</v>
      </c>
      <c r="K78" s="36">
        <v>38474</v>
      </c>
      <c r="L78" s="34" t="s">
        <v>1444</v>
      </c>
      <c r="M78" s="34" t="s">
        <v>1445</v>
      </c>
      <c r="N78" s="34" t="s">
        <v>717</v>
      </c>
      <c r="O78" s="34" t="s">
        <v>717</v>
      </c>
      <c r="P78" s="34" t="s">
        <v>1446</v>
      </c>
      <c r="Q78" s="34" t="s">
        <v>1446</v>
      </c>
      <c r="R78" s="34" t="s">
        <v>1451</v>
      </c>
      <c r="S78" s="34" t="s">
        <v>1451</v>
      </c>
      <c r="T78" s="34" t="s">
        <v>751</v>
      </c>
      <c r="U78" s="34" t="s">
        <v>751</v>
      </c>
      <c r="V78" s="37">
        <v>17.73</v>
      </c>
      <c r="W78" s="45">
        <v>3957.48</v>
      </c>
      <c r="X78" s="37">
        <v>22220.81</v>
      </c>
      <c r="Y78" s="36">
        <v>43864</v>
      </c>
      <c r="Z78" s="34" t="s">
        <v>1448</v>
      </c>
    </row>
    <row r="79" spans="1:26" x14ac:dyDescent="0.25">
      <c r="A79" s="34" t="s">
        <v>1441</v>
      </c>
      <c r="B79" s="34" t="s">
        <v>1442</v>
      </c>
      <c r="C79" s="34" t="s">
        <v>16</v>
      </c>
      <c r="D79" s="34" t="s">
        <v>15</v>
      </c>
      <c r="E79" s="35">
        <v>30040755</v>
      </c>
      <c r="F79" s="34" t="s">
        <v>21</v>
      </c>
      <c r="G79" s="39">
        <v>10025630</v>
      </c>
      <c r="H79" s="42">
        <v>30040755</v>
      </c>
      <c r="I79" s="34" t="s">
        <v>103</v>
      </c>
      <c r="J79" s="34" t="s">
        <v>1443</v>
      </c>
      <c r="K79" s="36">
        <v>38481</v>
      </c>
      <c r="L79" s="34" t="s">
        <v>1444</v>
      </c>
      <c r="M79" s="34" t="s">
        <v>1445</v>
      </c>
      <c r="N79" s="34" t="s">
        <v>717</v>
      </c>
      <c r="O79" s="34" t="s">
        <v>717</v>
      </c>
      <c r="P79" s="34" t="s">
        <v>1462</v>
      </c>
      <c r="Q79" s="34" t="s">
        <v>1462</v>
      </c>
      <c r="R79" s="34" t="s">
        <v>1478</v>
      </c>
      <c r="S79" s="34" t="s">
        <v>1478</v>
      </c>
      <c r="T79" s="34" t="s">
        <v>21</v>
      </c>
      <c r="U79" s="34" t="s">
        <v>21</v>
      </c>
      <c r="V79" s="37">
        <v>11.71</v>
      </c>
      <c r="W79" s="45">
        <v>2613.77</v>
      </c>
      <c r="X79" s="37">
        <v>22220.84</v>
      </c>
      <c r="Y79" s="36">
        <v>43864</v>
      </c>
      <c r="Z79" s="34" t="s">
        <v>1448</v>
      </c>
    </row>
    <row r="80" spans="1:26" x14ac:dyDescent="0.25">
      <c r="A80" s="34" t="s">
        <v>1441</v>
      </c>
      <c r="B80" s="34" t="s">
        <v>1442</v>
      </c>
      <c r="C80" s="34" t="s">
        <v>6</v>
      </c>
      <c r="D80" s="34" t="s">
        <v>15</v>
      </c>
      <c r="E80" s="35">
        <v>30040756</v>
      </c>
      <c r="F80" s="34" t="s">
        <v>751</v>
      </c>
      <c r="G80" s="39">
        <v>10025634</v>
      </c>
      <c r="H80" s="42">
        <v>30040756</v>
      </c>
      <c r="I80" s="34" t="s">
        <v>104</v>
      </c>
      <c r="J80" s="34" t="s">
        <v>1443</v>
      </c>
      <c r="K80" s="36">
        <v>38481</v>
      </c>
      <c r="L80" s="34" t="s">
        <v>1444</v>
      </c>
      <c r="M80" s="34" t="s">
        <v>1445</v>
      </c>
      <c r="N80" s="34" t="s">
        <v>717</v>
      </c>
      <c r="O80" s="34" t="s">
        <v>717</v>
      </c>
      <c r="P80" s="34" t="s">
        <v>1459</v>
      </c>
      <c r="Q80" s="34" t="s">
        <v>1459</v>
      </c>
      <c r="R80" s="34" t="s">
        <v>1481</v>
      </c>
      <c r="S80" s="34" t="s">
        <v>1481</v>
      </c>
      <c r="T80" s="34" t="s">
        <v>751</v>
      </c>
      <c r="U80" s="34" t="s">
        <v>751</v>
      </c>
      <c r="V80" s="37">
        <v>17.73</v>
      </c>
      <c r="W80" s="45">
        <v>3957.48</v>
      </c>
      <c r="X80" s="37">
        <v>22220.81</v>
      </c>
      <c r="Y80" s="36">
        <v>43864</v>
      </c>
      <c r="Z80" s="34" t="s">
        <v>1448</v>
      </c>
    </row>
    <row r="81" spans="1:26" x14ac:dyDescent="0.25">
      <c r="A81" s="34" t="s">
        <v>1441</v>
      </c>
      <c r="B81" s="34" t="s">
        <v>1442</v>
      </c>
      <c r="C81" s="34" t="s">
        <v>6</v>
      </c>
      <c r="D81" s="34" t="s">
        <v>15</v>
      </c>
      <c r="E81" s="35">
        <v>30040757</v>
      </c>
      <c r="F81" s="34" t="s">
        <v>758</v>
      </c>
      <c r="G81" s="39">
        <v>10025658</v>
      </c>
      <c r="H81" s="42">
        <v>30040757</v>
      </c>
      <c r="I81" s="34" t="s">
        <v>105</v>
      </c>
      <c r="J81" s="34" t="s">
        <v>1443</v>
      </c>
      <c r="K81" s="36">
        <v>38490</v>
      </c>
      <c r="L81" s="34" t="s">
        <v>1444</v>
      </c>
      <c r="M81" s="34" t="s">
        <v>1445</v>
      </c>
      <c r="N81" s="34" t="s">
        <v>717</v>
      </c>
      <c r="O81" s="34" t="s">
        <v>717</v>
      </c>
      <c r="P81" s="34" t="s">
        <v>1459</v>
      </c>
      <c r="Q81" s="34" t="s">
        <v>1449</v>
      </c>
      <c r="R81" s="34" t="s">
        <v>1450</v>
      </c>
      <c r="S81" s="34" t="s">
        <v>1450</v>
      </c>
      <c r="T81" s="34" t="s">
        <v>758</v>
      </c>
      <c r="U81" s="34" t="s">
        <v>758</v>
      </c>
      <c r="V81" s="37">
        <v>14.48</v>
      </c>
      <c r="W81" s="45">
        <v>3232.06</v>
      </c>
      <c r="X81" s="37">
        <v>22220.86</v>
      </c>
      <c r="Y81" s="36">
        <v>43864</v>
      </c>
      <c r="Z81" s="34" t="s">
        <v>1448</v>
      </c>
    </row>
    <row r="82" spans="1:26" x14ac:dyDescent="0.25">
      <c r="A82" s="34" t="s">
        <v>1441</v>
      </c>
      <c r="B82" s="34" t="s">
        <v>1442</v>
      </c>
      <c r="C82" s="34" t="s">
        <v>16</v>
      </c>
      <c r="D82" s="34" t="s">
        <v>15</v>
      </c>
      <c r="E82" s="35">
        <v>30040758</v>
      </c>
      <c r="F82" s="34" t="s">
        <v>758</v>
      </c>
      <c r="G82" s="39">
        <v>10025823</v>
      </c>
      <c r="H82" s="42">
        <v>30040758</v>
      </c>
      <c r="I82" s="34" t="s">
        <v>106</v>
      </c>
      <c r="J82" s="34" t="s">
        <v>1443</v>
      </c>
      <c r="K82" s="36">
        <v>38572</v>
      </c>
      <c r="L82" s="34" t="s">
        <v>1444</v>
      </c>
      <c r="M82" s="34" t="s">
        <v>1445</v>
      </c>
      <c r="N82" s="34" t="s">
        <v>717</v>
      </c>
      <c r="O82" s="34" t="s">
        <v>717</v>
      </c>
      <c r="P82" s="34" t="s">
        <v>1449</v>
      </c>
      <c r="Q82" s="34" t="s">
        <v>1449</v>
      </c>
      <c r="R82" s="34" t="s">
        <v>1450</v>
      </c>
      <c r="S82" s="34" t="s">
        <v>1450</v>
      </c>
      <c r="T82" s="34" t="s">
        <v>758</v>
      </c>
      <c r="U82" s="34" t="s">
        <v>758</v>
      </c>
      <c r="V82" s="37">
        <v>14.48</v>
      </c>
      <c r="W82" s="45">
        <v>3232.06</v>
      </c>
      <c r="X82" s="37">
        <v>22220.86</v>
      </c>
      <c r="Y82" s="36">
        <v>43864</v>
      </c>
      <c r="Z82" s="34" t="s">
        <v>1448</v>
      </c>
    </row>
    <row r="83" spans="1:26" x14ac:dyDescent="0.25">
      <c r="A83" s="34" t="s">
        <v>1441</v>
      </c>
      <c r="B83" s="34" t="s">
        <v>1442</v>
      </c>
      <c r="C83" s="34" t="s">
        <v>16</v>
      </c>
      <c r="D83" s="34" t="s">
        <v>15</v>
      </c>
      <c r="E83" s="35">
        <v>30040759</v>
      </c>
      <c r="F83" s="34" t="s">
        <v>758</v>
      </c>
      <c r="G83" s="39">
        <v>10025934</v>
      </c>
      <c r="H83" s="42">
        <v>30040759</v>
      </c>
      <c r="I83" s="34" t="s">
        <v>107</v>
      </c>
      <c r="J83" s="34" t="s">
        <v>1443</v>
      </c>
      <c r="K83" s="36">
        <v>38628</v>
      </c>
      <c r="L83" s="34" t="s">
        <v>1444</v>
      </c>
      <c r="M83" s="34" t="s">
        <v>1445</v>
      </c>
      <c r="N83" s="34" t="s">
        <v>717</v>
      </c>
      <c r="O83" s="34" t="s">
        <v>717</v>
      </c>
      <c r="P83" s="34" t="s">
        <v>1449</v>
      </c>
      <c r="Q83" s="34" t="s">
        <v>1449</v>
      </c>
      <c r="R83" s="34" t="s">
        <v>1450</v>
      </c>
      <c r="S83" s="34" t="s">
        <v>1450</v>
      </c>
      <c r="T83" s="34" t="s">
        <v>758</v>
      </c>
      <c r="U83" s="34" t="s">
        <v>758</v>
      </c>
      <c r="V83" s="37">
        <v>14.48</v>
      </c>
      <c r="W83" s="45">
        <v>3232.06</v>
      </c>
      <c r="X83" s="37">
        <v>22220.86</v>
      </c>
      <c r="Y83" s="36">
        <v>43864</v>
      </c>
      <c r="Z83" s="34" t="s">
        <v>1448</v>
      </c>
    </row>
    <row r="84" spans="1:26" x14ac:dyDescent="0.25">
      <c r="A84" s="34" t="s">
        <v>1441</v>
      </c>
      <c r="B84" s="34" t="s">
        <v>1442</v>
      </c>
      <c r="C84" s="34" t="s">
        <v>16</v>
      </c>
      <c r="D84" s="34" t="s">
        <v>15</v>
      </c>
      <c r="E84" s="35">
        <v>30040760</v>
      </c>
      <c r="F84" s="34" t="s">
        <v>751</v>
      </c>
      <c r="G84" s="39">
        <v>10025992</v>
      </c>
      <c r="H84" s="42">
        <v>30040760</v>
      </c>
      <c r="I84" s="34" t="s">
        <v>108</v>
      </c>
      <c r="J84" s="34" t="s">
        <v>1443</v>
      </c>
      <c r="K84" s="36">
        <v>38663</v>
      </c>
      <c r="L84" s="34" t="s">
        <v>1444</v>
      </c>
      <c r="M84" s="34" t="s">
        <v>1445</v>
      </c>
      <c r="N84" s="34" t="s">
        <v>717</v>
      </c>
      <c r="O84" s="34" t="s">
        <v>717</v>
      </c>
      <c r="P84" s="34" t="s">
        <v>1446</v>
      </c>
      <c r="Q84" s="34" t="s">
        <v>1446</v>
      </c>
      <c r="R84" s="34" t="s">
        <v>1447</v>
      </c>
      <c r="S84" s="34" t="s">
        <v>1447</v>
      </c>
      <c r="T84" s="34" t="s">
        <v>751</v>
      </c>
      <c r="U84" s="34" t="s">
        <v>751</v>
      </c>
      <c r="V84" s="37">
        <v>17.73</v>
      </c>
      <c r="W84" s="45">
        <v>3957.48</v>
      </c>
      <c r="X84" s="37">
        <v>22220.81</v>
      </c>
      <c r="Y84" s="36">
        <v>43864</v>
      </c>
      <c r="Z84" s="34" t="s">
        <v>1448</v>
      </c>
    </row>
    <row r="85" spans="1:26" x14ac:dyDescent="0.25">
      <c r="A85" s="34" t="s">
        <v>1441</v>
      </c>
      <c r="B85" s="34" t="s">
        <v>1442</v>
      </c>
      <c r="C85" s="34" t="s">
        <v>6</v>
      </c>
      <c r="D85" s="34" t="s">
        <v>15</v>
      </c>
      <c r="E85" s="35">
        <v>30040761</v>
      </c>
      <c r="F85" s="34" t="s">
        <v>751</v>
      </c>
      <c r="G85" s="39">
        <v>10026003</v>
      </c>
      <c r="H85" s="42">
        <v>30040761</v>
      </c>
      <c r="I85" s="34" t="s">
        <v>109</v>
      </c>
      <c r="J85" s="34" t="s">
        <v>1443</v>
      </c>
      <c r="K85" s="36">
        <v>38663</v>
      </c>
      <c r="L85" s="34" t="s">
        <v>1444</v>
      </c>
      <c r="M85" s="34" t="s">
        <v>1445</v>
      </c>
      <c r="N85" s="34" t="s">
        <v>717</v>
      </c>
      <c r="O85" s="34" t="s">
        <v>717</v>
      </c>
      <c r="P85" s="34" t="s">
        <v>1459</v>
      </c>
      <c r="Q85" s="34" t="s">
        <v>1486</v>
      </c>
      <c r="R85" s="34" t="s">
        <v>1488</v>
      </c>
      <c r="S85" s="34" t="s">
        <v>1488</v>
      </c>
      <c r="T85" s="34" t="s">
        <v>751</v>
      </c>
      <c r="U85" s="34" t="s">
        <v>751</v>
      </c>
      <c r="V85" s="37">
        <v>17.73</v>
      </c>
      <c r="W85" s="45">
        <v>3957.48</v>
      </c>
      <c r="X85" s="37">
        <v>22220.81</v>
      </c>
      <c r="Y85" s="36">
        <v>43864</v>
      </c>
      <c r="Z85" s="34" t="s">
        <v>1448</v>
      </c>
    </row>
    <row r="86" spans="1:26" x14ac:dyDescent="0.25">
      <c r="A86" s="34" t="s">
        <v>1441</v>
      </c>
      <c r="B86" s="34" t="s">
        <v>1442</v>
      </c>
      <c r="C86" s="34" t="s">
        <v>16</v>
      </c>
      <c r="D86" s="34" t="s">
        <v>15</v>
      </c>
      <c r="E86" s="35">
        <v>30040762</v>
      </c>
      <c r="F86" s="34" t="s">
        <v>751</v>
      </c>
      <c r="G86" s="39">
        <v>10026010</v>
      </c>
      <c r="H86" s="42">
        <v>30040762</v>
      </c>
      <c r="I86" s="34" t="s">
        <v>110</v>
      </c>
      <c r="J86" s="34" t="s">
        <v>1443</v>
      </c>
      <c r="K86" s="36">
        <v>38663</v>
      </c>
      <c r="L86" s="34" t="s">
        <v>1444</v>
      </c>
      <c r="M86" s="34" t="s">
        <v>1445</v>
      </c>
      <c r="N86" s="34" t="s">
        <v>717</v>
      </c>
      <c r="O86" s="34" t="s">
        <v>717</v>
      </c>
      <c r="P86" s="34" t="s">
        <v>1452</v>
      </c>
      <c r="Q86" s="34" t="s">
        <v>1452</v>
      </c>
      <c r="R86" s="34" t="s">
        <v>1453</v>
      </c>
      <c r="S86" s="34" t="s">
        <v>1453</v>
      </c>
      <c r="T86" s="34" t="s">
        <v>751</v>
      </c>
      <c r="U86" s="34" t="s">
        <v>751</v>
      </c>
      <c r="V86" s="37">
        <v>17.73</v>
      </c>
      <c r="W86" s="45">
        <v>3957.48</v>
      </c>
      <c r="X86" s="37">
        <v>22220.81</v>
      </c>
      <c r="Y86" s="36">
        <v>43864</v>
      </c>
      <c r="Z86" s="34" t="s">
        <v>1448</v>
      </c>
    </row>
    <row r="87" spans="1:26" x14ac:dyDescent="0.25">
      <c r="A87" s="34" t="s">
        <v>1441</v>
      </c>
      <c r="B87" s="34" t="s">
        <v>1442</v>
      </c>
      <c r="C87" s="34" t="s">
        <v>6</v>
      </c>
      <c r="D87" s="34" t="s">
        <v>15</v>
      </c>
      <c r="E87" s="35">
        <v>30040763</v>
      </c>
      <c r="F87" s="34" t="s">
        <v>750</v>
      </c>
      <c r="G87" s="39">
        <v>10026021</v>
      </c>
      <c r="H87" s="42">
        <v>30040763</v>
      </c>
      <c r="I87" s="34" t="s">
        <v>111</v>
      </c>
      <c r="J87" s="34" t="s">
        <v>1443</v>
      </c>
      <c r="K87" s="36">
        <v>38663</v>
      </c>
      <c r="L87" s="34" t="s">
        <v>1444</v>
      </c>
      <c r="M87" s="34" t="s">
        <v>1445</v>
      </c>
      <c r="N87" s="34" t="s">
        <v>717</v>
      </c>
      <c r="O87" s="34" t="s">
        <v>717</v>
      </c>
      <c r="P87" s="34" t="s">
        <v>1459</v>
      </c>
      <c r="Q87" s="34" t="s">
        <v>1466</v>
      </c>
      <c r="R87" s="34" t="s">
        <v>1467</v>
      </c>
      <c r="S87" s="34" t="s">
        <v>1467</v>
      </c>
      <c r="T87" s="34" t="s">
        <v>750</v>
      </c>
      <c r="U87" s="34" t="s">
        <v>750</v>
      </c>
      <c r="V87" s="37">
        <v>18.260000000000002</v>
      </c>
      <c r="W87" s="45">
        <v>4075.78</v>
      </c>
      <c r="X87" s="37">
        <v>22220.81</v>
      </c>
      <c r="Y87" s="36">
        <v>43864</v>
      </c>
      <c r="Z87" s="34" t="s">
        <v>1448</v>
      </c>
    </row>
    <row r="88" spans="1:26" x14ac:dyDescent="0.25">
      <c r="A88" s="34" t="s">
        <v>1441</v>
      </c>
      <c r="B88" s="34" t="s">
        <v>1442</v>
      </c>
      <c r="C88" s="34" t="s">
        <v>16</v>
      </c>
      <c r="D88" s="34" t="s">
        <v>15</v>
      </c>
      <c r="E88" s="35">
        <v>30040764</v>
      </c>
      <c r="F88" s="34" t="s">
        <v>751</v>
      </c>
      <c r="G88" s="39">
        <v>10026039</v>
      </c>
      <c r="H88" s="42">
        <v>30040764</v>
      </c>
      <c r="I88" s="34" t="s">
        <v>112</v>
      </c>
      <c r="J88" s="34" t="s">
        <v>1443</v>
      </c>
      <c r="K88" s="36">
        <v>38677</v>
      </c>
      <c r="L88" s="34" t="s">
        <v>1444</v>
      </c>
      <c r="M88" s="34" t="s">
        <v>1445</v>
      </c>
      <c r="N88" s="34" t="s">
        <v>717</v>
      </c>
      <c r="O88" s="34" t="s">
        <v>717</v>
      </c>
      <c r="P88" s="34" t="s">
        <v>1446</v>
      </c>
      <c r="Q88" s="34" t="s">
        <v>1446</v>
      </c>
      <c r="R88" s="34" t="s">
        <v>1447</v>
      </c>
      <c r="S88" s="34" t="s">
        <v>1447</v>
      </c>
      <c r="T88" s="34" t="s">
        <v>751</v>
      </c>
      <c r="U88" s="34" t="s">
        <v>751</v>
      </c>
      <c r="V88" s="37">
        <v>17.73</v>
      </c>
      <c r="W88" s="45">
        <v>3957.48</v>
      </c>
      <c r="X88" s="37">
        <v>22220.81</v>
      </c>
      <c r="Y88" s="36">
        <v>43864</v>
      </c>
      <c r="Z88" s="34" t="s">
        <v>1448</v>
      </c>
    </row>
    <row r="89" spans="1:26" x14ac:dyDescent="0.25">
      <c r="A89" s="34" t="s">
        <v>1441</v>
      </c>
      <c r="B89" s="34" t="s">
        <v>1442</v>
      </c>
      <c r="C89" s="34" t="s">
        <v>16</v>
      </c>
      <c r="D89" s="34" t="s">
        <v>15</v>
      </c>
      <c r="E89" s="35">
        <v>30040765</v>
      </c>
      <c r="F89" s="34" t="s">
        <v>751</v>
      </c>
      <c r="G89" s="39">
        <v>10026047</v>
      </c>
      <c r="H89" s="42">
        <v>30040765</v>
      </c>
      <c r="I89" s="34" t="s">
        <v>113</v>
      </c>
      <c r="J89" s="34" t="s">
        <v>1443</v>
      </c>
      <c r="K89" s="36">
        <v>38677</v>
      </c>
      <c r="L89" s="34" t="s">
        <v>1444</v>
      </c>
      <c r="M89" s="34" t="s">
        <v>1445</v>
      </c>
      <c r="N89" s="34" t="s">
        <v>717</v>
      </c>
      <c r="O89" s="34" t="s">
        <v>717</v>
      </c>
      <c r="P89" s="34" t="s">
        <v>1446</v>
      </c>
      <c r="Q89" s="34" t="s">
        <v>1446</v>
      </c>
      <c r="R89" s="34" t="s">
        <v>1451</v>
      </c>
      <c r="S89" s="34" t="s">
        <v>1451</v>
      </c>
      <c r="T89" s="34" t="s">
        <v>751</v>
      </c>
      <c r="U89" s="34" t="s">
        <v>751</v>
      </c>
      <c r="V89" s="37">
        <v>17.73</v>
      </c>
      <c r="W89" s="45">
        <v>3957.48</v>
      </c>
      <c r="X89" s="37">
        <v>22220.81</v>
      </c>
      <c r="Y89" s="36">
        <v>43864</v>
      </c>
      <c r="Z89" s="34" t="s">
        <v>1448</v>
      </c>
    </row>
    <row r="90" spans="1:26" x14ac:dyDescent="0.25">
      <c r="A90" s="34" t="s">
        <v>1441</v>
      </c>
      <c r="B90" s="34" t="s">
        <v>1442</v>
      </c>
      <c r="C90" s="34" t="s">
        <v>16</v>
      </c>
      <c r="D90" s="34" t="s">
        <v>15</v>
      </c>
      <c r="E90" s="35">
        <v>30040766</v>
      </c>
      <c r="F90" s="34" t="s">
        <v>751</v>
      </c>
      <c r="G90" s="39">
        <v>10026175</v>
      </c>
      <c r="H90" s="42">
        <v>30040766</v>
      </c>
      <c r="I90" s="34" t="s">
        <v>114</v>
      </c>
      <c r="J90" s="34" t="s">
        <v>1443</v>
      </c>
      <c r="K90" s="36">
        <v>38733</v>
      </c>
      <c r="L90" s="34" t="s">
        <v>1444</v>
      </c>
      <c r="M90" s="34" t="s">
        <v>1445</v>
      </c>
      <c r="N90" s="34" t="s">
        <v>717</v>
      </c>
      <c r="O90" s="34" t="s">
        <v>717</v>
      </c>
      <c r="P90" s="34" t="s">
        <v>1456</v>
      </c>
      <c r="Q90" s="34" t="s">
        <v>1456</v>
      </c>
      <c r="R90" s="34" t="s">
        <v>1457</v>
      </c>
      <c r="S90" s="34" t="s">
        <v>1457</v>
      </c>
      <c r="T90" s="34" t="s">
        <v>751</v>
      </c>
      <c r="U90" s="34" t="s">
        <v>751</v>
      </c>
      <c r="V90" s="37">
        <v>17.73</v>
      </c>
      <c r="W90" s="45">
        <v>3957.48</v>
      </c>
      <c r="X90" s="37">
        <v>22220.81</v>
      </c>
      <c r="Y90" s="36">
        <v>43864</v>
      </c>
      <c r="Z90" s="34" t="s">
        <v>1448</v>
      </c>
    </row>
    <row r="91" spans="1:26" x14ac:dyDescent="0.25">
      <c r="A91" s="34" t="s">
        <v>1441</v>
      </c>
      <c r="B91" s="34" t="s">
        <v>1442</v>
      </c>
      <c r="C91" s="34" t="s">
        <v>16</v>
      </c>
      <c r="D91" s="34" t="s">
        <v>15</v>
      </c>
      <c r="E91" s="35">
        <v>30040767</v>
      </c>
      <c r="F91" s="34" t="s">
        <v>751</v>
      </c>
      <c r="G91" s="39">
        <v>10026218</v>
      </c>
      <c r="H91" s="42">
        <v>30040767</v>
      </c>
      <c r="I91" s="34" t="s">
        <v>115</v>
      </c>
      <c r="J91" s="34" t="s">
        <v>1443</v>
      </c>
      <c r="K91" s="36">
        <v>38754</v>
      </c>
      <c r="L91" s="34" t="s">
        <v>1444</v>
      </c>
      <c r="M91" s="34" t="s">
        <v>1445</v>
      </c>
      <c r="N91" s="34" t="s">
        <v>717</v>
      </c>
      <c r="O91" s="34" t="s">
        <v>717</v>
      </c>
      <c r="P91" s="34" t="s">
        <v>1456</v>
      </c>
      <c r="Q91" s="34" t="s">
        <v>1456</v>
      </c>
      <c r="R91" s="34" t="s">
        <v>1457</v>
      </c>
      <c r="S91" s="34" t="s">
        <v>1457</v>
      </c>
      <c r="T91" s="34" t="s">
        <v>751</v>
      </c>
      <c r="U91" s="34" t="s">
        <v>751</v>
      </c>
      <c r="V91" s="37">
        <v>17.73</v>
      </c>
      <c r="W91" s="45">
        <v>3957.48</v>
      </c>
      <c r="X91" s="37">
        <v>22220.81</v>
      </c>
      <c r="Y91" s="36">
        <v>43864</v>
      </c>
      <c r="Z91" s="34" t="s">
        <v>1448</v>
      </c>
    </row>
    <row r="92" spans="1:26" x14ac:dyDescent="0.25">
      <c r="A92" s="34" t="s">
        <v>1441</v>
      </c>
      <c r="B92" s="34" t="s">
        <v>1442</v>
      </c>
      <c r="C92" s="34" t="s">
        <v>16</v>
      </c>
      <c r="D92" s="34" t="s">
        <v>15</v>
      </c>
      <c r="E92" s="35">
        <v>30040768</v>
      </c>
      <c r="F92" s="34" t="s">
        <v>759</v>
      </c>
      <c r="G92" s="39">
        <v>10026234</v>
      </c>
      <c r="H92" s="42">
        <v>30040768</v>
      </c>
      <c r="I92" s="34" t="s">
        <v>116</v>
      </c>
      <c r="J92" s="34" t="s">
        <v>1443</v>
      </c>
      <c r="K92" s="36">
        <v>38754</v>
      </c>
      <c r="L92" s="34" t="s">
        <v>1444</v>
      </c>
      <c r="M92" s="34" t="s">
        <v>1445</v>
      </c>
      <c r="N92" s="34" t="s">
        <v>717</v>
      </c>
      <c r="O92" s="34" t="s">
        <v>717</v>
      </c>
      <c r="P92" s="34" t="s">
        <v>1466</v>
      </c>
      <c r="Q92" s="34" t="s">
        <v>1466</v>
      </c>
      <c r="R92" s="34" t="s">
        <v>1467</v>
      </c>
      <c r="S92" s="34" t="s">
        <v>1467</v>
      </c>
      <c r="T92" s="34" t="s">
        <v>759</v>
      </c>
      <c r="U92" s="34" t="s">
        <v>759</v>
      </c>
      <c r="V92" s="37">
        <v>14.04</v>
      </c>
      <c r="W92" s="45">
        <v>3133.85</v>
      </c>
      <c r="X92" s="37">
        <v>22220.87</v>
      </c>
      <c r="Y92" s="36">
        <v>43864</v>
      </c>
      <c r="Z92" s="34" t="s">
        <v>1448</v>
      </c>
    </row>
    <row r="93" spans="1:26" x14ac:dyDescent="0.25">
      <c r="A93" s="34" t="s">
        <v>1441</v>
      </c>
      <c r="B93" s="34" t="s">
        <v>1442</v>
      </c>
      <c r="C93" s="34" t="s">
        <v>16</v>
      </c>
      <c r="D93" s="34" t="s">
        <v>15</v>
      </c>
      <c r="E93" s="35">
        <v>30040769</v>
      </c>
      <c r="F93" s="34" t="s">
        <v>751</v>
      </c>
      <c r="G93" s="39">
        <v>10026238</v>
      </c>
      <c r="H93" s="42">
        <v>30040769</v>
      </c>
      <c r="I93" s="34" t="s">
        <v>117</v>
      </c>
      <c r="J93" s="34" t="s">
        <v>1443</v>
      </c>
      <c r="K93" s="36">
        <v>38754</v>
      </c>
      <c r="L93" s="34" t="s">
        <v>1444</v>
      </c>
      <c r="M93" s="34" t="s">
        <v>1445</v>
      </c>
      <c r="N93" s="34" t="s">
        <v>717</v>
      </c>
      <c r="O93" s="34" t="s">
        <v>717</v>
      </c>
      <c r="P93" s="34" t="s">
        <v>1446</v>
      </c>
      <c r="Q93" s="34" t="s">
        <v>1446</v>
      </c>
      <c r="R93" s="34" t="s">
        <v>1447</v>
      </c>
      <c r="S93" s="34" t="s">
        <v>1447</v>
      </c>
      <c r="T93" s="34" t="s">
        <v>751</v>
      </c>
      <c r="U93" s="34" t="s">
        <v>751</v>
      </c>
      <c r="V93" s="37">
        <v>17.73</v>
      </c>
      <c r="W93" s="45">
        <v>3957.48</v>
      </c>
      <c r="X93" s="37">
        <v>22220.81</v>
      </c>
      <c r="Y93" s="36">
        <v>43864</v>
      </c>
      <c r="Z93" s="34" t="s">
        <v>1448</v>
      </c>
    </row>
    <row r="94" spans="1:26" x14ac:dyDescent="0.25">
      <c r="A94" s="34" t="s">
        <v>1441</v>
      </c>
      <c r="B94" s="34" t="s">
        <v>1442</v>
      </c>
      <c r="C94" s="34" t="s">
        <v>16</v>
      </c>
      <c r="D94" s="34" t="s">
        <v>15</v>
      </c>
      <c r="E94" s="35">
        <v>30040770</v>
      </c>
      <c r="F94" s="34" t="s">
        <v>751</v>
      </c>
      <c r="G94" s="39">
        <v>10026242</v>
      </c>
      <c r="H94" s="42">
        <v>30040770</v>
      </c>
      <c r="I94" s="34" t="s">
        <v>118</v>
      </c>
      <c r="J94" s="34" t="s">
        <v>1443</v>
      </c>
      <c r="K94" s="36">
        <v>38756</v>
      </c>
      <c r="L94" s="34" t="s">
        <v>1444</v>
      </c>
      <c r="M94" s="34" t="s">
        <v>1445</v>
      </c>
      <c r="N94" s="34" t="s">
        <v>717</v>
      </c>
      <c r="O94" s="34" t="s">
        <v>717</v>
      </c>
      <c r="P94" s="34" t="s">
        <v>1446</v>
      </c>
      <c r="Q94" s="34" t="s">
        <v>1446</v>
      </c>
      <c r="R94" s="34" t="s">
        <v>1447</v>
      </c>
      <c r="S94" s="34" t="s">
        <v>1447</v>
      </c>
      <c r="T94" s="34" t="s">
        <v>751</v>
      </c>
      <c r="U94" s="34" t="s">
        <v>751</v>
      </c>
      <c r="V94" s="37">
        <v>17.73</v>
      </c>
      <c r="W94" s="45">
        <v>3957.48</v>
      </c>
      <c r="X94" s="37">
        <v>22220.81</v>
      </c>
      <c r="Y94" s="36">
        <v>43864</v>
      </c>
      <c r="Z94" s="34" t="s">
        <v>1448</v>
      </c>
    </row>
    <row r="95" spans="1:26" x14ac:dyDescent="0.25">
      <c r="A95" s="34" t="s">
        <v>1441</v>
      </c>
      <c r="B95" s="34" t="s">
        <v>1442</v>
      </c>
      <c r="C95" s="34" t="s">
        <v>16</v>
      </c>
      <c r="D95" s="34" t="s">
        <v>15</v>
      </c>
      <c r="E95" s="35">
        <v>30040771</v>
      </c>
      <c r="F95" s="34" t="s">
        <v>750</v>
      </c>
      <c r="G95" s="39">
        <v>10026243</v>
      </c>
      <c r="H95" s="42">
        <v>30040771</v>
      </c>
      <c r="I95" s="34" t="s">
        <v>119</v>
      </c>
      <c r="J95" s="34" t="s">
        <v>1443</v>
      </c>
      <c r="K95" s="36">
        <v>38756</v>
      </c>
      <c r="L95" s="34" t="s">
        <v>1444</v>
      </c>
      <c r="M95" s="34" t="s">
        <v>1445</v>
      </c>
      <c r="N95" s="34" t="s">
        <v>717</v>
      </c>
      <c r="O95" s="34" t="s">
        <v>717</v>
      </c>
      <c r="P95" s="34" t="s">
        <v>1486</v>
      </c>
      <c r="Q95" s="34" t="s">
        <v>1486</v>
      </c>
      <c r="R95" s="34" t="s">
        <v>1489</v>
      </c>
      <c r="S95" s="34" t="s">
        <v>1489</v>
      </c>
      <c r="T95" s="34" t="s">
        <v>750</v>
      </c>
      <c r="U95" s="34" t="s">
        <v>750</v>
      </c>
      <c r="V95" s="37">
        <v>18.62</v>
      </c>
      <c r="W95" s="45">
        <v>4156.1400000000003</v>
      </c>
      <c r="X95" s="37">
        <v>22220.84</v>
      </c>
      <c r="Y95" s="36">
        <v>43864</v>
      </c>
      <c r="Z95" s="34" t="s">
        <v>1448</v>
      </c>
    </row>
    <row r="96" spans="1:26" x14ac:dyDescent="0.25">
      <c r="A96" s="34" t="s">
        <v>1441</v>
      </c>
      <c r="B96" s="34" t="s">
        <v>1442</v>
      </c>
      <c r="C96" s="34" t="s">
        <v>16</v>
      </c>
      <c r="D96" s="34" t="s">
        <v>15</v>
      </c>
      <c r="E96" s="35">
        <v>30040772</v>
      </c>
      <c r="F96" s="34" t="s">
        <v>751</v>
      </c>
      <c r="G96" s="39">
        <v>10026250</v>
      </c>
      <c r="H96" s="42">
        <v>30040772</v>
      </c>
      <c r="I96" s="34" t="s">
        <v>120</v>
      </c>
      <c r="J96" s="34" t="s">
        <v>1443</v>
      </c>
      <c r="K96" s="36">
        <v>38761</v>
      </c>
      <c r="L96" s="34" t="s">
        <v>1444</v>
      </c>
      <c r="M96" s="34" t="s">
        <v>1445</v>
      </c>
      <c r="N96" s="34" t="s">
        <v>717</v>
      </c>
      <c r="O96" s="34" t="s">
        <v>717</v>
      </c>
      <c r="P96" s="34" t="s">
        <v>1446</v>
      </c>
      <c r="Q96" s="34" t="s">
        <v>1446</v>
      </c>
      <c r="R96" s="34" t="s">
        <v>1447</v>
      </c>
      <c r="S96" s="34" t="s">
        <v>1447</v>
      </c>
      <c r="T96" s="34" t="s">
        <v>751</v>
      </c>
      <c r="U96" s="34" t="s">
        <v>751</v>
      </c>
      <c r="V96" s="37">
        <v>17.73</v>
      </c>
      <c r="W96" s="45">
        <v>3957.48</v>
      </c>
      <c r="X96" s="37">
        <v>22220.81</v>
      </c>
      <c r="Y96" s="36">
        <v>43864</v>
      </c>
      <c r="Z96" s="34" t="s">
        <v>1448</v>
      </c>
    </row>
    <row r="97" spans="1:26" x14ac:dyDescent="0.25">
      <c r="A97" s="34" t="s">
        <v>1441</v>
      </c>
      <c r="B97" s="34" t="s">
        <v>1442</v>
      </c>
      <c r="C97" s="34" t="s">
        <v>16</v>
      </c>
      <c r="D97" s="34" t="s">
        <v>15</v>
      </c>
      <c r="E97" s="35">
        <v>30040773</v>
      </c>
      <c r="F97" s="34" t="s">
        <v>751</v>
      </c>
      <c r="G97" s="39">
        <v>10026253</v>
      </c>
      <c r="H97" s="42">
        <v>30040773</v>
      </c>
      <c r="I97" s="34" t="s">
        <v>121</v>
      </c>
      <c r="J97" s="34" t="s">
        <v>1443</v>
      </c>
      <c r="K97" s="36">
        <v>38761</v>
      </c>
      <c r="L97" s="34" t="s">
        <v>1444</v>
      </c>
      <c r="M97" s="34" t="s">
        <v>1445</v>
      </c>
      <c r="N97" s="34" t="s">
        <v>717</v>
      </c>
      <c r="O97" s="34" t="s">
        <v>717</v>
      </c>
      <c r="P97" s="34" t="s">
        <v>1446</v>
      </c>
      <c r="Q97" s="34" t="s">
        <v>1446</v>
      </c>
      <c r="R97" s="34" t="s">
        <v>1447</v>
      </c>
      <c r="S97" s="34" t="s">
        <v>1447</v>
      </c>
      <c r="T97" s="34" t="s">
        <v>751</v>
      </c>
      <c r="U97" s="34" t="s">
        <v>751</v>
      </c>
      <c r="V97" s="37">
        <v>17.73</v>
      </c>
      <c r="W97" s="45">
        <v>3957.48</v>
      </c>
      <c r="X97" s="37">
        <v>22220.81</v>
      </c>
      <c r="Y97" s="36">
        <v>43864</v>
      </c>
      <c r="Z97" s="34" t="s">
        <v>1448</v>
      </c>
    </row>
    <row r="98" spans="1:26" x14ac:dyDescent="0.25">
      <c r="A98" s="34" t="s">
        <v>1441</v>
      </c>
      <c r="B98" s="34" t="s">
        <v>1442</v>
      </c>
      <c r="C98" s="34" t="s">
        <v>6</v>
      </c>
      <c r="D98" s="34" t="s">
        <v>15</v>
      </c>
      <c r="E98" s="35">
        <v>30040774</v>
      </c>
      <c r="F98" s="34" t="s">
        <v>751</v>
      </c>
      <c r="G98" s="39">
        <v>10026258</v>
      </c>
      <c r="H98" s="42">
        <v>30040774</v>
      </c>
      <c r="I98" s="34" t="s">
        <v>122</v>
      </c>
      <c r="J98" s="34" t="s">
        <v>1443</v>
      </c>
      <c r="K98" s="36">
        <v>38761</v>
      </c>
      <c r="L98" s="34" t="s">
        <v>1444</v>
      </c>
      <c r="M98" s="34" t="s">
        <v>1445</v>
      </c>
      <c r="N98" s="34" t="s">
        <v>717</v>
      </c>
      <c r="O98" s="34" t="s">
        <v>717</v>
      </c>
      <c r="P98" s="34" t="s">
        <v>1459</v>
      </c>
      <c r="Q98" s="34" t="s">
        <v>1446</v>
      </c>
      <c r="R98" s="34" t="s">
        <v>1447</v>
      </c>
      <c r="S98" s="34" t="s">
        <v>1447</v>
      </c>
      <c r="T98" s="34" t="s">
        <v>751</v>
      </c>
      <c r="U98" s="34" t="s">
        <v>751</v>
      </c>
      <c r="V98" s="37">
        <v>17.73</v>
      </c>
      <c r="W98" s="45">
        <v>3957.48</v>
      </c>
      <c r="X98" s="37">
        <v>22220.81</v>
      </c>
      <c r="Y98" s="36">
        <v>43864</v>
      </c>
      <c r="Z98" s="34" t="s">
        <v>1448</v>
      </c>
    </row>
    <row r="99" spans="1:26" x14ac:dyDescent="0.25">
      <c r="A99" s="34" t="s">
        <v>1441</v>
      </c>
      <c r="B99" s="34" t="s">
        <v>1442</v>
      </c>
      <c r="C99" s="34" t="s">
        <v>16</v>
      </c>
      <c r="D99" s="34" t="s">
        <v>15</v>
      </c>
      <c r="E99" s="35">
        <v>30040775</v>
      </c>
      <c r="F99" s="34" t="s">
        <v>762</v>
      </c>
      <c r="G99" s="39">
        <v>10026295</v>
      </c>
      <c r="H99" s="42">
        <v>30040775</v>
      </c>
      <c r="I99" s="34" t="s">
        <v>123</v>
      </c>
      <c r="J99" s="34" t="s">
        <v>1443</v>
      </c>
      <c r="K99" s="36">
        <v>38782</v>
      </c>
      <c r="L99" s="34" t="s">
        <v>1444</v>
      </c>
      <c r="M99" s="34" t="s">
        <v>1445</v>
      </c>
      <c r="N99" s="34" t="s">
        <v>717</v>
      </c>
      <c r="O99" s="34" t="s">
        <v>717</v>
      </c>
      <c r="P99" s="34" t="s">
        <v>1490</v>
      </c>
      <c r="Q99" s="34" t="s">
        <v>1490</v>
      </c>
      <c r="R99" s="34" t="s">
        <v>1491</v>
      </c>
      <c r="S99" s="34" t="s">
        <v>1491</v>
      </c>
      <c r="T99" s="34" t="s">
        <v>762</v>
      </c>
      <c r="U99" s="34" t="s">
        <v>762</v>
      </c>
      <c r="V99" s="37">
        <v>11.43</v>
      </c>
      <c r="W99" s="45">
        <v>2551.27</v>
      </c>
      <c r="X99" s="37">
        <v>22220.82</v>
      </c>
      <c r="Y99" s="36">
        <v>43864</v>
      </c>
      <c r="Z99" s="34" t="s">
        <v>1448</v>
      </c>
    </row>
    <row r="100" spans="1:26" x14ac:dyDescent="0.25">
      <c r="A100" s="34" t="s">
        <v>1441</v>
      </c>
      <c r="B100" s="34" t="s">
        <v>1442</v>
      </c>
      <c r="C100" s="34" t="s">
        <v>16</v>
      </c>
      <c r="D100" s="34" t="s">
        <v>15</v>
      </c>
      <c r="E100" s="35">
        <v>30040776</v>
      </c>
      <c r="F100" s="34" t="s">
        <v>751</v>
      </c>
      <c r="G100" s="39">
        <v>10026336</v>
      </c>
      <c r="H100" s="42">
        <v>30040776</v>
      </c>
      <c r="I100" s="34" t="s">
        <v>124</v>
      </c>
      <c r="J100" s="34" t="s">
        <v>1443</v>
      </c>
      <c r="K100" s="36">
        <v>38796</v>
      </c>
      <c r="L100" s="34" t="s">
        <v>1444</v>
      </c>
      <c r="M100" s="34" t="s">
        <v>1445</v>
      </c>
      <c r="N100" s="34" t="s">
        <v>717</v>
      </c>
      <c r="O100" s="34" t="s">
        <v>717</v>
      </c>
      <c r="P100" s="34" t="s">
        <v>1446</v>
      </c>
      <c r="Q100" s="34" t="s">
        <v>1446</v>
      </c>
      <c r="R100" s="34" t="s">
        <v>1451</v>
      </c>
      <c r="S100" s="34" t="s">
        <v>1451</v>
      </c>
      <c r="T100" s="34" t="s">
        <v>751</v>
      </c>
      <c r="U100" s="34" t="s">
        <v>751</v>
      </c>
      <c r="V100" s="37">
        <v>17.73</v>
      </c>
      <c r="W100" s="45">
        <v>3957.48</v>
      </c>
      <c r="X100" s="37">
        <v>22220.81</v>
      </c>
      <c r="Y100" s="36">
        <v>43864</v>
      </c>
      <c r="Z100" s="34" t="s">
        <v>1448</v>
      </c>
    </row>
    <row r="101" spans="1:26" x14ac:dyDescent="0.25">
      <c r="A101" s="34" t="s">
        <v>1441</v>
      </c>
      <c r="B101" s="34" t="s">
        <v>1442</v>
      </c>
      <c r="C101" s="34" t="s">
        <v>16</v>
      </c>
      <c r="D101" s="34" t="s">
        <v>15</v>
      </c>
      <c r="E101" s="35">
        <v>30041344</v>
      </c>
      <c r="F101" s="34" t="s">
        <v>761</v>
      </c>
      <c r="G101" s="39">
        <v>10026341</v>
      </c>
      <c r="H101" s="42">
        <v>30041344</v>
      </c>
      <c r="I101" s="34" t="s">
        <v>125</v>
      </c>
      <c r="J101" s="34" t="s">
        <v>1443</v>
      </c>
      <c r="K101" s="36">
        <v>38796</v>
      </c>
      <c r="L101" s="34" t="s">
        <v>1444</v>
      </c>
      <c r="M101" s="34" t="s">
        <v>1445</v>
      </c>
      <c r="N101" s="34" t="s">
        <v>717</v>
      </c>
      <c r="O101" s="34" t="s">
        <v>717</v>
      </c>
      <c r="P101" s="34" t="s">
        <v>1492</v>
      </c>
      <c r="Q101" s="34" t="s">
        <v>1492</v>
      </c>
      <c r="R101" s="34" t="s">
        <v>1493</v>
      </c>
      <c r="S101" s="34" t="s">
        <v>1493</v>
      </c>
      <c r="T101" s="34" t="s">
        <v>761</v>
      </c>
      <c r="U101" s="34" t="s">
        <v>761</v>
      </c>
      <c r="V101" s="37">
        <v>11.43</v>
      </c>
      <c r="W101" s="45">
        <v>2551.27</v>
      </c>
      <c r="X101" s="37">
        <v>22220.82</v>
      </c>
      <c r="Y101" s="36">
        <v>43864</v>
      </c>
      <c r="Z101" s="34" t="s">
        <v>1448</v>
      </c>
    </row>
    <row r="102" spans="1:26" x14ac:dyDescent="0.25">
      <c r="A102" s="34" t="s">
        <v>1441</v>
      </c>
      <c r="B102" s="34" t="s">
        <v>1442</v>
      </c>
      <c r="C102" s="34" t="s">
        <v>16</v>
      </c>
      <c r="D102" s="34" t="s">
        <v>15</v>
      </c>
      <c r="E102" s="35">
        <v>30040778</v>
      </c>
      <c r="F102" s="34" t="s">
        <v>762</v>
      </c>
      <c r="G102" s="39">
        <v>10026342</v>
      </c>
      <c r="H102" s="42">
        <v>30040778</v>
      </c>
      <c r="I102" s="34" t="s">
        <v>126</v>
      </c>
      <c r="J102" s="34" t="s">
        <v>1443</v>
      </c>
      <c r="K102" s="36">
        <v>38796</v>
      </c>
      <c r="L102" s="34" t="s">
        <v>1444</v>
      </c>
      <c r="M102" s="34" t="s">
        <v>1445</v>
      </c>
      <c r="N102" s="34" t="s">
        <v>717</v>
      </c>
      <c r="O102" s="34" t="s">
        <v>717</v>
      </c>
      <c r="P102" s="34" t="s">
        <v>1490</v>
      </c>
      <c r="Q102" s="34" t="s">
        <v>1490</v>
      </c>
      <c r="R102" s="34" t="s">
        <v>1491</v>
      </c>
      <c r="S102" s="34" t="s">
        <v>1491</v>
      </c>
      <c r="T102" s="34" t="s">
        <v>762</v>
      </c>
      <c r="U102" s="34" t="s">
        <v>762</v>
      </c>
      <c r="V102" s="37">
        <v>11.43</v>
      </c>
      <c r="W102" s="45">
        <v>2551.27</v>
      </c>
      <c r="X102" s="37">
        <v>22220.82</v>
      </c>
      <c r="Y102" s="36">
        <v>43864</v>
      </c>
      <c r="Z102" s="34" t="s">
        <v>1448</v>
      </c>
    </row>
    <row r="103" spans="1:26" x14ac:dyDescent="0.25">
      <c r="A103" s="34" t="s">
        <v>1441</v>
      </c>
      <c r="B103" s="34" t="s">
        <v>1442</v>
      </c>
      <c r="C103" s="34" t="s">
        <v>16</v>
      </c>
      <c r="D103" s="34" t="s">
        <v>15</v>
      </c>
      <c r="E103" s="35">
        <v>30040779</v>
      </c>
      <c r="F103" s="34" t="s">
        <v>21</v>
      </c>
      <c r="G103" s="39">
        <v>10026366</v>
      </c>
      <c r="H103" s="42">
        <v>30040779</v>
      </c>
      <c r="I103" s="34" t="s">
        <v>127</v>
      </c>
      <c r="J103" s="34" t="s">
        <v>1443</v>
      </c>
      <c r="K103" s="36">
        <v>38810</v>
      </c>
      <c r="L103" s="34" t="s">
        <v>1444</v>
      </c>
      <c r="M103" s="34" t="s">
        <v>1445</v>
      </c>
      <c r="N103" s="34" t="s">
        <v>717</v>
      </c>
      <c r="O103" s="34" t="s">
        <v>717</v>
      </c>
      <c r="P103" s="34" t="s">
        <v>1462</v>
      </c>
      <c r="Q103" s="34" t="s">
        <v>1462</v>
      </c>
      <c r="R103" s="34" t="s">
        <v>1463</v>
      </c>
      <c r="S103" s="34" t="s">
        <v>1463</v>
      </c>
      <c r="T103" s="34" t="s">
        <v>21</v>
      </c>
      <c r="U103" s="34" t="s">
        <v>21</v>
      </c>
      <c r="V103" s="37">
        <v>11.71</v>
      </c>
      <c r="W103" s="45">
        <v>2613.77</v>
      </c>
      <c r="X103" s="37">
        <v>22220.84</v>
      </c>
      <c r="Y103" s="36">
        <v>43864</v>
      </c>
      <c r="Z103" s="34" t="s">
        <v>1448</v>
      </c>
    </row>
    <row r="104" spans="1:26" x14ac:dyDescent="0.25">
      <c r="A104" s="34" t="s">
        <v>1441</v>
      </c>
      <c r="B104" s="34" t="s">
        <v>1442</v>
      </c>
      <c r="C104" s="34" t="s">
        <v>16</v>
      </c>
      <c r="D104" s="34" t="s">
        <v>15</v>
      </c>
      <c r="E104" s="35">
        <v>30040780</v>
      </c>
      <c r="F104" s="34" t="s">
        <v>21</v>
      </c>
      <c r="G104" s="39">
        <v>10026392</v>
      </c>
      <c r="H104" s="42">
        <v>30040780</v>
      </c>
      <c r="I104" s="34" t="s">
        <v>128</v>
      </c>
      <c r="J104" s="34" t="s">
        <v>1443</v>
      </c>
      <c r="K104" s="36">
        <v>38810</v>
      </c>
      <c r="L104" s="34" t="s">
        <v>1444</v>
      </c>
      <c r="M104" s="34" t="s">
        <v>1445</v>
      </c>
      <c r="N104" s="34" t="s">
        <v>717</v>
      </c>
      <c r="O104" s="34" t="s">
        <v>717</v>
      </c>
      <c r="P104" s="34" t="s">
        <v>1462</v>
      </c>
      <c r="Q104" s="34" t="s">
        <v>1462</v>
      </c>
      <c r="R104" s="34" t="s">
        <v>1463</v>
      </c>
      <c r="S104" s="34" t="s">
        <v>1463</v>
      </c>
      <c r="T104" s="34" t="s">
        <v>21</v>
      </c>
      <c r="U104" s="34" t="s">
        <v>21</v>
      </c>
      <c r="V104" s="37">
        <v>11.71</v>
      </c>
      <c r="W104" s="45">
        <v>2613.77</v>
      </c>
      <c r="X104" s="37">
        <v>22220.84</v>
      </c>
      <c r="Y104" s="36">
        <v>43864</v>
      </c>
      <c r="Z104" s="34" t="s">
        <v>1448</v>
      </c>
    </row>
    <row r="105" spans="1:26" x14ac:dyDescent="0.25">
      <c r="A105" s="34" t="s">
        <v>1441</v>
      </c>
      <c r="B105" s="34" t="s">
        <v>1442</v>
      </c>
      <c r="C105" s="34" t="s">
        <v>16</v>
      </c>
      <c r="D105" s="34" t="s">
        <v>15</v>
      </c>
      <c r="E105" s="35">
        <v>30040781</v>
      </c>
      <c r="F105" s="34" t="s">
        <v>751</v>
      </c>
      <c r="G105" s="39">
        <v>10026413</v>
      </c>
      <c r="H105" s="42">
        <v>30040781</v>
      </c>
      <c r="I105" s="34" t="s">
        <v>129</v>
      </c>
      <c r="J105" s="34" t="s">
        <v>1443</v>
      </c>
      <c r="K105" s="36">
        <v>38812</v>
      </c>
      <c r="L105" s="34" t="s">
        <v>1444</v>
      </c>
      <c r="M105" s="34" t="s">
        <v>1445</v>
      </c>
      <c r="N105" s="34" t="s">
        <v>717</v>
      </c>
      <c r="O105" s="34" t="s">
        <v>717</v>
      </c>
      <c r="P105" s="34" t="s">
        <v>1446</v>
      </c>
      <c r="Q105" s="34" t="s">
        <v>1446</v>
      </c>
      <c r="R105" s="34" t="s">
        <v>1447</v>
      </c>
      <c r="S105" s="34" t="s">
        <v>1447</v>
      </c>
      <c r="T105" s="34" t="s">
        <v>751</v>
      </c>
      <c r="U105" s="34" t="s">
        <v>751</v>
      </c>
      <c r="V105" s="37">
        <v>17.73</v>
      </c>
      <c r="W105" s="45">
        <v>3957.48</v>
      </c>
      <c r="X105" s="37">
        <v>22220.81</v>
      </c>
      <c r="Y105" s="36">
        <v>43864</v>
      </c>
      <c r="Z105" s="34" t="s">
        <v>1448</v>
      </c>
    </row>
    <row r="106" spans="1:26" x14ac:dyDescent="0.25">
      <c r="A106" s="34" t="s">
        <v>1441</v>
      </c>
      <c r="B106" s="34" t="s">
        <v>1442</v>
      </c>
      <c r="C106" s="34" t="s">
        <v>16</v>
      </c>
      <c r="D106" s="34" t="s">
        <v>15</v>
      </c>
      <c r="E106" s="35">
        <v>30040782</v>
      </c>
      <c r="F106" s="34" t="s">
        <v>20</v>
      </c>
      <c r="G106" s="39">
        <v>10026422</v>
      </c>
      <c r="H106" s="42">
        <v>30040782</v>
      </c>
      <c r="I106" s="34" t="s">
        <v>130</v>
      </c>
      <c r="J106" s="34" t="s">
        <v>1443</v>
      </c>
      <c r="K106" s="36">
        <v>38817</v>
      </c>
      <c r="L106" s="34" t="s">
        <v>1444</v>
      </c>
      <c r="M106" s="34" t="s">
        <v>1445</v>
      </c>
      <c r="N106" s="34" t="s">
        <v>717</v>
      </c>
      <c r="O106" s="34" t="s">
        <v>717</v>
      </c>
      <c r="P106" s="34" t="s">
        <v>1470</v>
      </c>
      <c r="Q106" s="34" t="s">
        <v>1470</v>
      </c>
      <c r="R106" s="34" t="s">
        <v>1471</v>
      </c>
      <c r="S106" s="34" t="s">
        <v>1471</v>
      </c>
      <c r="T106" s="34" t="s">
        <v>20</v>
      </c>
      <c r="U106" s="34" t="s">
        <v>20</v>
      </c>
      <c r="V106" s="37">
        <v>17.73</v>
      </c>
      <c r="W106" s="45">
        <v>3957.48</v>
      </c>
      <c r="X106" s="37">
        <v>22220.81</v>
      </c>
      <c r="Y106" s="36">
        <v>43864</v>
      </c>
      <c r="Z106" s="34" t="s">
        <v>1448</v>
      </c>
    </row>
    <row r="107" spans="1:26" x14ac:dyDescent="0.25">
      <c r="A107" s="34" t="s">
        <v>1441</v>
      </c>
      <c r="B107" s="34" t="s">
        <v>1442</v>
      </c>
      <c r="C107" s="34" t="s">
        <v>16</v>
      </c>
      <c r="D107" s="34" t="s">
        <v>15</v>
      </c>
      <c r="E107" s="35">
        <v>30040783</v>
      </c>
      <c r="F107" s="34" t="s">
        <v>759</v>
      </c>
      <c r="G107" s="39">
        <v>10026431</v>
      </c>
      <c r="H107" s="42">
        <v>30040783</v>
      </c>
      <c r="I107" s="34" t="s">
        <v>131</v>
      </c>
      <c r="J107" s="34" t="s">
        <v>1443</v>
      </c>
      <c r="K107" s="36">
        <v>38817</v>
      </c>
      <c r="L107" s="34" t="s">
        <v>1444</v>
      </c>
      <c r="M107" s="34" t="s">
        <v>1445</v>
      </c>
      <c r="N107" s="34" t="s">
        <v>717</v>
      </c>
      <c r="O107" s="34" t="s">
        <v>717</v>
      </c>
      <c r="P107" s="34" t="s">
        <v>1466</v>
      </c>
      <c r="Q107" s="34" t="s">
        <v>1466</v>
      </c>
      <c r="R107" s="34" t="s">
        <v>1467</v>
      </c>
      <c r="S107" s="34" t="s">
        <v>1467</v>
      </c>
      <c r="T107" s="34" t="s">
        <v>759</v>
      </c>
      <c r="U107" s="34" t="s">
        <v>759</v>
      </c>
      <c r="V107" s="37">
        <v>12.56</v>
      </c>
      <c r="W107" s="45">
        <v>2803.5</v>
      </c>
      <c r="X107" s="37">
        <v>22220.86</v>
      </c>
      <c r="Y107" s="36">
        <v>43864</v>
      </c>
      <c r="Z107" s="34" t="s">
        <v>1448</v>
      </c>
    </row>
    <row r="108" spans="1:26" x14ac:dyDescent="0.25">
      <c r="A108" s="34" t="s">
        <v>1441</v>
      </c>
      <c r="B108" s="34" t="s">
        <v>1442</v>
      </c>
      <c r="C108" s="34" t="s">
        <v>16</v>
      </c>
      <c r="D108" s="34" t="s">
        <v>15</v>
      </c>
      <c r="E108" s="35">
        <v>30040784</v>
      </c>
      <c r="F108" s="34" t="s">
        <v>751</v>
      </c>
      <c r="G108" s="39">
        <v>10026466</v>
      </c>
      <c r="H108" s="42">
        <v>30040784</v>
      </c>
      <c r="I108" s="34" t="s">
        <v>132</v>
      </c>
      <c r="J108" s="34" t="s">
        <v>1443</v>
      </c>
      <c r="K108" s="36">
        <v>38824</v>
      </c>
      <c r="L108" s="34" t="s">
        <v>1444</v>
      </c>
      <c r="M108" s="34" t="s">
        <v>1445</v>
      </c>
      <c r="N108" s="34" t="s">
        <v>717</v>
      </c>
      <c r="O108" s="34" t="s">
        <v>717</v>
      </c>
      <c r="P108" s="34" t="s">
        <v>1486</v>
      </c>
      <c r="Q108" s="34" t="s">
        <v>1486</v>
      </c>
      <c r="R108" s="34" t="s">
        <v>1487</v>
      </c>
      <c r="S108" s="34" t="s">
        <v>1487</v>
      </c>
      <c r="T108" s="34" t="s">
        <v>751</v>
      </c>
      <c r="U108" s="34" t="s">
        <v>751</v>
      </c>
      <c r="V108" s="37">
        <v>17.73</v>
      </c>
      <c r="W108" s="45">
        <v>3957.48</v>
      </c>
      <c r="X108" s="37">
        <v>22220.81</v>
      </c>
      <c r="Y108" s="36">
        <v>43864</v>
      </c>
      <c r="Z108" s="34" t="s">
        <v>1448</v>
      </c>
    </row>
    <row r="109" spans="1:26" x14ac:dyDescent="0.25">
      <c r="A109" s="34" t="s">
        <v>1441</v>
      </c>
      <c r="B109" s="34" t="s">
        <v>1442</v>
      </c>
      <c r="C109" s="34" t="s">
        <v>16</v>
      </c>
      <c r="D109" s="34" t="s">
        <v>15</v>
      </c>
      <c r="E109" s="35">
        <v>30040785</v>
      </c>
      <c r="F109" s="34" t="s">
        <v>751</v>
      </c>
      <c r="G109" s="39">
        <v>10026516</v>
      </c>
      <c r="H109" s="42">
        <v>30040785</v>
      </c>
      <c r="I109" s="34" t="s">
        <v>133</v>
      </c>
      <c r="J109" s="34" t="s">
        <v>1443</v>
      </c>
      <c r="K109" s="36">
        <v>38845</v>
      </c>
      <c r="L109" s="34" t="s">
        <v>1444</v>
      </c>
      <c r="M109" s="34" t="s">
        <v>1445</v>
      </c>
      <c r="N109" s="34" t="s">
        <v>717</v>
      </c>
      <c r="O109" s="34" t="s">
        <v>717</v>
      </c>
      <c r="P109" s="34" t="s">
        <v>1446</v>
      </c>
      <c r="Q109" s="34" t="s">
        <v>1446</v>
      </c>
      <c r="R109" s="34" t="s">
        <v>1447</v>
      </c>
      <c r="S109" s="34" t="s">
        <v>1447</v>
      </c>
      <c r="T109" s="34" t="s">
        <v>751</v>
      </c>
      <c r="U109" s="34" t="s">
        <v>751</v>
      </c>
      <c r="V109" s="37">
        <v>17.73</v>
      </c>
      <c r="W109" s="45">
        <v>3957.48</v>
      </c>
      <c r="X109" s="37">
        <v>22220.81</v>
      </c>
      <c r="Y109" s="36">
        <v>43864</v>
      </c>
      <c r="Z109" s="34" t="s">
        <v>1448</v>
      </c>
    </row>
    <row r="110" spans="1:26" x14ac:dyDescent="0.25">
      <c r="A110" s="34" t="s">
        <v>1441</v>
      </c>
      <c r="B110" s="34" t="s">
        <v>1442</v>
      </c>
      <c r="C110" s="34" t="s">
        <v>16</v>
      </c>
      <c r="D110" s="34" t="s">
        <v>15</v>
      </c>
      <c r="E110" s="35">
        <v>30040786</v>
      </c>
      <c r="F110" s="34" t="s">
        <v>751</v>
      </c>
      <c r="G110" s="39">
        <v>10026557</v>
      </c>
      <c r="H110" s="42">
        <v>30040786</v>
      </c>
      <c r="I110" s="34" t="s">
        <v>134</v>
      </c>
      <c r="J110" s="34" t="s">
        <v>1443</v>
      </c>
      <c r="K110" s="36">
        <v>38873</v>
      </c>
      <c r="L110" s="34" t="s">
        <v>1444</v>
      </c>
      <c r="M110" s="34" t="s">
        <v>1445</v>
      </c>
      <c r="N110" s="34" t="s">
        <v>717</v>
      </c>
      <c r="O110" s="34" t="s">
        <v>717</v>
      </c>
      <c r="P110" s="34" t="s">
        <v>1486</v>
      </c>
      <c r="Q110" s="34" t="s">
        <v>1486</v>
      </c>
      <c r="R110" s="34" t="s">
        <v>1488</v>
      </c>
      <c r="S110" s="34" t="s">
        <v>1488</v>
      </c>
      <c r="T110" s="34" t="s">
        <v>751</v>
      </c>
      <c r="U110" s="34" t="s">
        <v>751</v>
      </c>
      <c r="V110" s="37">
        <v>17.73</v>
      </c>
      <c r="W110" s="45">
        <v>3957.48</v>
      </c>
      <c r="X110" s="37">
        <v>22220.81</v>
      </c>
      <c r="Y110" s="36">
        <v>43864</v>
      </c>
      <c r="Z110" s="34" t="s">
        <v>1448</v>
      </c>
    </row>
    <row r="111" spans="1:26" x14ac:dyDescent="0.25">
      <c r="A111" s="34" t="s">
        <v>1441</v>
      </c>
      <c r="B111" s="34" t="s">
        <v>1442</v>
      </c>
      <c r="C111" s="34" t="s">
        <v>16</v>
      </c>
      <c r="D111" s="34" t="s">
        <v>15</v>
      </c>
      <c r="E111" s="35">
        <v>30040787</v>
      </c>
      <c r="F111" s="34" t="s">
        <v>751</v>
      </c>
      <c r="G111" s="39">
        <v>10026558</v>
      </c>
      <c r="H111" s="42">
        <v>30040787</v>
      </c>
      <c r="I111" s="34" t="s">
        <v>135</v>
      </c>
      <c r="J111" s="34" t="s">
        <v>1443</v>
      </c>
      <c r="K111" s="36">
        <v>38873</v>
      </c>
      <c r="L111" s="34" t="s">
        <v>1444</v>
      </c>
      <c r="M111" s="34" t="s">
        <v>1445</v>
      </c>
      <c r="N111" s="34" t="s">
        <v>717</v>
      </c>
      <c r="O111" s="34" t="s">
        <v>717</v>
      </c>
      <c r="P111" s="34" t="s">
        <v>1446</v>
      </c>
      <c r="Q111" s="34" t="s">
        <v>1446</v>
      </c>
      <c r="R111" s="34" t="s">
        <v>1451</v>
      </c>
      <c r="S111" s="34" t="s">
        <v>1451</v>
      </c>
      <c r="T111" s="34" t="s">
        <v>751</v>
      </c>
      <c r="U111" s="34" t="s">
        <v>751</v>
      </c>
      <c r="V111" s="37">
        <v>17.739999999999998</v>
      </c>
      <c r="W111" s="45">
        <v>3959.72</v>
      </c>
      <c r="X111" s="37">
        <v>22220.86</v>
      </c>
      <c r="Y111" s="36">
        <v>43864</v>
      </c>
      <c r="Z111" s="34" t="s">
        <v>1448</v>
      </c>
    </row>
    <row r="112" spans="1:26" x14ac:dyDescent="0.25">
      <c r="A112" s="34" t="s">
        <v>1441</v>
      </c>
      <c r="B112" s="34" t="s">
        <v>1442</v>
      </c>
      <c r="C112" s="34" t="s">
        <v>16</v>
      </c>
      <c r="D112" s="34" t="s">
        <v>15</v>
      </c>
      <c r="E112" s="35">
        <v>30040788</v>
      </c>
      <c r="F112" s="34" t="s">
        <v>758</v>
      </c>
      <c r="G112" s="39">
        <v>10026569</v>
      </c>
      <c r="H112" s="42">
        <v>30040788</v>
      </c>
      <c r="I112" s="34" t="s">
        <v>136</v>
      </c>
      <c r="J112" s="34" t="s">
        <v>1443</v>
      </c>
      <c r="K112" s="36">
        <v>38873</v>
      </c>
      <c r="L112" s="34" t="s">
        <v>1444</v>
      </c>
      <c r="M112" s="34" t="s">
        <v>1445</v>
      </c>
      <c r="N112" s="34" t="s">
        <v>717</v>
      </c>
      <c r="O112" s="34" t="s">
        <v>717</v>
      </c>
      <c r="P112" s="34" t="s">
        <v>1449</v>
      </c>
      <c r="Q112" s="34" t="s">
        <v>1449</v>
      </c>
      <c r="R112" s="34" t="s">
        <v>1450</v>
      </c>
      <c r="S112" s="34" t="s">
        <v>1450</v>
      </c>
      <c r="T112" s="34" t="s">
        <v>758</v>
      </c>
      <c r="U112" s="34" t="s">
        <v>758</v>
      </c>
      <c r="V112" s="37">
        <v>14.48</v>
      </c>
      <c r="W112" s="45">
        <v>3232.06</v>
      </c>
      <c r="X112" s="37">
        <v>22220.86</v>
      </c>
      <c r="Y112" s="36">
        <v>43864</v>
      </c>
      <c r="Z112" s="34" t="s">
        <v>1448</v>
      </c>
    </row>
    <row r="113" spans="1:26" x14ac:dyDescent="0.25">
      <c r="A113" s="34" t="s">
        <v>1441</v>
      </c>
      <c r="B113" s="34" t="s">
        <v>1442</v>
      </c>
      <c r="C113" s="34" t="s">
        <v>16</v>
      </c>
      <c r="D113" s="34" t="s">
        <v>15</v>
      </c>
      <c r="E113" s="35">
        <v>30040789</v>
      </c>
      <c r="F113" s="34" t="s">
        <v>751</v>
      </c>
      <c r="G113" s="39">
        <v>10026577</v>
      </c>
      <c r="H113" s="42">
        <v>30040789</v>
      </c>
      <c r="I113" s="34" t="s">
        <v>137</v>
      </c>
      <c r="J113" s="34" t="s">
        <v>1443</v>
      </c>
      <c r="K113" s="36">
        <v>38874</v>
      </c>
      <c r="L113" s="34" t="s">
        <v>1444</v>
      </c>
      <c r="M113" s="34" t="s">
        <v>1445</v>
      </c>
      <c r="N113" s="34" t="s">
        <v>717</v>
      </c>
      <c r="O113" s="34" t="s">
        <v>717</v>
      </c>
      <c r="P113" s="34" t="s">
        <v>1446</v>
      </c>
      <c r="Q113" s="34" t="s">
        <v>1446</v>
      </c>
      <c r="R113" s="34" t="s">
        <v>1447</v>
      </c>
      <c r="S113" s="34" t="s">
        <v>1447</v>
      </c>
      <c r="T113" s="34" t="s">
        <v>751</v>
      </c>
      <c r="U113" s="34" t="s">
        <v>751</v>
      </c>
      <c r="V113" s="37">
        <v>17.73</v>
      </c>
      <c r="W113" s="45">
        <v>3957.48</v>
      </c>
      <c r="X113" s="37">
        <v>22220.81</v>
      </c>
      <c r="Y113" s="36">
        <v>43864</v>
      </c>
      <c r="Z113" s="34" t="s">
        <v>1448</v>
      </c>
    </row>
    <row r="114" spans="1:26" x14ac:dyDescent="0.25">
      <c r="A114" s="34" t="s">
        <v>1441</v>
      </c>
      <c r="B114" s="34" t="s">
        <v>1442</v>
      </c>
      <c r="C114" s="34" t="s">
        <v>16</v>
      </c>
      <c r="D114" s="34" t="s">
        <v>15</v>
      </c>
      <c r="E114" s="35">
        <v>30040790</v>
      </c>
      <c r="F114" s="34" t="s">
        <v>751</v>
      </c>
      <c r="G114" s="39">
        <v>10026611</v>
      </c>
      <c r="H114" s="42">
        <v>30040790</v>
      </c>
      <c r="I114" s="34" t="s">
        <v>138</v>
      </c>
      <c r="J114" s="34" t="s">
        <v>1443</v>
      </c>
      <c r="K114" s="36">
        <v>38880</v>
      </c>
      <c r="L114" s="34" t="s">
        <v>1444</v>
      </c>
      <c r="M114" s="34" t="s">
        <v>1445</v>
      </c>
      <c r="N114" s="34" t="s">
        <v>717</v>
      </c>
      <c r="O114" s="34" t="s">
        <v>717</v>
      </c>
      <c r="P114" s="34" t="s">
        <v>1446</v>
      </c>
      <c r="Q114" s="34" t="s">
        <v>1446</v>
      </c>
      <c r="R114" s="34" t="s">
        <v>1451</v>
      </c>
      <c r="S114" s="34" t="s">
        <v>1451</v>
      </c>
      <c r="T114" s="34" t="s">
        <v>751</v>
      </c>
      <c r="U114" s="34" t="s">
        <v>751</v>
      </c>
      <c r="V114" s="37">
        <v>17.73</v>
      </c>
      <c r="W114" s="45">
        <v>3957.48</v>
      </c>
      <c r="X114" s="37">
        <v>22220.81</v>
      </c>
      <c r="Y114" s="36">
        <v>43864</v>
      </c>
      <c r="Z114" s="34" t="s">
        <v>1448</v>
      </c>
    </row>
    <row r="115" spans="1:26" x14ac:dyDescent="0.25">
      <c r="A115" s="34" t="s">
        <v>1441</v>
      </c>
      <c r="B115" s="34" t="s">
        <v>1442</v>
      </c>
      <c r="C115" s="34" t="s">
        <v>16</v>
      </c>
      <c r="D115" s="34" t="s">
        <v>15</v>
      </c>
      <c r="E115" s="35">
        <v>30041327</v>
      </c>
      <c r="F115" s="34" t="s">
        <v>761</v>
      </c>
      <c r="G115" s="39">
        <v>10026612</v>
      </c>
      <c r="H115" s="42">
        <v>30041327</v>
      </c>
      <c r="I115" s="34" t="s">
        <v>139</v>
      </c>
      <c r="J115" s="34" t="s">
        <v>1443</v>
      </c>
      <c r="K115" s="36">
        <v>38880</v>
      </c>
      <c r="L115" s="34" t="s">
        <v>1444</v>
      </c>
      <c r="M115" s="34" t="s">
        <v>1445</v>
      </c>
      <c r="N115" s="34" t="s">
        <v>717</v>
      </c>
      <c r="O115" s="34" t="s">
        <v>717</v>
      </c>
      <c r="P115" s="34" t="s">
        <v>1474</v>
      </c>
      <c r="Q115" s="34" t="s">
        <v>1474</v>
      </c>
      <c r="R115" s="34" t="s">
        <v>1485</v>
      </c>
      <c r="S115" s="34" t="s">
        <v>1485</v>
      </c>
      <c r="T115" s="34" t="s">
        <v>761</v>
      </c>
      <c r="U115" s="34" t="s">
        <v>761</v>
      </c>
      <c r="V115" s="37">
        <v>11.71</v>
      </c>
      <c r="W115" s="45">
        <v>2138.54</v>
      </c>
      <c r="X115" s="37">
        <v>18162.509999999998</v>
      </c>
      <c r="Y115" s="36">
        <v>43864</v>
      </c>
      <c r="Z115" s="34" t="s">
        <v>1448</v>
      </c>
    </row>
    <row r="116" spans="1:26" x14ac:dyDescent="0.25">
      <c r="A116" s="34" t="s">
        <v>1441</v>
      </c>
      <c r="B116" s="34" t="s">
        <v>1442</v>
      </c>
      <c r="C116" s="34" t="s">
        <v>16</v>
      </c>
      <c r="D116" s="34" t="s">
        <v>15</v>
      </c>
      <c r="E116" s="35">
        <v>30040792</v>
      </c>
      <c r="F116" s="34" t="s">
        <v>751</v>
      </c>
      <c r="G116" s="39">
        <v>10026619</v>
      </c>
      <c r="H116" s="42">
        <v>30040792</v>
      </c>
      <c r="I116" s="34" t="s">
        <v>140</v>
      </c>
      <c r="J116" s="34" t="s">
        <v>1443</v>
      </c>
      <c r="K116" s="36">
        <v>38880</v>
      </c>
      <c r="L116" s="34" t="s">
        <v>1444</v>
      </c>
      <c r="M116" s="34" t="s">
        <v>1445</v>
      </c>
      <c r="N116" s="34" t="s">
        <v>717</v>
      </c>
      <c r="O116" s="34" t="s">
        <v>717</v>
      </c>
      <c r="P116" s="34" t="s">
        <v>1486</v>
      </c>
      <c r="Q116" s="34" t="s">
        <v>1486</v>
      </c>
      <c r="R116" s="34" t="s">
        <v>1487</v>
      </c>
      <c r="S116" s="34" t="s">
        <v>1487</v>
      </c>
      <c r="T116" s="34" t="s">
        <v>751</v>
      </c>
      <c r="U116" s="34" t="s">
        <v>751</v>
      </c>
      <c r="V116" s="37">
        <v>17.73</v>
      </c>
      <c r="W116" s="45">
        <v>3957.48</v>
      </c>
      <c r="X116" s="37">
        <v>22220.81</v>
      </c>
      <c r="Y116" s="36">
        <v>43864</v>
      </c>
      <c r="Z116" s="34" t="s">
        <v>1448</v>
      </c>
    </row>
    <row r="117" spans="1:26" x14ac:dyDescent="0.25">
      <c r="A117" s="34" t="s">
        <v>1441</v>
      </c>
      <c r="B117" s="34" t="s">
        <v>1442</v>
      </c>
      <c r="C117" s="34" t="s">
        <v>16</v>
      </c>
      <c r="D117" s="34" t="s">
        <v>15</v>
      </c>
      <c r="E117" s="35">
        <v>30040793</v>
      </c>
      <c r="F117" s="34" t="s">
        <v>750</v>
      </c>
      <c r="G117" s="39">
        <v>10026637</v>
      </c>
      <c r="H117" s="42">
        <v>30040793</v>
      </c>
      <c r="I117" s="34" t="s">
        <v>141</v>
      </c>
      <c r="J117" s="34" t="s">
        <v>1443</v>
      </c>
      <c r="K117" s="36">
        <v>38889</v>
      </c>
      <c r="L117" s="34" t="s">
        <v>1444</v>
      </c>
      <c r="M117" s="34" t="s">
        <v>1445</v>
      </c>
      <c r="N117" s="34" t="s">
        <v>717</v>
      </c>
      <c r="O117" s="34" t="s">
        <v>717</v>
      </c>
      <c r="P117" s="34" t="s">
        <v>1486</v>
      </c>
      <c r="Q117" s="34" t="s">
        <v>1486</v>
      </c>
      <c r="R117" s="34" t="s">
        <v>1488</v>
      </c>
      <c r="S117" s="34" t="s">
        <v>1488</v>
      </c>
      <c r="T117" s="34" t="s">
        <v>750</v>
      </c>
      <c r="U117" s="34" t="s">
        <v>750</v>
      </c>
      <c r="V117" s="37">
        <v>18.62</v>
      </c>
      <c r="W117" s="45">
        <v>4156.1400000000003</v>
      </c>
      <c r="X117" s="37">
        <v>22220.84</v>
      </c>
      <c r="Y117" s="36">
        <v>43864</v>
      </c>
      <c r="Z117" s="34" t="s">
        <v>1448</v>
      </c>
    </row>
    <row r="118" spans="1:26" x14ac:dyDescent="0.25">
      <c r="A118" s="34" t="s">
        <v>1441</v>
      </c>
      <c r="B118" s="34" t="s">
        <v>1442</v>
      </c>
      <c r="C118" s="34" t="s">
        <v>16</v>
      </c>
      <c r="D118" s="34" t="s">
        <v>15</v>
      </c>
      <c r="E118" s="35">
        <v>30040794</v>
      </c>
      <c r="F118" s="34" t="s">
        <v>751</v>
      </c>
      <c r="G118" s="39">
        <v>10026647</v>
      </c>
      <c r="H118" s="42">
        <v>30040794</v>
      </c>
      <c r="I118" s="34" t="s">
        <v>142</v>
      </c>
      <c r="J118" s="34" t="s">
        <v>1443</v>
      </c>
      <c r="K118" s="36">
        <v>38889</v>
      </c>
      <c r="L118" s="34" t="s">
        <v>1444</v>
      </c>
      <c r="M118" s="34" t="s">
        <v>1445</v>
      </c>
      <c r="N118" s="34" t="s">
        <v>717</v>
      </c>
      <c r="O118" s="34" t="s">
        <v>717</v>
      </c>
      <c r="P118" s="34" t="s">
        <v>1486</v>
      </c>
      <c r="Q118" s="34" t="s">
        <v>1486</v>
      </c>
      <c r="R118" s="34" t="s">
        <v>1487</v>
      </c>
      <c r="S118" s="34" t="s">
        <v>1487</v>
      </c>
      <c r="T118" s="34" t="s">
        <v>751</v>
      </c>
      <c r="U118" s="34" t="s">
        <v>751</v>
      </c>
      <c r="V118" s="37">
        <v>17.73</v>
      </c>
      <c r="W118" s="45">
        <v>3957.48</v>
      </c>
      <c r="X118" s="37">
        <v>22220.81</v>
      </c>
      <c r="Y118" s="36">
        <v>43864</v>
      </c>
      <c r="Z118" s="34" t="s">
        <v>1448</v>
      </c>
    </row>
    <row r="119" spans="1:26" x14ac:dyDescent="0.25">
      <c r="A119" s="34" t="s">
        <v>1441</v>
      </c>
      <c r="B119" s="34" t="s">
        <v>1442</v>
      </c>
      <c r="C119" s="34" t="s">
        <v>16</v>
      </c>
      <c r="D119" s="34" t="s">
        <v>15</v>
      </c>
      <c r="E119" s="35">
        <v>30040795</v>
      </c>
      <c r="F119" s="34" t="s">
        <v>758</v>
      </c>
      <c r="G119" s="39">
        <v>10026648</v>
      </c>
      <c r="H119" s="42">
        <v>30040795</v>
      </c>
      <c r="I119" s="34" t="s">
        <v>143</v>
      </c>
      <c r="J119" s="34" t="s">
        <v>1443</v>
      </c>
      <c r="K119" s="36">
        <v>38889</v>
      </c>
      <c r="L119" s="34" t="s">
        <v>1444</v>
      </c>
      <c r="M119" s="34" t="s">
        <v>1445</v>
      </c>
      <c r="N119" s="34" t="s">
        <v>717</v>
      </c>
      <c r="O119" s="34" t="s">
        <v>717</v>
      </c>
      <c r="P119" s="34" t="s">
        <v>1449</v>
      </c>
      <c r="Q119" s="34" t="s">
        <v>1449</v>
      </c>
      <c r="R119" s="34" t="s">
        <v>1450</v>
      </c>
      <c r="S119" s="34" t="s">
        <v>1450</v>
      </c>
      <c r="T119" s="34" t="s">
        <v>758</v>
      </c>
      <c r="U119" s="34" t="s">
        <v>758</v>
      </c>
      <c r="V119" s="37">
        <v>14.48</v>
      </c>
      <c r="W119" s="45">
        <v>3232.06</v>
      </c>
      <c r="X119" s="37">
        <v>22220.86</v>
      </c>
      <c r="Y119" s="36">
        <v>43864</v>
      </c>
      <c r="Z119" s="34" t="s">
        <v>1448</v>
      </c>
    </row>
    <row r="120" spans="1:26" x14ac:dyDescent="0.25">
      <c r="A120" s="34" t="s">
        <v>1441</v>
      </c>
      <c r="B120" s="34" t="s">
        <v>1442</v>
      </c>
      <c r="C120" s="34" t="s">
        <v>16</v>
      </c>
      <c r="D120" s="34" t="s">
        <v>15</v>
      </c>
      <c r="E120" s="35">
        <v>30040796</v>
      </c>
      <c r="F120" s="34" t="s">
        <v>758</v>
      </c>
      <c r="G120" s="39">
        <v>10026655</v>
      </c>
      <c r="H120" s="42">
        <v>30040796</v>
      </c>
      <c r="I120" s="34" t="s">
        <v>144</v>
      </c>
      <c r="J120" s="34" t="s">
        <v>1443</v>
      </c>
      <c r="K120" s="36">
        <v>38889</v>
      </c>
      <c r="L120" s="34" t="s">
        <v>1444</v>
      </c>
      <c r="M120" s="34" t="s">
        <v>1445</v>
      </c>
      <c r="N120" s="34" t="s">
        <v>717</v>
      </c>
      <c r="O120" s="34" t="s">
        <v>717</v>
      </c>
      <c r="P120" s="34" t="s">
        <v>1449</v>
      </c>
      <c r="Q120" s="34" t="s">
        <v>1449</v>
      </c>
      <c r="R120" s="34" t="s">
        <v>1450</v>
      </c>
      <c r="S120" s="34" t="s">
        <v>1450</v>
      </c>
      <c r="T120" s="34" t="s">
        <v>758</v>
      </c>
      <c r="U120" s="34" t="s">
        <v>758</v>
      </c>
      <c r="V120" s="37">
        <v>14.48</v>
      </c>
      <c r="W120" s="45">
        <v>3232.06</v>
      </c>
      <c r="X120" s="37">
        <v>22220.86</v>
      </c>
      <c r="Y120" s="36">
        <v>43864</v>
      </c>
      <c r="Z120" s="34" t="s">
        <v>1448</v>
      </c>
    </row>
    <row r="121" spans="1:26" x14ac:dyDescent="0.25">
      <c r="A121" s="34" t="s">
        <v>1441</v>
      </c>
      <c r="B121" s="34" t="s">
        <v>1442</v>
      </c>
      <c r="C121" s="34" t="s">
        <v>16</v>
      </c>
      <c r="D121" s="34" t="s">
        <v>15</v>
      </c>
      <c r="E121" s="35">
        <v>30040797</v>
      </c>
      <c r="F121" s="34" t="s">
        <v>21</v>
      </c>
      <c r="G121" s="39">
        <v>10026661</v>
      </c>
      <c r="H121" s="42">
        <v>30040797</v>
      </c>
      <c r="I121" s="34" t="s">
        <v>145</v>
      </c>
      <c r="J121" s="34" t="s">
        <v>1443</v>
      </c>
      <c r="K121" s="36">
        <v>38901</v>
      </c>
      <c r="L121" s="34" t="s">
        <v>1444</v>
      </c>
      <c r="M121" s="34" t="s">
        <v>1445</v>
      </c>
      <c r="N121" s="34" t="s">
        <v>717</v>
      </c>
      <c r="O121" s="34" t="s">
        <v>717</v>
      </c>
      <c r="P121" s="34" t="s">
        <v>1462</v>
      </c>
      <c r="Q121" s="34" t="s">
        <v>1462</v>
      </c>
      <c r="R121" s="34" t="s">
        <v>1494</v>
      </c>
      <c r="S121" s="34" t="s">
        <v>1494</v>
      </c>
      <c r="T121" s="34" t="s">
        <v>21</v>
      </c>
      <c r="U121" s="34" t="s">
        <v>21</v>
      </c>
      <c r="V121" s="37">
        <v>11.71</v>
      </c>
      <c r="W121" s="45">
        <v>2613.77</v>
      </c>
      <c r="X121" s="37">
        <v>22220.84</v>
      </c>
      <c r="Y121" s="36">
        <v>43864</v>
      </c>
      <c r="Z121" s="34" t="s">
        <v>1448</v>
      </c>
    </row>
    <row r="122" spans="1:26" x14ac:dyDescent="0.25">
      <c r="A122" s="34" t="s">
        <v>1441</v>
      </c>
      <c r="B122" s="34" t="s">
        <v>1442</v>
      </c>
      <c r="C122" s="34" t="s">
        <v>16</v>
      </c>
      <c r="D122" s="34" t="s">
        <v>15</v>
      </c>
      <c r="E122" s="35">
        <v>30040798</v>
      </c>
      <c r="F122" s="34" t="s">
        <v>21</v>
      </c>
      <c r="G122" s="39">
        <v>10026668</v>
      </c>
      <c r="H122" s="42">
        <v>30040798</v>
      </c>
      <c r="I122" s="34" t="s">
        <v>146</v>
      </c>
      <c r="J122" s="34" t="s">
        <v>1443</v>
      </c>
      <c r="K122" s="36">
        <v>38901</v>
      </c>
      <c r="L122" s="34" t="s">
        <v>1444</v>
      </c>
      <c r="M122" s="34" t="s">
        <v>1445</v>
      </c>
      <c r="N122" s="34" t="s">
        <v>717</v>
      </c>
      <c r="O122" s="34" t="s">
        <v>717</v>
      </c>
      <c r="P122" s="34" t="s">
        <v>1462</v>
      </c>
      <c r="Q122" s="34" t="s">
        <v>1462</v>
      </c>
      <c r="R122" s="34" t="s">
        <v>1463</v>
      </c>
      <c r="S122" s="34" t="s">
        <v>1463</v>
      </c>
      <c r="T122" s="34" t="s">
        <v>21</v>
      </c>
      <c r="U122" s="34" t="s">
        <v>21</v>
      </c>
      <c r="V122" s="37">
        <v>11.71</v>
      </c>
      <c r="W122" s="45">
        <v>2613.77</v>
      </c>
      <c r="X122" s="37">
        <v>22220.84</v>
      </c>
      <c r="Y122" s="36">
        <v>43864</v>
      </c>
      <c r="Z122" s="34" t="s">
        <v>1448</v>
      </c>
    </row>
    <row r="123" spans="1:26" x14ac:dyDescent="0.25">
      <c r="A123" s="34" t="s">
        <v>1441</v>
      </c>
      <c r="B123" s="34" t="s">
        <v>1442</v>
      </c>
      <c r="C123" s="34" t="s">
        <v>16</v>
      </c>
      <c r="D123" s="34" t="s">
        <v>15</v>
      </c>
      <c r="E123" s="35">
        <v>30040799</v>
      </c>
      <c r="F123" s="34" t="s">
        <v>758</v>
      </c>
      <c r="G123" s="39">
        <v>10026671</v>
      </c>
      <c r="H123" s="42">
        <v>30040799</v>
      </c>
      <c r="I123" s="34" t="s">
        <v>147</v>
      </c>
      <c r="J123" s="34" t="s">
        <v>1443</v>
      </c>
      <c r="K123" s="36">
        <v>38901</v>
      </c>
      <c r="L123" s="34" t="s">
        <v>1444</v>
      </c>
      <c r="M123" s="34" t="s">
        <v>1445</v>
      </c>
      <c r="N123" s="34" t="s">
        <v>717</v>
      </c>
      <c r="O123" s="34" t="s">
        <v>717</v>
      </c>
      <c r="P123" s="34" t="s">
        <v>1449</v>
      </c>
      <c r="Q123" s="34" t="s">
        <v>1449</v>
      </c>
      <c r="R123" s="34" t="s">
        <v>1450</v>
      </c>
      <c r="S123" s="34" t="s">
        <v>1450</v>
      </c>
      <c r="T123" s="34" t="s">
        <v>758</v>
      </c>
      <c r="U123" s="34" t="s">
        <v>758</v>
      </c>
      <c r="V123" s="37">
        <v>14.48</v>
      </c>
      <c r="W123" s="45">
        <v>3232.06</v>
      </c>
      <c r="X123" s="37">
        <v>22220.86</v>
      </c>
      <c r="Y123" s="36">
        <v>43864</v>
      </c>
      <c r="Z123" s="34" t="s">
        <v>1448</v>
      </c>
    </row>
    <row r="124" spans="1:26" x14ac:dyDescent="0.25">
      <c r="A124" s="34" t="s">
        <v>1441</v>
      </c>
      <c r="B124" s="34" t="s">
        <v>1442</v>
      </c>
      <c r="C124" s="34" t="s">
        <v>16</v>
      </c>
      <c r="D124" s="34" t="s">
        <v>15</v>
      </c>
      <c r="E124" s="35">
        <v>30040800</v>
      </c>
      <c r="F124" s="34" t="s">
        <v>21</v>
      </c>
      <c r="G124" s="39">
        <v>10026672</v>
      </c>
      <c r="H124" s="42">
        <v>30040800</v>
      </c>
      <c r="I124" s="34" t="s">
        <v>148</v>
      </c>
      <c r="J124" s="34" t="s">
        <v>1443</v>
      </c>
      <c r="K124" s="36">
        <v>38901</v>
      </c>
      <c r="L124" s="34" t="s">
        <v>1444</v>
      </c>
      <c r="M124" s="34" t="s">
        <v>1445</v>
      </c>
      <c r="N124" s="34" t="s">
        <v>717</v>
      </c>
      <c r="O124" s="34" t="s">
        <v>717</v>
      </c>
      <c r="P124" s="34" t="s">
        <v>1462</v>
      </c>
      <c r="Q124" s="34" t="s">
        <v>1462</v>
      </c>
      <c r="R124" s="34" t="s">
        <v>1463</v>
      </c>
      <c r="S124" s="34" t="s">
        <v>1463</v>
      </c>
      <c r="T124" s="34" t="s">
        <v>21</v>
      </c>
      <c r="U124" s="34" t="s">
        <v>21</v>
      </c>
      <c r="V124" s="37">
        <v>11.71</v>
      </c>
      <c r="W124" s="45">
        <v>2613.77</v>
      </c>
      <c r="X124" s="37">
        <v>22220.84</v>
      </c>
      <c r="Y124" s="36">
        <v>43864</v>
      </c>
      <c r="Z124" s="34" t="s">
        <v>1448</v>
      </c>
    </row>
    <row r="125" spans="1:26" x14ac:dyDescent="0.25">
      <c r="A125" s="34" t="s">
        <v>1441</v>
      </c>
      <c r="B125" s="34" t="s">
        <v>1442</v>
      </c>
      <c r="C125" s="34" t="s">
        <v>6</v>
      </c>
      <c r="D125" s="34" t="s">
        <v>15</v>
      </c>
      <c r="E125" s="35">
        <v>30040801</v>
      </c>
      <c r="F125" s="34" t="s">
        <v>750</v>
      </c>
      <c r="G125" s="39">
        <v>10026686</v>
      </c>
      <c r="H125" s="42">
        <v>30040801</v>
      </c>
      <c r="I125" s="34" t="s">
        <v>149</v>
      </c>
      <c r="J125" s="34" t="s">
        <v>1443</v>
      </c>
      <c r="K125" s="36">
        <v>38903</v>
      </c>
      <c r="L125" s="34" t="s">
        <v>1444</v>
      </c>
      <c r="M125" s="34" t="s">
        <v>1445</v>
      </c>
      <c r="N125" s="34" t="s">
        <v>717</v>
      </c>
      <c r="O125" s="34" t="s">
        <v>717</v>
      </c>
      <c r="P125" s="34" t="s">
        <v>1459</v>
      </c>
      <c r="Q125" s="34" t="s">
        <v>1456</v>
      </c>
      <c r="R125" s="34" t="s">
        <v>1457</v>
      </c>
      <c r="S125" s="34" t="s">
        <v>1457</v>
      </c>
      <c r="T125" s="34" t="s">
        <v>750</v>
      </c>
      <c r="U125" s="34" t="s">
        <v>750</v>
      </c>
      <c r="V125" s="37">
        <v>18.62</v>
      </c>
      <c r="W125" s="45">
        <v>4156.1400000000003</v>
      </c>
      <c r="X125" s="37">
        <v>22220.84</v>
      </c>
      <c r="Y125" s="36">
        <v>43864</v>
      </c>
      <c r="Z125" s="34" t="s">
        <v>1448</v>
      </c>
    </row>
    <row r="126" spans="1:26" x14ac:dyDescent="0.25">
      <c r="A126" s="34" t="s">
        <v>1441</v>
      </c>
      <c r="B126" s="34" t="s">
        <v>1442</v>
      </c>
      <c r="C126" s="34" t="s">
        <v>16</v>
      </c>
      <c r="D126" s="34" t="s">
        <v>15</v>
      </c>
      <c r="E126" s="35">
        <v>30040802</v>
      </c>
      <c r="F126" s="34" t="s">
        <v>751</v>
      </c>
      <c r="G126" s="39">
        <v>10026709</v>
      </c>
      <c r="H126" s="42">
        <v>30040802</v>
      </c>
      <c r="I126" s="34" t="s">
        <v>150</v>
      </c>
      <c r="J126" s="34" t="s">
        <v>1443</v>
      </c>
      <c r="K126" s="36">
        <v>38908</v>
      </c>
      <c r="L126" s="34" t="s">
        <v>1444</v>
      </c>
      <c r="M126" s="34" t="s">
        <v>1445</v>
      </c>
      <c r="N126" s="34" t="s">
        <v>717</v>
      </c>
      <c r="O126" s="34" t="s">
        <v>717</v>
      </c>
      <c r="P126" s="34" t="s">
        <v>1446</v>
      </c>
      <c r="Q126" s="34" t="s">
        <v>1446</v>
      </c>
      <c r="R126" s="34" t="s">
        <v>1447</v>
      </c>
      <c r="S126" s="34" t="s">
        <v>1447</v>
      </c>
      <c r="T126" s="34" t="s">
        <v>751</v>
      </c>
      <c r="U126" s="34" t="s">
        <v>751</v>
      </c>
      <c r="V126" s="37">
        <v>17.73</v>
      </c>
      <c r="W126" s="45">
        <v>3957.48</v>
      </c>
      <c r="X126" s="37">
        <v>22220.81</v>
      </c>
      <c r="Y126" s="36">
        <v>43864</v>
      </c>
      <c r="Z126" s="34" t="s">
        <v>1448</v>
      </c>
    </row>
    <row r="127" spans="1:26" x14ac:dyDescent="0.25">
      <c r="A127" s="34" t="s">
        <v>1441</v>
      </c>
      <c r="B127" s="34" t="s">
        <v>1442</v>
      </c>
      <c r="C127" s="34" t="s">
        <v>16</v>
      </c>
      <c r="D127" s="34" t="s">
        <v>15</v>
      </c>
      <c r="E127" s="35">
        <v>30040803</v>
      </c>
      <c r="F127" s="34" t="s">
        <v>20</v>
      </c>
      <c r="G127" s="39">
        <v>10026711</v>
      </c>
      <c r="H127" s="42">
        <v>30040803</v>
      </c>
      <c r="I127" s="34" t="s">
        <v>151</v>
      </c>
      <c r="J127" s="34" t="s">
        <v>1443</v>
      </c>
      <c r="K127" s="36">
        <v>38908</v>
      </c>
      <c r="L127" s="34" t="s">
        <v>1444</v>
      </c>
      <c r="M127" s="34" t="s">
        <v>1445</v>
      </c>
      <c r="N127" s="34" t="s">
        <v>717</v>
      </c>
      <c r="O127" s="34" t="s">
        <v>717</v>
      </c>
      <c r="P127" s="34" t="s">
        <v>1462</v>
      </c>
      <c r="Q127" s="34" t="s">
        <v>1462</v>
      </c>
      <c r="R127" s="34" t="s">
        <v>1494</v>
      </c>
      <c r="S127" s="34" t="s">
        <v>1494</v>
      </c>
      <c r="T127" s="34" t="s">
        <v>20</v>
      </c>
      <c r="U127" s="34" t="s">
        <v>20</v>
      </c>
      <c r="V127" s="37">
        <v>13.39</v>
      </c>
      <c r="W127" s="45">
        <v>2988.76</v>
      </c>
      <c r="X127" s="37">
        <v>22220.84</v>
      </c>
      <c r="Y127" s="36">
        <v>43864</v>
      </c>
      <c r="Z127" s="34" t="s">
        <v>1448</v>
      </c>
    </row>
    <row r="128" spans="1:26" x14ac:dyDescent="0.25">
      <c r="A128" s="34" t="s">
        <v>1441</v>
      </c>
      <c r="B128" s="34" t="s">
        <v>1442</v>
      </c>
      <c r="C128" s="34" t="s">
        <v>16</v>
      </c>
      <c r="D128" s="34" t="s">
        <v>15</v>
      </c>
      <c r="E128" s="35">
        <v>30040804</v>
      </c>
      <c r="F128" s="34" t="s">
        <v>21</v>
      </c>
      <c r="G128" s="39">
        <v>10026716</v>
      </c>
      <c r="H128" s="42">
        <v>30040804</v>
      </c>
      <c r="I128" s="34" t="s">
        <v>152</v>
      </c>
      <c r="J128" s="34" t="s">
        <v>1443</v>
      </c>
      <c r="K128" s="36">
        <v>38908</v>
      </c>
      <c r="L128" s="34" t="s">
        <v>1444</v>
      </c>
      <c r="M128" s="34" t="s">
        <v>1445</v>
      </c>
      <c r="N128" s="34" t="s">
        <v>717</v>
      </c>
      <c r="O128" s="34" t="s">
        <v>717</v>
      </c>
      <c r="P128" s="34" t="s">
        <v>1462</v>
      </c>
      <c r="Q128" s="34" t="s">
        <v>1462</v>
      </c>
      <c r="R128" s="34" t="s">
        <v>1478</v>
      </c>
      <c r="S128" s="34" t="s">
        <v>1478</v>
      </c>
      <c r="T128" s="34" t="s">
        <v>21</v>
      </c>
      <c r="U128" s="34" t="s">
        <v>21</v>
      </c>
      <c r="V128" s="37">
        <v>11.71</v>
      </c>
      <c r="W128" s="45">
        <v>2613.77</v>
      </c>
      <c r="X128" s="37">
        <v>22220.84</v>
      </c>
      <c r="Y128" s="36">
        <v>43864</v>
      </c>
      <c r="Z128" s="34" t="s">
        <v>1448</v>
      </c>
    </row>
    <row r="129" spans="1:26" x14ac:dyDescent="0.25">
      <c r="A129" s="34" t="s">
        <v>1441</v>
      </c>
      <c r="B129" s="34" t="s">
        <v>1442</v>
      </c>
      <c r="C129" s="34" t="s">
        <v>16</v>
      </c>
      <c r="D129" s="34" t="s">
        <v>15</v>
      </c>
      <c r="E129" s="35">
        <v>30040805</v>
      </c>
      <c r="F129" s="34" t="s">
        <v>751</v>
      </c>
      <c r="G129" s="39">
        <v>10026729</v>
      </c>
      <c r="H129" s="42">
        <v>30040805</v>
      </c>
      <c r="I129" s="34" t="s">
        <v>153</v>
      </c>
      <c r="J129" s="34" t="s">
        <v>1443</v>
      </c>
      <c r="K129" s="36">
        <v>38915</v>
      </c>
      <c r="L129" s="34" t="s">
        <v>1444</v>
      </c>
      <c r="M129" s="34" t="s">
        <v>1445</v>
      </c>
      <c r="N129" s="34" t="s">
        <v>717</v>
      </c>
      <c r="O129" s="34" t="s">
        <v>717</v>
      </c>
      <c r="P129" s="34" t="s">
        <v>1446</v>
      </c>
      <c r="Q129" s="34" t="s">
        <v>1446</v>
      </c>
      <c r="R129" s="34" t="s">
        <v>1447</v>
      </c>
      <c r="S129" s="34" t="s">
        <v>1447</v>
      </c>
      <c r="T129" s="34" t="s">
        <v>751</v>
      </c>
      <c r="U129" s="34" t="s">
        <v>751</v>
      </c>
      <c r="V129" s="37">
        <v>17.73</v>
      </c>
      <c r="W129" s="45">
        <v>3957.48</v>
      </c>
      <c r="X129" s="37">
        <v>22220.81</v>
      </c>
      <c r="Y129" s="36">
        <v>43864</v>
      </c>
      <c r="Z129" s="34" t="s">
        <v>1448</v>
      </c>
    </row>
    <row r="130" spans="1:26" x14ac:dyDescent="0.25">
      <c r="A130" s="34" t="s">
        <v>1441</v>
      </c>
      <c r="B130" s="34" t="s">
        <v>1442</v>
      </c>
      <c r="C130" s="34" t="s">
        <v>16</v>
      </c>
      <c r="D130" s="34" t="s">
        <v>15</v>
      </c>
      <c r="E130" s="35">
        <v>30040806</v>
      </c>
      <c r="F130" s="34" t="s">
        <v>751</v>
      </c>
      <c r="G130" s="39">
        <v>10026730</v>
      </c>
      <c r="H130" s="42">
        <v>30040806</v>
      </c>
      <c r="I130" s="34" t="s">
        <v>154</v>
      </c>
      <c r="J130" s="34" t="s">
        <v>1443</v>
      </c>
      <c r="K130" s="36">
        <v>38915</v>
      </c>
      <c r="L130" s="34" t="s">
        <v>1444</v>
      </c>
      <c r="M130" s="34" t="s">
        <v>1445</v>
      </c>
      <c r="N130" s="34" t="s">
        <v>717</v>
      </c>
      <c r="O130" s="34" t="s">
        <v>717</v>
      </c>
      <c r="P130" s="34" t="s">
        <v>1456</v>
      </c>
      <c r="Q130" s="34" t="s">
        <v>1456</v>
      </c>
      <c r="R130" s="34" t="s">
        <v>1457</v>
      </c>
      <c r="S130" s="34" t="s">
        <v>1457</v>
      </c>
      <c r="T130" s="34" t="s">
        <v>751</v>
      </c>
      <c r="U130" s="34" t="s">
        <v>751</v>
      </c>
      <c r="V130" s="37">
        <v>17.73</v>
      </c>
      <c r="W130" s="45">
        <v>3957.48</v>
      </c>
      <c r="X130" s="37">
        <v>22220.81</v>
      </c>
      <c r="Y130" s="36">
        <v>43864</v>
      </c>
      <c r="Z130" s="34" t="s">
        <v>1448</v>
      </c>
    </row>
    <row r="131" spans="1:26" x14ac:dyDescent="0.25">
      <c r="A131" s="34" t="s">
        <v>1441</v>
      </c>
      <c r="B131" s="34" t="s">
        <v>1442</v>
      </c>
      <c r="C131" s="34" t="s">
        <v>16</v>
      </c>
      <c r="D131" s="34" t="s">
        <v>15</v>
      </c>
      <c r="E131" s="35">
        <v>30040807</v>
      </c>
      <c r="F131" s="34" t="s">
        <v>758</v>
      </c>
      <c r="G131" s="39">
        <v>10026763</v>
      </c>
      <c r="H131" s="42">
        <v>30040807</v>
      </c>
      <c r="I131" s="34" t="s">
        <v>155</v>
      </c>
      <c r="J131" s="34" t="s">
        <v>1443</v>
      </c>
      <c r="K131" s="36">
        <v>38931</v>
      </c>
      <c r="L131" s="34" t="s">
        <v>1444</v>
      </c>
      <c r="M131" s="34" t="s">
        <v>1445</v>
      </c>
      <c r="N131" s="34" t="s">
        <v>717</v>
      </c>
      <c r="O131" s="34" t="s">
        <v>717</v>
      </c>
      <c r="P131" s="34" t="s">
        <v>1449</v>
      </c>
      <c r="Q131" s="34" t="s">
        <v>1449</v>
      </c>
      <c r="R131" s="34" t="s">
        <v>1450</v>
      </c>
      <c r="S131" s="34" t="s">
        <v>1450</v>
      </c>
      <c r="T131" s="34" t="s">
        <v>758</v>
      </c>
      <c r="U131" s="34" t="s">
        <v>758</v>
      </c>
      <c r="V131" s="37">
        <v>14.48</v>
      </c>
      <c r="W131" s="45">
        <v>3232.06</v>
      </c>
      <c r="X131" s="37">
        <v>22220.86</v>
      </c>
      <c r="Y131" s="36">
        <v>43864</v>
      </c>
      <c r="Z131" s="34" t="s">
        <v>1448</v>
      </c>
    </row>
    <row r="132" spans="1:26" x14ac:dyDescent="0.25">
      <c r="A132" s="34" t="s">
        <v>1441</v>
      </c>
      <c r="B132" s="34" t="s">
        <v>1442</v>
      </c>
      <c r="C132" s="34" t="s">
        <v>16</v>
      </c>
      <c r="D132" s="34" t="s">
        <v>15</v>
      </c>
      <c r="E132" s="35">
        <v>30040808</v>
      </c>
      <c r="F132" s="34" t="s">
        <v>751</v>
      </c>
      <c r="G132" s="39">
        <v>10026764</v>
      </c>
      <c r="H132" s="42">
        <v>30040808</v>
      </c>
      <c r="I132" s="34" t="s">
        <v>156</v>
      </c>
      <c r="J132" s="34" t="s">
        <v>1443</v>
      </c>
      <c r="K132" s="36">
        <v>38931</v>
      </c>
      <c r="L132" s="34" t="s">
        <v>1444</v>
      </c>
      <c r="M132" s="34" t="s">
        <v>1445</v>
      </c>
      <c r="N132" s="34" t="s">
        <v>717</v>
      </c>
      <c r="O132" s="34" t="s">
        <v>717</v>
      </c>
      <c r="P132" s="34" t="s">
        <v>1446</v>
      </c>
      <c r="Q132" s="34" t="s">
        <v>1446</v>
      </c>
      <c r="R132" s="34" t="s">
        <v>1451</v>
      </c>
      <c r="S132" s="34" t="s">
        <v>1451</v>
      </c>
      <c r="T132" s="34" t="s">
        <v>751</v>
      </c>
      <c r="U132" s="34" t="s">
        <v>751</v>
      </c>
      <c r="V132" s="37">
        <v>17.73</v>
      </c>
      <c r="W132" s="45">
        <v>3957.48</v>
      </c>
      <c r="X132" s="37">
        <v>22220.81</v>
      </c>
      <c r="Y132" s="36">
        <v>43864</v>
      </c>
      <c r="Z132" s="34" t="s">
        <v>1448</v>
      </c>
    </row>
    <row r="133" spans="1:26" x14ac:dyDescent="0.25">
      <c r="A133" s="34" t="s">
        <v>1441</v>
      </c>
      <c r="B133" s="34" t="s">
        <v>1442</v>
      </c>
      <c r="C133" s="34" t="s">
        <v>16</v>
      </c>
      <c r="D133" s="34" t="s">
        <v>15</v>
      </c>
      <c r="E133" s="35">
        <v>30040809</v>
      </c>
      <c r="F133" s="34" t="s">
        <v>21</v>
      </c>
      <c r="G133" s="39">
        <v>10027061</v>
      </c>
      <c r="H133" s="42">
        <v>30040809</v>
      </c>
      <c r="I133" s="34" t="s">
        <v>157</v>
      </c>
      <c r="J133" s="34" t="s">
        <v>1443</v>
      </c>
      <c r="K133" s="36">
        <v>39027</v>
      </c>
      <c r="L133" s="34" t="s">
        <v>1444</v>
      </c>
      <c r="M133" s="34" t="s">
        <v>1445</v>
      </c>
      <c r="N133" s="34" t="s">
        <v>717</v>
      </c>
      <c r="O133" s="34" t="s">
        <v>717</v>
      </c>
      <c r="P133" s="34" t="s">
        <v>1462</v>
      </c>
      <c r="Q133" s="34" t="s">
        <v>1462</v>
      </c>
      <c r="R133" s="34" t="s">
        <v>1463</v>
      </c>
      <c r="S133" s="34" t="s">
        <v>1463</v>
      </c>
      <c r="T133" s="34" t="s">
        <v>21</v>
      </c>
      <c r="U133" s="34" t="s">
        <v>21</v>
      </c>
      <c r="V133" s="37">
        <v>11.71</v>
      </c>
      <c r="W133" s="45">
        <v>2613.77</v>
      </c>
      <c r="X133" s="37">
        <v>22220.84</v>
      </c>
      <c r="Y133" s="36">
        <v>43864</v>
      </c>
      <c r="Z133" s="34" t="s">
        <v>1448</v>
      </c>
    </row>
    <row r="134" spans="1:26" x14ac:dyDescent="0.25">
      <c r="A134" s="34" t="s">
        <v>1441</v>
      </c>
      <c r="B134" s="34" t="s">
        <v>1442</v>
      </c>
      <c r="C134" s="34" t="s">
        <v>16</v>
      </c>
      <c r="D134" s="34" t="s">
        <v>15</v>
      </c>
      <c r="E134" s="35">
        <v>30040810</v>
      </c>
      <c r="F134" s="34" t="s">
        <v>21</v>
      </c>
      <c r="G134" s="39">
        <v>10027066</v>
      </c>
      <c r="H134" s="42">
        <v>30040810</v>
      </c>
      <c r="I134" s="34" t="s">
        <v>158</v>
      </c>
      <c r="J134" s="34" t="s">
        <v>1443</v>
      </c>
      <c r="K134" s="36">
        <v>39027</v>
      </c>
      <c r="L134" s="34" t="s">
        <v>1444</v>
      </c>
      <c r="M134" s="34" t="s">
        <v>1445</v>
      </c>
      <c r="N134" s="34" t="s">
        <v>717</v>
      </c>
      <c r="O134" s="34" t="s">
        <v>717</v>
      </c>
      <c r="P134" s="34" t="s">
        <v>1462</v>
      </c>
      <c r="Q134" s="34" t="s">
        <v>1462</v>
      </c>
      <c r="R134" s="34" t="s">
        <v>1494</v>
      </c>
      <c r="S134" s="34" t="s">
        <v>1494</v>
      </c>
      <c r="T134" s="34" t="s">
        <v>21</v>
      </c>
      <c r="U134" s="34" t="s">
        <v>21</v>
      </c>
      <c r="V134" s="37">
        <v>11.71</v>
      </c>
      <c r="W134" s="45">
        <v>2613.77</v>
      </c>
      <c r="X134" s="37">
        <v>22220.84</v>
      </c>
      <c r="Y134" s="36">
        <v>43864</v>
      </c>
      <c r="Z134" s="34" t="s">
        <v>1448</v>
      </c>
    </row>
    <row r="135" spans="1:26" x14ac:dyDescent="0.25">
      <c r="A135" s="34" t="s">
        <v>1441</v>
      </c>
      <c r="B135" s="34" t="s">
        <v>1442</v>
      </c>
      <c r="C135" s="34" t="s">
        <v>16</v>
      </c>
      <c r="D135" s="34" t="s">
        <v>15</v>
      </c>
      <c r="E135" s="35">
        <v>30040811</v>
      </c>
      <c r="F135" s="34" t="s">
        <v>751</v>
      </c>
      <c r="G135" s="39">
        <v>10027300</v>
      </c>
      <c r="H135" s="42">
        <v>30040811</v>
      </c>
      <c r="I135" s="34" t="s">
        <v>159</v>
      </c>
      <c r="J135" s="34" t="s">
        <v>1443</v>
      </c>
      <c r="K135" s="36">
        <v>39090</v>
      </c>
      <c r="L135" s="34" t="s">
        <v>1444</v>
      </c>
      <c r="M135" s="34" t="s">
        <v>1445</v>
      </c>
      <c r="N135" s="34" t="s">
        <v>717</v>
      </c>
      <c r="O135" s="34" t="s">
        <v>717</v>
      </c>
      <c r="P135" s="34" t="s">
        <v>1486</v>
      </c>
      <c r="Q135" s="34" t="s">
        <v>1486</v>
      </c>
      <c r="R135" s="34" t="s">
        <v>1487</v>
      </c>
      <c r="S135" s="34" t="s">
        <v>1487</v>
      </c>
      <c r="T135" s="34" t="s">
        <v>751</v>
      </c>
      <c r="U135" s="34" t="s">
        <v>751</v>
      </c>
      <c r="V135" s="37">
        <v>17.73</v>
      </c>
      <c r="W135" s="45">
        <v>3957.48</v>
      </c>
      <c r="X135" s="37">
        <v>22220.81</v>
      </c>
      <c r="Y135" s="36">
        <v>43864</v>
      </c>
      <c r="Z135" s="34" t="s">
        <v>1448</v>
      </c>
    </row>
    <row r="136" spans="1:26" x14ac:dyDescent="0.25">
      <c r="A136" s="34" t="s">
        <v>1441</v>
      </c>
      <c r="B136" s="34" t="s">
        <v>1442</v>
      </c>
      <c r="C136" s="34" t="s">
        <v>16</v>
      </c>
      <c r="D136" s="34" t="s">
        <v>15</v>
      </c>
      <c r="E136" s="35">
        <v>30040812</v>
      </c>
      <c r="F136" s="34" t="s">
        <v>21</v>
      </c>
      <c r="G136" s="39">
        <v>10027398</v>
      </c>
      <c r="H136" s="42">
        <v>30040812</v>
      </c>
      <c r="I136" s="34" t="s">
        <v>160</v>
      </c>
      <c r="J136" s="34" t="s">
        <v>1443</v>
      </c>
      <c r="K136" s="36">
        <v>39104</v>
      </c>
      <c r="L136" s="34" t="s">
        <v>1444</v>
      </c>
      <c r="M136" s="34" t="s">
        <v>1445</v>
      </c>
      <c r="N136" s="34" t="s">
        <v>717</v>
      </c>
      <c r="O136" s="34" t="s">
        <v>717</v>
      </c>
      <c r="P136" s="34" t="s">
        <v>1462</v>
      </c>
      <c r="Q136" s="34" t="s">
        <v>1462</v>
      </c>
      <c r="R136" s="34" t="s">
        <v>1478</v>
      </c>
      <c r="S136" s="34" t="s">
        <v>1478</v>
      </c>
      <c r="T136" s="34" t="s">
        <v>21</v>
      </c>
      <c r="U136" s="34" t="s">
        <v>21</v>
      </c>
      <c r="V136" s="37">
        <v>11.71</v>
      </c>
      <c r="W136" s="45">
        <v>2613.77</v>
      </c>
      <c r="X136" s="37">
        <v>22220.84</v>
      </c>
      <c r="Y136" s="36">
        <v>43864</v>
      </c>
      <c r="Z136" s="34" t="s">
        <v>1448</v>
      </c>
    </row>
    <row r="137" spans="1:26" x14ac:dyDescent="0.25">
      <c r="A137" s="34" t="s">
        <v>1441</v>
      </c>
      <c r="B137" s="34" t="s">
        <v>1442</v>
      </c>
      <c r="C137" s="34" t="s">
        <v>16</v>
      </c>
      <c r="D137" s="34" t="s">
        <v>15</v>
      </c>
      <c r="E137" s="35">
        <v>30040813</v>
      </c>
      <c r="F137" s="34" t="s">
        <v>751</v>
      </c>
      <c r="G137" s="39">
        <v>10027463</v>
      </c>
      <c r="H137" s="42">
        <v>30040813</v>
      </c>
      <c r="I137" s="34" t="s">
        <v>161</v>
      </c>
      <c r="J137" s="34" t="s">
        <v>1443</v>
      </c>
      <c r="K137" s="36">
        <v>39118</v>
      </c>
      <c r="L137" s="34" t="s">
        <v>1444</v>
      </c>
      <c r="M137" s="34" t="s">
        <v>1445</v>
      </c>
      <c r="N137" s="34" t="s">
        <v>717</v>
      </c>
      <c r="O137" s="34" t="s">
        <v>717</v>
      </c>
      <c r="P137" s="34" t="s">
        <v>1486</v>
      </c>
      <c r="Q137" s="34" t="s">
        <v>1486</v>
      </c>
      <c r="R137" s="34" t="s">
        <v>1488</v>
      </c>
      <c r="S137" s="34" t="s">
        <v>1488</v>
      </c>
      <c r="T137" s="34" t="s">
        <v>751</v>
      </c>
      <c r="U137" s="34" t="s">
        <v>751</v>
      </c>
      <c r="V137" s="37">
        <v>17.73</v>
      </c>
      <c r="W137" s="45">
        <v>3957.48</v>
      </c>
      <c r="X137" s="37">
        <v>22220.81</v>
      </c>
      <c r="Y137" s="36">
        <v>43864</v>
      </c>
      <c r="Z137" s="34" t="s">
        <v>1448</v>
      </c>
    </row>
    <row r="138" spans="1:26" x14ac:dyDescent="0.25">
      <c r="A138" s="34" t="s">
        <v>1441</v>
      </c>
      <c r="B138" s="34" t="s">
        <v>1442</v>
      </c>
      <c r="C138" s="34" t="s">
        <v>16</v>
      </c>
      <c r="D138" s="34" t="s">
        <v>15</v>
      </c>
      <c r="E138" s="35">
        <v>30040814</v>
      </c>
      <c r="F138" s="34" t="s">
        <v>751</v>
      </c>
      <c r="G138" s="39">
        <v>10027533</v>
      </c>
      <c r="H138" s="42">
        <v>30040814</v>
      </c>
      <c r="I138" s="34" t="s">
        <v>162</v>
      </c>
      <c r="J138" s="34" t="s">
        <v>1443</v>
      </c>
      <c r="K138" s="36">
        <v>39125</v>
      </c>
      <c r="L138" s="34" t="s">
        <v>1444</v>
      </c>
      <c r="M138" s="34" t="s">
        <v>1445</v>
      </c>
      <c r="N138" s="34" t="s">
        <v>717</v>
      </c>
      <c r="O138" s="34" t="s">
        <v>717</v>
      </c>
      <c r="P138" s="34" t="s">
        <v>1446</v>
      </c>
      <c r="Q138" s="34" t="s">
        <v>1446</v>
      </c>
      <c r="R138" s="34" t="s">
        <v>1447</v>
      </c>
      <c r="S138" s="34" t="s">
        <v>1447</v>
      </c>
      <c r="T138" s="34" t="s">
        <v>751</v>
      </c>
      <c r="U138" s="34" t="s">
        <v>751</v>
      </c>
      <c r="V138" s="37">
        <v>17.73</v>
      </c>
      <c r="W138" s="45">
        <v>3957.48</v>
      </c>
      <c r="X138" s="37">
        <v>22220.81</v>
      </c>
      <c r="Y138" s="36">
        <v>43864</v>
      </c>
      <c r="Z138" s="34" t="s">
        <v>1448</v>
      </c>
    </row>
    <row r="139" spans="1:26" x14ac:dyDescent="0.25">
      <c r="A139" s="34" t="s">
        <v>1441</v>
      </c>
      <c r="B139" s="34" t="s">
        <v>1442</v>
      </c>
      <c r="C139" s="34" t="s">
        <v>16</v>
      </c>
      <c r="D139" s="34" t="s">
        <v>15</v>
      </c>
      <c r="E139" s="35">
        <v>30040815</v>
      </c>
      <c r="F139" s="34" t="s">
        <v>21</v>
      </c>
      <c r="G139" s="39">
        <v>10027587</v>
      </c>
      <c r="H139" s="42">
        <v>30040815</v>
      </c>
      <c r="I139" s="34" t="s">
        <v>163</v>
      </c>
      <c r="J139" s="34" t="s">
        <v>1443</v>
      </c>
      <c r="K139" s="36">
        <v>39134</v>
      </c>
      <c r="L139" s="34" t="s">
        <v>1444</v>
      </c>
      <c r="M139" s="34" t="s">
        <v>1445</v>
      </c>
      <c r="N139" s="34" t="s">
        <v>717</v>
      </c>
      <c r="O139" s="34" t="s">
        <v>717</v>
      </c>
      <c r="P139" s="34" t="s">
        <v>1462</v>
      </c>
      <c r="Q139" s="34" t="s">
        <v>1462</v>
      </c>
      <c r="R139" s="34" t="s">
        <v>1494</v>
      </c>
      <c r="S139" s="34" t="s">
        <v>1494</v>
      </c>
      <c r="T139" s="34" t="s">
        <v>21</v>
      </c>
      <c r="U139" s="34" t="s">
        <v>21</v>
      </c>
      <c r="V139" s="37">
        <v>11.71</v>
      </c>
      <c r="W139" s="45">
        <v>2613.77</v>
      </c>
      <c r="X139" s="37">
        <v>22220.84</v>
      </c>
      <c r="Y139" s="36">
        <v>43864</v>
      </c>
      <c r="Z139" s="34" t="s">
        <v>1448</v>
      </c>
    </row>
    <row r="140" spans="1:26" x14ac:dyDescent="0.25">
      <c r="A140" s="34" t="s">
        <v>1441</v>
      </c>
      <c r="B140" s="34" t="s">
        <v>1442</v>
      </c>
      <c r="C140" s="34" t="s">
        <v>16</v>
      </c>
      <c r="D140" s="34" t="s">
        <v>15</v>
      </c>
      <c r="E140" s="35">
        <v>30040816</v>
      </c>
      <c r="F140" s="34" t="s">
        <v>751</v>
      </c>
      <c r="G140" s="39">
        <v>10027633</v>
      </c>
      <c r="H140" s="42">
        <v>30040816</v>
      </c>
      <c r="I140" s="34" t="s">
        <v>164</v>
      </c>
      <c r="J140" s="34" t="s">
        <v>1443</v>
      </c>
      <c r="K140" s="36">
        <v>39146</v>
      </c>
      <c r="L140" s="34" t="s">
        <v>1444</v>
      </c>
      <c r="M140" s="34" t="s">
        <v>1445</v>
      </c>
      <c r="N140" s="34" t="s">
        <v>717</v>
      </c>
      <c r="O140" s="34" t="s">
        <v>717</v>
      </c>
      <c r="P140" s="34" t="s">
        <v>1486</v>
      </c>
      <c r="Q140" s="34" t="s">
        <v>1486</v>
      </c>
      <c r="R140" s="34" t="s">
        <v>1488</v>
      </c>
      <c r="S140" s="34" t="s">
        <v>1488</v>
      </c>
      <c r="T140" s="34" t="s">
        <v>751</v>
      </c>
      <c r="U140" s="34" t="s">
        <v>751</v>
      </c>
      <c r="V140" s="37">
        <v>17.73</v>
      </c>
      <c r="W140" s="45">
        <v>3957.48</v>
      </c>
      <c r="X140" s="37">
        <v>22220.81</v>
      </c>
      <c r="Y140" s="36">
        <v>43864</v>
      </c>
      <c r="Z140" s="34" t="s">
        <v>1448</v>
      </c>
    </row>
    <row r="141" spans="1:26" x14ac:dyDescent="0.25">
      <c r="A141" s="34" t="s">
        <v>1441</v>
      </c>
      <c r="B141" s="34" t="s">
        <v>1442</v>
      </c>
      <c r="C141" s="34" t="s">
        <v>6</v>
      </c>
      <c r="D141" s="34" t="s">
        <v>15</v>
      </c>
      <c r="E141" s="35">
        <v>30040817</v>
      </c>
      <c r="F141" s="34" t="s">
        <v>760</v>
      </c>
      <c r="G141" s="39">
        <v>10027720</v>
      </c>
      <c r="H141" s="42">
        <v>30040817</v>
      </c>
      <c r="I141" s="34" t="s">
        <v>165</v>
      </c>
      <c r="J141" s="34" t="s">
        <v>1443</v>
      </c>
      <c r="K141" s="36">
        <v>39160</v>
      </c>
      <c r="L141" s="34" t="s">
        <v>1444</v>
      </c>
      <c r="M141" s="34" t="s">
        <v>1445</v>
      </c>
      <c r="N141" s="34" t="s">
        <v>717</v>
      </c>
      <c r="O141" s="34" t="s">
        <v>717</v>
      </c>
      <c r="P141" s="34" t="s">
        <v>1459</v>
      </c>
      <c r="Q141" s="34" t="s">
        <v>1479</v>
      </c>
      <c r="R141" s="34" t="s">
        <v>1480</v>
      </c>
      <c r="S141" s="34" t="s">
        <v>1480</v>
      </c>
      <c r="T141" s="34" t="s">
        <v>760</v>
      </c>
      <c r="U141" s="34" t="s">
        <v>760</v>
      </c>
      <c r="V141" s="37">
        <v>18.62</v>
      </c>
      <c r="W141" s="45">
        <v>4156.1400000000003</v>
      </c>
      <c r="X141" s="37">
        <v>22220.84</v>
      </c>
      <c r="Y141" s="36">
        <v>43864</v>
      </c>
      <c r="Z141" s="34" t="s">
        <v>1448</v>
      </c>
    </row>
    <row r="142" spans="1:26" x14ac:dyDescent="0.25">
      <c r="A142" s="34" t="s">
        <v>1441</v>
      </c>
      <c r="B142" s="34" t="s">
        <v>1442</v>
      </c>
      <c r="C142" s="34" t="s">
        <v>16</v>
      </c>
      <c r="D142" s="34" t="s">
        <v>15</v>
      </c>
      <c r="E142" s="35">
        <v>30041345</v>
      </c>
      <c r="F142" s="34" t="s">
        <v>761</v>
      </c>
      <c r="G142" s="39">
        <v>10027724</v>
      </c>
      <c r="H142" s="42">
        <v>30041345</v>
      </c>
      <c r="I142" s="34" t="s">
        <v>166</v>
      </c>
      <c r="J142" s="34" t="s">
        <v>1443</v>
      </c>
      <c r="K142" s="36">
        <v>39160</v>
      </c>
      <c r="L142" s="34" t="s">
        <v>1444</v>
      </c>
      <c r="M142" s="34" t="s">
        <v>1445</v>
      </c>
      <c r="N142" s="34" t="s">
        <v>717</v>
      </c>
      <c r="O142" s="34" t="s">
        <v>717</v>
      </c>
      <c r="P142" s="34" t="s">
        <v>1492</v>
      </c>
      <c r="Q142" s="34" t="s">
        <v>1492</v>
      </c>
      <c r="R142" s="34" t="s">
        <v>1493</v>
      </c>
      <c r="S142" s="34" t="s">
        <v>1493</v>
      </c>
      <c r="T142" s="34" t="s">
        <v>761</v>
      </c>
      <c r="U142" s="34" t="s">
        <v>761</v>
      </c>
      <c r="V142" s="37">
        <v>11.43</v>
      </c>
      <c r="W142" s="45">
        <v>2551.27</v>
      </c>
      <c r="X142" s="37">
        <v>22220.82</v>
      </c>
      <c r="Y142" s="36">
        <v>43864</v>
      </c>
      <c r="Z142" s="34" t="s">
        <v>1448</v>
      </c>
    </row>
    <row r="143" spans="1:26" x14ac:dyDescent="0.25">
      <c r="A143" s="34" t="s">
        <v>1441</v>
      </c>
      <c r="B143" s="34" t="s">
        <v>1442</v>
      </c>
      <c r="C143" s="34" t="s">
        <v>16</v>
      </c>
      <c r="D143" s="34" t="s">
        <v>15</v>
      </c>
      <c r="E143" s="35">
        <v>30040819</v>
      </c>
      <c r="F143" s="34" t="s">
        <v>751</v>
      </c>
      <c r="G143" s="39">
        <v>10027735</v>
      </c>
      <c r="H143" s="42">
        <v>30040819</v>
      </c>
      <c r="I143" s="34" t="s">
        <v>167</v>
      </c>
      <c r="J143" s="34" t="s">
        <v>1443</v>
      </c>
      <c r="K143" s="36">
        <v>39174</v>
      </c>
      <c r="L143" s="34" t="s">
        <v>1444</v>
      </c>
      <c r="M143" s="34" t="s">
        <v>1445</v>
      </c>
      <c r="N143" s="34" t="s">
        <v>717</v>
      </c>
      <c r="O143" s="34" t="s">
        <v>717</v>
      </c>
      <c r="P143" s="34" t="s">
        <v>1446</v>
      </c>
      <c r="Q143" s="34" t="s">
        <v>1446</v>
      </c>
      <c r="R143" s="34" t="s">
        <v>1447</v>
      </c>
      <c r="S143" s="34" t="s">
        <v>1447</v>
      </c>
      <c r="T143" s="34" t="s">
        <v>751</v>
      </c>
      <c r="U143" s="34" t="s">
        <v>751</v>
      </c>
      <c r="V143" s="37">
        <v>17.73</v>
      </c>
      <c r="W143" s="45">
        <v>3957.48</v>
      </c>
      <c r="X143" s="37">
        <v>22220.81</v>
      </c>
      <c r="Y143" s="36">
        <v>43864</v>
      </c>
      <c r="Z143" s="34" t="s">
        <v>1448</v>
      </c>
    </row>
    <row r="144" spans="1:26" x14ac:dyDescent="0.25">
      <c r="A144" s="34" t="s">
        <v>1441</v>
      </c>
      <c r="B144" s="34" t="s">
        <v>1442</v>
      </c>
      <c r="C144" s="34" t="s">
        <v>16</v>
      </c>
      <c r="D144" s="34" t="s">
        <v>15</v>
      </c>
      <c r="E144" s="35">
        <v>30040820</v>
      </c>
      <c r="F144" s="34" t="s">
        <v>759</v>
      </c>
      <c r="G144" s="39">
        <v>10027873</v>
      </c>
      <c r="H144" s="42">
        <v>30040820</v>
      </c>
      <c r="I144" s="34" t="s">
        <v>168</v>
      </c>
      <c r="J144" s="34" t="s">
        <v>1443</v>
      </c>
      <c r="K144" s="36">
        <v>39204</v>
      </c>
      <c r="L144" s="34" t="s">
        <v>1444</v>
      </c>
      <c r="M144" s="34" t="s">
        <v>1445</v>
      </c>
      <c r="N144" s="34" t="s">
        <v>717</v>
      </c>
      <c r="O144" s="34" t="s">
        <v>717</v>
      </c>
      <c r="P144" s="34" t="s">
        <v>1466</v>
      </c>
      <c r="Q144" s="34" t="s">
        <v>1466</v>
      </c>
      <c r="R144" s="34" t="s">
        <v>1467</v>
      </c>
      <c r="S144" s="34" t="s">
        <v>1467</v>
      </c>
      <c r="T144" s="34" t="s">
        <v>759</v>
      </c>
      <c r="U144" s="34" t="s">
        <v>759</v>
      </c>
      <c r="V144" s="37">
        <v>14.04</v>
      </c>
      <c r="W144" s="45">
        <v>3133.85</v>
      </c>
      <c r="X144" s="37">
        <v>22220.87</v>
      </c>
      <c r="Y144" s="36">
        <v>43864</v>
      </c>
      <c r="Z144" s="34" t="s">
        <v>1448</v>
      </c>
    </row>
    <row r="145" spans="1:26" x14ac:dyDescent="0.25">
      <c r="A145" s="34" t="s">
        <v>1441</v>
      </c>
      <c r="B145" s="34" t="s">
        <v>1442</v>
      </c>
      <c r="C145" s="34" t="s">
        <v>16</v>
      </c>
      <c r="D145" s="34" t="s">
        <v>15</v>
      </c>
      <c r="E145" s="35">
        <v>30040821</v>
      </c>
      <c r="F145" s="34" t="s">
        <v>751</v>
      </c>
      <c r="G145" s="39">
        <v>10028083</v>
      </c>
      <c r="H145" s="42">
        <v>30040821</v>
      </c>
      <c r="I145" s="34" t="s">
        <v>169</v>
      </c>
      <c r="J145" s="34" t="s">
        <v>1443</v>
      </c>
      <c r="K145" s="36">
        <v>39246</v>
      </c>
      <c r="L145" s="34" t="s">
        <v>1444</v>
      </c>
      <c r="M145" s="34" t="s">
        <v>1445</v>
      </c>
      <c r="N145" s="34" t="s">
        <v>717</v>
      </c>
      <c r="O145" s="34" t="s">
        <v>717</v>
      </c>
      <c r="P145" s="34" t="s">
        <v>1446</v>
      </c>
      <c r="Q145" s="34" t="s">
        <v>1446</v>
      </c>
      <c r="R145" s="34" t="s">
        <v>1447</v>
      </c>
      <c r="S145" s="34" t="s">
        <v>1447</v>
      </c>
      <c r="T145" s="34" t="s">
        <v>751</v>
      </c>
      <c r="U145" s="34" t="s">
        <v>751</v>
      </c>
      <c r="V145" s="37">
        <v>17.73</v>
      </c>
      <c r="W145" s="45">
        <v>3957.48</v>
      </c>
      <c r="X145" s="37">
        <v>22220.81</v>
      </c>
      <c r="Y145" s="36">
        <v>43864</v>
      </c>
      <c r="Z145" s="34" t="s">
        <v>1448</v>
      </c>
    </row>
    <row r="146" spans="1:26" x14ac:dyDescent="0.25">
      <c r="A146" s="34" t="s">
        <v>1441</v>
      </c>
      <c r="B146" s="34" t="s">
        <v>1442</v>
      </c>
      <c r="C146" s="34" t="s">
        <v>16</v>
      </c>
      <c r="D146" s="34" t="s">
        <v>15</v>
      </c>
      <c r="E146" s="35">
        <v>30040822</v>
      </c>
      <c r="F146" s="34" t="s">
        <v>751</v>
      </c>
      <c r="G146" s="39">
        <v>10028084</v>
      </c>
      <c r="H146" s="42">
        <v>30040822</v>
      </c>
      <c r="I146" s="34" t="s">
        <v>170</v>
      </c>
      <c r="J146" s="34" t="s">
        <v>1443</v>
      </c>
      <c r="K146" s="36">
        <v>39246</v>
      </c>
      <c r="L146" s="34" t="s">
        <v>1444</v>
      </c>
      <c r="M146" s="34" t="s">
        <v>1445</v>
      </c>
      <c r="N146" s="34" t="s">
        <v>717</v>
      </c>
      <c r="O146" s="34" t="s">
        <v>717</v>
      </c>
      <c r="P146" s="34" t="s">
        <v>1486</v>
      </c>
      <c r="Q146" s="34" t="s">
        <v>1486</v>
      </c>
      <c r="R146" s="34" t="s">
        <v>1487</v>
      </c>
      <c r="S146" s="34" t="s">
        <v>1487</v>
      </c>
      <c r="T146" s="34" t="s">
        <v>751</v>
      </c>
      <c r="U146" s="34" t="s">
        <v>751</v>
      </c>
      <c r="V146" s="37">
        <v>17.73</v>
      </c>
      <c r="W146" s="45">
        <v>3957.48</v>
      </c>
      <c r="X146" s="37">
        <v>22220.81</v>
      </c>
      <c r="Y146" s="36">
        <v>43864</v>
      </c>
      <c r="Z146" s="34" t="s">
        <v>1448</v>
      </c>
    </row>
    <row r="147" spans="1:26" x14ac:dyDescent="0.25">
      <c r="A147" s="34" t="s">
        <v>1441</v>
      </c>
      <c r="B147" s="34" t="s">
        <v>1442</v>
      </c>
      <c r="C147" s="34" t="s">
        <v>16</v>
      </c>
      <c r="D147" s="34" t="s">
        <v>15</v>
      </c>
      <c r="E147" s="35">
        <v>30040823</v>
      </c>
      <c r="F147" s="34" t="s">
        <v>751</v>
      </c>
      <c r="G147" s="39">
        <v>10028087</v>
      </c>
      <c r="H147" s="42">
        <v>30040823</v>
      </c>
      <c r="I147" s="34" t="s">
        <v>171</v>
      </c>
      <c r="J147" s="34" t="s">
        <v>1443</v>
      </c>
      <c r="K147" s="36">
        <v>39246</v>
      </c>
      <c r="L147" s="34" t="s">
        <v>1444</v>
      </c>
      <c r="M147" s="34" t="s">
        <v>1445</v>
      </c>
      <c r="N147" s="34" t="s">
        <v>717</v>
      </c>
      <c r="O147" s="34" t="s">
        <v>717</v>
      </c>
      <c r="P147" s="34" t="s">
        <v>1452</v>
      </c>
      <c r="Q147" s="34" t="s">
        <v>1452</v>
      </c>
      <c r="R147" s="34" t="s">
        <v>1453</v>
      </c>
      <c r="S147" s="34" t="s">
        <v>1453</v>
      </c>
      <c r="T147" s="34" t="s">
        <v>751</v>
      </c>
      <c r="U147" s="34" t="s">
        <v>751</v>
      </c>
      <c r="V147" s="37">
        <v>17.73</v>
      </c>
      <c r="W147" s="45">
        <v>3957.48</v>
      </c>
      <c r="X147" s="37">
        <v>22220.81</v>
      </c>
      <c r="Y147" s="36">
        <v>43864</v>
      </c>
      <c r="Z147" s="34" t="s">
        <v>1448</v>
      </c>
    </row>
    <row r="148" spans="1:26" x14ac:dyDescent="0.25">
      <c r="A148" s="34" t="s">
        <v>1441</v>
      </c>
      <c r="B148" s="34" t="s">
        <v>1442</v>
      </c>
      <c r="C148" s="34" t="s">
        <v>16</v>
      </c>
      <c r="D148" s="34" t="s">
        <v>15</v>
      </c>
      <c r="E148" s="35">
        <v>30040824</v>
      </c>
      <c r="F148" s="34" t="s">
        <v>751</v>
      </c>
      <c r="G148" s="39">
        <v>10028139</v>
      </c>
      <c r="H148" s="42">
        <v>30040824</v>
      </c>
      <c r="I148" s="34" t="s">
        <v>172</v>
      </c>
      <c r="J148" s="34" t="s">
        <v>1443</v>
      </c>
      <c r="K148" s="36">
        <v>39265</v>
      </c>
      <c r="L148" s="34" t="s">
        <v>1444</v>
      </c>
      <c r="M148" s="34" t="s">
        <v>1445</v>
      </c>
      <c r="N148" s="34" t="s">
        <v>717</v>
      </c>
      <c r="O148" s="34" t="s">
        <v>717</v>
      </c>
      <c r="P148" s="34" t="s">
        <v>1486</v>
      </c>
      <c r="Q148" s="34" t="s">
        <v>1486</v>
      </c>
      <c r="R148" s="34" t="s">
        <v>1487</v>
      </c>
      <c r="S148" s="34" t="s">
        <v>1487</v>
      </c>
      <c r="T148" s="34" t="s">
        <v>751</v>
      </c>
      <c r="U148" s="34" t="s">
        <v>751</v>
      </c>
      <c r="V148" s="37">
        <v>17.73</v>
      </c>
      <c r="W148" s="45">
        <v>3957.48</v>
      </c>
      <c r="X148" s="37">
        <v>22220.81</v>
      </c>
      <c r="Y148" s="36">
        <v>43864</v>
      </c>
      <c r="Z148" s="34" t="s">
        <v>1448</v>
      </c>
    </row>
    <row r="149" spans="1:26" x14ac:dyDescent="0.25">
      <c r="A149" s="34" t="s">
        <v>1441</v>
      </c>
      <c r="B149" s="34" t="s">
        <v>1442</v>
      </c>
      <c r="C149" s="34" t="s">
        <v>16</v>
      </c>
      <c r="D149" s="34" t="s">
        <v>15</v>
      </c>
      <c r="E149" s="35">
        <v>30040825</v>
      </c>
      <c r="F149" s="34" t="s">
        <v>751</v>
      </c>
      <c r="G149" s="39">
        <v>10028155</v>
      </c>
      <c r="H149" s="42">
        <v>30040825</v>
      </c>
      <c r="I149" s="34" t="s">
        <v>173</v>
      </c>
      <c r="J149" s="34" t="s">
        <v>1443</v>
      </c>
      <c r="K149" s="36">
        <v>39265</v>
      </c>
      <c r="L149" s="34" t="s">
        <v>1444</v>
      </c>
      <c r="M149" s="34" t="s">
        <v>1445</v>
      </c>
      <c r="N149" s="34" t="s">
        <v>717</v>
      </c>
      <c r="O149" s="34" t="s">
        <v>717</v>
      </c>
      <c r="P149" s="34" t="s">
        <v>1446</v>
      </c>
      <c r="Q149" s="34" t="s">
        <v>1446</v>
      </c>
      <c r="R149" s="34" t="s">
        <v>1451</v>
      </c>
      <c r="S149" s="34" t="s">
        <v>1451</v>
      </c>
      <c r="T149" s="34" t="s">
        <v>751</v>
      </c>
      <c r="U149" s="34" t="s">
        <v>751</v>
      </c>
      <c r="V149" s="37">
        <v>17.73</v>
      </c>
      <c r="W149" s="45">
        <v>3957.48</v>
      </c>
      <c r="X149" s="37">
        <v>22220.81</v>
      </c>
      <c r="Y149" s="36">
        <v>43864</v>
      </c>
      <c r="Z149" s="34" t="s">
        <v>1448</v>
      </c>
    </row>
    <row r="150" spans="1:26" x14ac:dyDescent="0.25">
      <c r="A150" s="34" t="s">
        <v>1441</v>
      </c>
      <c r="B150" s="34" t="s">
        <v>1442</v>
      </c>
      <c r="C150" s="34" t="s">
        <v>16</v>
      </c>
      <c r="D150" s="34" t="s">
        <v>15</v>
      </c>
      <c r="E150" s="35">
        <v>30040826</v>
      </c>
      <c r="F150" s="34" t="s">
        <v>751</v>
      </c>
      <c r="G150" s="39">
        <v>10028309</v>
      </c>
      <c r="H150" s="42">
        <v>30040826</v>
      </c>
      <c r="I150" s="34" t="s">
        <v>174</v>
      </c>
      <c r="J150" s="34" t="s">
        <v>1443</v>
      </c>
      <c r="K150" s="36">
        <v>39295</v>
      </c>
      <c r="L150" s="34" t="s">
        <v>1444</v>
      </c>
      <c r="M150" s="34" t="s">
        <v>1445</v>
      </c>
      <c r="N150" s="34" t="s">
        <v>717</v>
      </c>
      <c r="O150" s="34" t="s">
        <v>717</v>
      </c>
      <c r="P150" s="34" t="s">
        <v>1486</v>
      </c>
      <c r="Q150" s="34" t="s">
        <v>1486</v>
      </c>
      <c r="R150" s="34" t="s">
        <v>1487</v>
      </c>
      <c r="S150" s="34" t="s">
        <v>1487</v>
      </c>
      <c r="T150" s="34" t="s">
        <v>751</v>
      </c>
      <c r="U150" s="34" t="s">
        <v>751</v>
      </c>
      <c r="V150" s="37">
        <v>17.73</v>
      </c>
      <c r="W150" s="45">
        <v>3957.48</v>
      </c>
      <c r="X150" s="37">
        <v>22220.81</v>
      </c>
      <c r="Y150" s="36">
        <v>43864</v>
      </c>
      <c r="Z150" s="34" t="s">
        <v>1448</v>
      </c>
    </row>
    <row r="151" spans="1:26" x14ac:dyDescent="0.25">
      <c r="A151" s="34" t="s">
        <v>1441</v>
      </c>
      <c r="B151" s="34" t="s">
        <v>1442</v>
      </c>
      <c r="C151" s="34" t="s">
        <v>16</v>
      </c>
      <c r="D151" s="34" t="s">
        <v>15</v>
      </c>
      <c r="E151" s="35">
        <v>30040827</v>
      </c>
      <c r="F151" s="34" t="s">
        <v>751</v>
      </c>
      <c r="G151" s="39">
        <v>10028377</v>
      </c>
      <c r="H151" s="42">
        <v>30040827</v>
      </c>
      <c r="I151" s="34" t="s">
        <v>175</v>
      </c>
      <c r="J151" s="34" t="s">
        <v>1443</v>
      </c>
      <c r="K151" s="36">
        <v>39300</v>
      </c>
      <c r="L151" s="34" t="s">
        <v>1444</v>
      </c>
      <c r="M151" s="34" t="s">
        <v>1445</v>
      </c>
      <c r="N151" s="34" t="s">
        <v>717</v>
      </c>
      <c r="O151" s="34" t="s">
        <v>717</v>
      </c>
      <c r="P151" s="34" t="s">
        <v>1446</v>
      </c>
      <c r="Q151" s="34" t="s">
        <v>1446</v>
      </c>
      <c r="R151" s="34" t="s">
        <v>1451</v>
      </c>
      <c r="S151" s="34" t="s">
        <v>1451</v>
      </c>
      <c r="T151" s="34" t="s">
        <v>751</v>
      </c>
      <c r="U151" s="34" t="s">
        <v>751</v>
      </c>
      <c r="V151" s="37">
        <v>17.73</v>
      </c>
      <c r="W151" s="45">
        <v>3957.48</v>
      </c>
      <c r="X151" s="37">
        <v>22220.81</v>
      </c>
      <c r="Y151" s="36">
        <v>43864</v>
      </c>
      <c r="Z151" s="34" t="s">
        <v>1448</v>
      </c>
    </row>
    <row r="152" spans="1:26" x14ac:dyDescent="0.25">
      <c r="A152" s="34" t="s">
        <v>1441</v>
      </c>
      <c r="B152" s="34" t="s">
        <v>1442</v>
      </c>
      <c r="C152" s="34" t="s">
        <v>16</v>
      </c>
      <c r="D152" s="34" t="s">
        <v>15</v>
      </c>
      <c r="E152" s="35">
        <v>30040828</v>
      </c>
      <c r="F152" s="34" t="s">
        <v>751</v>
      </c>
      <c r="G152" s="39">
        <v>10028408</v>
      </c>
      <c r="H152" s="42">
        <v>30040828</v>
      </c>
      <c r="I152" s="34" t="s">
        <v>176</v>
      </c>
      <c r="J152" s="34" t="s">
        <v>1443</v>
      </c>
      <c r="K152" s="36">
        <v>39307</v>
      </c>
      <c r="L152" s="34" t="s">
        <v>1444</v>
      </c>
      <c r="M152" s="34" t="s">
        <v>1445</v>
      </c>
      <c r="N152" s="34" t="s">
        <v>717</v>
      </c>
      <c r="O152" s="34" t="s">
        <v>717</v>
      </c>
      <c r="P152" s="34" t="s">
        <v>1446</v>
      </c>
      <c r="Q152" s="34" t="s">
        <v>1446</v>
      </c>
      <c r="R152" s="34" t="s">
        <v>1451</v>
      </c>
      <c r="S152" s="34" t="s">
        <v>1451</v>
      </c>
      <c r="T152" s="34" t="s">
        <v>751</v>
      </c>
      <c r="U152" s="34" t="s">
        <v>751</v>
      </c>
      <c r="V152" s="37">
        <v>17.73</v>
      </c>
      <c r="W152" s="45">
        <v>3957.48</v>
      </c>
      <c r="X152" s="37">
        <v>22220.81</v>
      </c>
      <c r="Y152" s="36">
        <v>43864</v>
      </c>
      <c r="Z152" s="34" t="s">
        <v>1448</v>
      </c>
    </row>
    <row r="153" spans="1:26" x14ac:dyDescent="0.25">
      <c r="A153" s="34" t="s">
        <v>1441</v>
      </c>
      <c r="B153" s="34" t="s">
        <v>1442</v>
      </c>
      <c r="C153" s="34" t="s">
        <v>16</v>
      </c>
      <c r="D153" s="34" t="s">
        <v>15</v>
      </c>
      <c r="E153" s="35">
        <v>30040829</v>
      </c>
      <c r="F153" s="34" t="s">
        <v>751</v>
      </c>
      <c r="G153" s="39">
        <v>10028425</v>
      </c>
      <c r="H153" s="42">
        <v>30040829</v>
      </c>
      <c r="I153" s="34" t="s">
        <v>177</v>
      </c>
      <c r="J153" s="34" t="s">
        <v>1443</v>
      </c>
      <c r="K153" s="36">
        <v>39307</v>
      </c>
      <c r="L153" s="34" t="s">
        <v>1444</v>
      </c>
      <c r="M153" s="34" t="s">
        <v>1445</v>
      </c>
      <c r="N153" s="34" t="s">
        <v>717</v>
      </c>
      <c r="O153" s="34" t="s">
        <v>717</v>
      </c>
      <c r="P153" s="34" t="s">
        <v>1456</v>
      </c>
      <c r="Q153" s="34" t="s">
        <v>1456</v>
      </c>
      <c r="R153" s="34" t="s">
        <v>1457</v>
      </c>
      <c r="S153" s="34" t="s">
        <v>1457</v>
      </c>
      <c r="T153" s="34" t="s">
        <v>751</v>
      </c>
      <c r="U153" s="34" t="s">
        <v>751</v>
      </c>
      <c r="V153" s="37">
        <v>17.73</v>
      </c>
      <c r="W153" s="45">
        <v>3957.48</v>
      </c>
      <c r="X153" s="37">
        <v>22220.81</v>
      </c>
      <c r="Y153" s="36">
        <v>43864</v>
      </c>
      <c r="Z153" s="34" t="s">
        <v>1448</v>
      </c>
    </row>
    <row r="154" spans="1:26" x14ac:dyDescent="0.25">
      <c r="A154" s="34" t="s">
        <v>1441</v>
      </c>
      <c r="B154" s="34" t="s">
        <v>1442</v>
      </c>
      <c r="C154" s="34" t="s">
        <v>16</v>
      </c>
      <c r="D154" s="34" t="s">
        <v>15</v>
      </c>
      <c r="E154" s="35">
        <v>30040830</v>
      </c>
      <c r="F154" s="34" t="s">
        <v>758</v>
      </c>
      <c r="G154" s="39">
        <v>10028445</v>
      </c>
      <c r="H154" s="42">
        <v>30040830</v>
      </c>
      <c r="I154" s="34" t="s">
        <v>178</v>
      </c>
      <c r="J154" s="34" t="s">
        <v>1443</v>
      </c>
      <c r="K154" s="36">
        <v>39310</v>
      </c>
      <c r="L154" s="34" t="s">
        <v>1444</v>
      </c>
      <c r="M154" s="34" t="s">
        <v>1445</v>
      </c>
      <c r="N154" s="34" t="s">
        <v>717</v>
      </c>
      <c r="O154" s="34" t="s">
        <v>717</v>
      </c>
      <c r="P154" s="34" t="s">
        <v>1449</v>
      </c>
      <c r="Q154" s="34" t="s">
        <v>1449</v>
      </c>
      <c r="R154" s="34" t="s">
        <v>1450</v>
      </c>
      <c r="S154" s="34" t="s">
        <v>1450</v>
      </c>
      <c r="T154" s="34" t="s">
        <v>758</v>
      </c>
      <c r="U154" s="34" t="s">
        <v>758</v>
      </c>
      <c r="V154" s="37">
        <v>14.48</v>
      </c>
      <c r="W154" s="45">
        <v>3232.06</v>
      </c>
      <c r="X154" s="37">
        <v>22220.86</v>
      </c>
      <c r="Y154" s="36">
        <v>43864</v>
      </c>
      <c r="Z154" s="34" t="s">
        <v>1448</v>
      </c>
    </row>
    <row r="155" spans="1:26" x14ac:dyDescent="0.25">
      <c r="A155" s="34" t="s">
        <v>1441</v>
      </c>
      <c r="B155" s="34" t="s">
        <v>1442</v>
      </c>
      <c r="C155" s="34" t="s">
        <v>16</v>
      </c>
      <c r="D155" s="34" t="s">
        <v>15</v>
      </c>
      <c r="E155" s="35">
        <v>30040831</v>
      </c>
      <c r="F155" s="34" t="s">
        <v>751</v>
      </c>
      <c r="G155" s="39">
        <v>10028569</v>
      </c>
      <c r="H155" s="42">
        <v>30040831</v>
      </c>
      <c r="I155" s="34" t="s">
        <v>179</v>
      </c>
      <c r="J155" s="34" t="s">
        <v>1443</v>
      </c>
      <c r="K155" s="36">
        <v>39342</v>
      </c>
      <c r="L155" s="34" t="s">
        <v>1444</v>
      </c>
      <c r="M155" s="34" t="s">
        <v>1445</v>
      </c>
      <c r="N155" s="34" t="s">
        <v>717</v>
      </c>
      <c r="O155" s="34" t="s">
        <v>717</v>
      </c>
      <c r="P155" s="34" t="s">
        <v>1452</v>
      </c>
      <c r="Q155" s="34" t="s">
        <v>1452</v>
      </c>
      <c r="R155" s="34" t="s">
        <v>1453</v>
      </c>
      <c r="S155" s="34" t="s">
        <v>1453</v>
      </c>
      <c r="T155" s="34" t="s">
        <v>751</v>
      </c>
      <c r="U155" s="34" t="s">
        <v>751</v>
      </c>
      <c r="V155" s="37">
        <v>17.73</v>
      </c>
      <c r="W155" s="45">
        <v>3957.48</v>
      </c>
      <c r="X155" s="37">
        <v>22220.81</v>
      </c>
      <c r="Y155" s="36">
        <v>43864</v>
      </c>
      <c r="Z155" s="34" t="s">
        <v>1448</v>
      </c>
    </row>
    <row r="156" spans="1:26" x14ac:dyDescent="0.25">
      <c r="A156" s="34" t="s">
        <v>1441</v>
      </c>
      <c r="B156" s="34" t="s">
        <v>1442</v>
      </c>
      <c r="C156" s="34" t="s">
        <v>16</v>
      </c>
      <c r="D156" s="34" t="s">
        <v>15</v>
      </c>
      <c r="E156" s="35">
        <v>30040832</v>
      </c>
      <c r="F156" s="34" t="s">
        <v>751</v>
      </c>
      <c r="G156" s="39">
        <v>10028738</v>
      </c>
      <c r="H156" s="42">
        <v>30040832</v>
      </c>
      <c r="I156" s="34" t="s">
        <v>180</v>
      </c>
      <c r="J156" s="34" t="s">
        <v>1443</v>
      </c>
      <c r="K156" s="36">
        <v>39391</v>
      </c>
      <c r="L156" s="34" t="s">
        <v>1444</v>
      </c>
      <c r="M156" s="34" t="s">
        <v>1445</v>
      </c>
      <c r="N156" s="34" t="s">
        <v>717</v>
      </c>
      <c r="O156" s="34" t="s">
        <v>717</v>
      </c>
      <c r="P156" s="34" t="s">
        <v>1446</v>
      </c>
      <c r="Q156" s="34" t="s">
        <v>1446</v>
      </c>
      <c r="R156" s="34" t="s">
        <v>1451</v>
      </c>
      <c r="S156" s="34" t="s">
        <v>1451</v>
      </c>
      <c r="T156" s="34" t="s">
        <v>751</v>
      </c>
      <c r="U156" s="34" t="s">
        <v>751</v>
      </c>
      <c r="V156" s="37">
        <v>17.73</v>
      </c>
      <c r="W156" s="45">
        <v>3957.48</v>
      </c>
      <c r="X156" s="37">
        <v>22220.81</v>
      </c>
      <c r="Y156" s="36">
        <v>43864</v>
      </c>
      <c r="Z156" s="34" t="s">
        <v>1448</v>
      </c>
    </row>
    <row r="157" spans="1:26" x14ac:dyDescent="0.25">
      <c r="A157" s="34" t="s">
        <v>1441</v>
      </c>
      <c r="B157" s="34" t="s">
        <v>1442</v>
      </c>
      <c r="C157" s="34" t="s">
        <v>16</v>
      </c>
      <c r="D157" s="34" t="s">
        <v>15</v>
      </c>
      <c r="E157" s="35">
        <v>30040833</v>
      </c>
      <c r="F157" s="34" t="s">
        <v>751</v>
      </c>
      <c r="G157" s="39">
        <v>10028747</v>
      </c>
      <c r="H157" s="42">
        <v>30040833</v>
      </c>
      <c r="I157" s="34" t="s">
        <v>181</v>
      </c>
      <c r="J157" s="34" t="s">
        <v>1443</v>
      </c>
      <c r="K157" s="36">
        <v>39391</v>
      </c>
      <c r="L157" s="34" t="s">
        <v>1444</v>
      </c>
      <c r="M157" s="34" t="s">
        <v>1445</v>
      </c>
      <c r="N157" s="34" t="s">
        <v>717</v>
      </c>
      <c r="O157" s="34" t="s">
        <v>717</v>
      </c>
      <c r="P157" s="34" t="s">
        <v>1446</v>
      </c>
      <c r="Q157" s="34" t="s">
        <v>1446</v>
      </c>
      <c r="R157" s="34" t="s">
        <v>1451</v>
      </c>
      <c r="S157" s="34" t="s">
        <v>1451</v>
      </c>
      <c r="T157" s="34" t="s">
        <v>751</v>
      </c>
      <c r="U157" s="34" t="s">
        <v>751</v>
      </c>
      <c r="V157" s="37">
        <v>17.73</v>
      </c>
      <c r="W157" s="45">
        <v>3957.48</v>
      </c>
      <c r="X157" s="37">
        <v>22220.81</v>
      </c>
      <c r="Y157" s="36">
        <v>43864</v>
      </c>
      <c r="Z157" s="34" t="s">
        <v>1448</v>
      </c>
    </row>
    <row r="158" spans="1:26" x14ac:dyDescent="0.25">
      <c r="A158" s="34" t="s">
        <v>1441</v>
      </c>
      <c r="B158" s="34" t="s">
        <v>1442</v>
      </c>
      <c r="C158" s="34" t="s">
        <v>16</v>
      </c>
      <c r="D158" s="34" t="s">
        <v>15</v>
      </c>
      <c r="E158" s="35">
        <v>30040834</v>
      </c>
      <c r="F158" s="34" t="s">
        <v>762</v>
      </c>
      <c r="G158" s="39">
        <v>10028748</v>
      </c>
      <c r="H158" s="42">
        <v>30040834</v>
      </c>
      <c r="I158" s="34" t="s">
        <v>182</v>
      </c>
      <c r="J158" s="34" t="s">
        <v>1443</v>
      </c>
      <c r="K158" s="36">
        <v>39391</v>
      </c>
      <c r="L158" s="34" t="s">
        <v>1444</v>
      </c>
      <c r="M158" s="34" t="s">
        <v>1445</v>
      </c>
      <c r="N158" s="34" t="s">
        <v>717</v>
      </c>
      <c r="O158" s="34" t="s">
        <v>717</v>
      </c>
      <c r="P158" s="34" t="s">
        <v>1490</v>
      </c>
      <c r="Q158" s="34" t="s">
        <v>1490</v>
      </c>
      <c r="R158" s="34" t="s">
        <v>1491</v>
      </c>
      <c r="S158" s="34" t="s">
        <v>1491</v>
      </c>
      <c r="T158" s="34" t="s">
        <v>762</v>
      </c>
      <c r="U158" s="34" t="s">
        <v>762</v>
      </c>
      <c r="V158" s="37">
        <v>11.43</v>
      </c>
      <c r="W158" s="45">
        <v>2551.27</v>
      </c>
      <c r="X158" s="37">
        <v>22220.82</v>
      </c>
      <c r="Y158" s="36">
        <v>43864</v>
      </c>
      <c r="Z158" s="34" t="s">
        <v>1448</v>
      </c>
    </row>
    <row r="159" spans="1:26" x14ac:dyDescent="0.25">
      <c r="A159" s="34" t="s">
        <v>1441</v>
      </c>
      <c r="B159" s="34" t="s">
        <v>1442</v>
      </c>
      <c r="C159" s="34" t="s">
        <v>16</v>
      </c>
      <c r="D159" s="34" t="s">
        <v>15</v>
      </c>
      <c r="E159" s="35">
        <v>30040835</v>
      </c>
      <c r="F159" s="34" t="s">
        <v>21</v>
      </c>
      <c r="G159" s="39">
        <v>10028804</v>
      </c>
      <c r="H159" s="42">
        <v>30040835</v>
      </c>
      <c r="I159" s="34" t="s">
        <v>183</v>
      </c>
      <c r="J159" s="34" t="s">
        <v>1443</v>
      </c>
      <c r="K159" s="36">
        <v>39405</v>
      </c>
      <c r="L159" s="34" t="s">
        <v>1444</v>
      </c>
      <c r="M159" s="34" t="s">
        <v>1445</v>
      </c>
      <c r="N159" s="34" t="s">
        <v>717</v>
      </c>
      <c r="O159" s="34" t="s">
        <v>717</v>
      </c>
      <c r="P159" s="34" t="s">
        <v>1462</v>
      </c>
      <c r="Q159" s="34" t="s">
        <v>1462</v>
      </c>
      <c r="R159" s="34" t="s">
        <v>1494</v>
      </c>
      <c r="S159" s="34" t="s">
        <v>1494</v>
      </c>
      <c r="T159" s="34" t="s">
        <v>21</v>
      </c>
      <c r="U159" s="34" t="s">
        <v>21</v>
      </c>
      <c r="V159" s="37">
        <v>11.71</v>
      </c>
      <c r="W159" s="45">
        <v>2613.77</v>
      </c>
      <c r="X159" s="37">
        <v>22220.84</v>
      </c>
      <c r="Y159" s="36">
        <v>43864</v>
      </c>
      <c r="Z159" s="34" t="s">
        <v>1448</v>
      </c>
    </row>
    <row r="160" spans="1:26" x14ac:dyDescent="0.25">
      <c r="A160" s="34" t="s">
        <v>1441</v>
      </c>
      <c r="B160" s="34" t="s">
        <v>1442</v>
      </c>
      <c r="C160" s="34" t="s">
        <v>16</v>
      </c>
      <c r="D160" s="34" t="s">
        <v>15</v>
      </c>
      <c r="E160" s="35">
        <v>30040836</v>
      </c>
      <c r="F160" s="34" t="s">
        <v>751</v>
      </c>
      <c r="G160" s="39">
        <v>10028823</v>
      </c>
      <c r="H160" s="42">
        <v>30040836</v>
      </c>
      <c r="I160" s="34" t="s">
        <v>184</v>
      </c>
      <c r="J160" s="34" t="s">
        <v>1443</v>
      </c>
      <c r="K160" s="36">
        <v>39405</v>
      </c>
      <c r="L160" s="34" t="s">
        <v>1444</v>
      </c>
      <c r="M160" s="34" t="s">
        <v>1445</v>
      </c>
      <c r="N160" s="34" t="s">
        <v>717</v>
      </c>
      <c r="O160" s="34" t="s">
        <v>717</v>
      </c>
      <c r="P160" s="34" t="s">
        <v>1486</v>
      </c>
      <c r="Q160" s="34" t="s">
        <v>1486</v>
      </c>
      <c r="R160" s="34" t="s">
        <v>1487</v>
      </c>
      <c r="S160" s="34" t="s">
        <v>1487</v>
      </c>
      <c r="T160" s="34" t="s">
        <v>751</v>
      </c>
      <c r="U160" s="34" t="s">
        <v>751</v>
      </c>
      <c r="V160" s="37">
        <v>17.73</v>
      </c>
      <c r="W160" s="45">
        <v>3957.48</v>
      </c>
      <c r="X160" s="37">
        <v>22220.81</v>
      </c>
      <c r="Y160" s="36">
        <v>43864</v>
      </c>
      <c r="Z160" s="34" t="s">
        <v>1448</v>
      </c>
    </row>
    <row r="161" spans="1:26" x14ac:dyDescent="0.25">
      <c r="A161" s="34" t="s">
        <v>1441</v>
      </c>
      <c r="B161" s="34" t="s">
        <v>1442</v>
      </c>
      <c r="C161" s="34" t="s">
        <v>16</v>
      </c>
      <c r="D161" s="34" t="s">
        <v>15</v>
      </c>
      <c r="E161" s="35">
        <v>30040837</v>
      </c>
      <c r="F161" s="34" t="s">
        <v>751</v>
      </c>
      <c r="G161" s="39">
        <v>10028828</v>
      </c>
      <c r="H161" s="42">
        <v>30040837</v>
      </c>
      <c r="I161" s="34" t="s">
        <v>185</v>
      </c>
      <c r="J161" s="34" t="s">
        <v>1443</v>
      </c>
      <c r="K161" s="36">
        <v>39405</v>
      </c>
      <c r="L161" s="34" t="s">
        <v>1444</v>
      </c>
      <c r="M161" s="34" t="s">
        <v>1445</v>
      </c>
      <c r="N161" s="34" t="s">
        <v>717</v>
      </c>
      <c r="O161" s="34" t="s">
        <v>717</v>
      </c>
      <c r="P161" s="34" t="s">
        <v>1456</v>
      </c>
      <c r="Q161" s="34" t="s">
        <v>1456</v>
      </c>
      <c r="R161" s="34" t="s">
        <v>1457</v>
      </c>
      <c r="S161" s="34" t="s">
        <v>1457</v>
      </c>
      <c r="T161" s="34" t="s">
        <v>751</v>
      </c>
      <c r="U161" s="34" t="s">
        <v>751</v>
      </c>
      <c r="V161" s="37">
        <v>17.73</v>
      </c>
      <c r="W161" s="45">
        <v>3957.48</v>
      </c>
      <c r="X161" s="37">
        <v>22220.81</v>
      </c>
      <c r="Y161" s="36">
        <v>43864</v>
      </c>
      <c r="Z161" s="34" t="s">
        <v>1448</v>
      </c>
    </row>
    <row r="162" spans="1:26" x14ac:dyDescent="0.25">
      <c r="A162" s="34" t="s">
        <v>1441</v>
      </c>
      <c r="B162" s="34" t="s">
        <v>1442</v>
      </c>
      <c r="C162" s="34" t="s">
        <v>16</v>
      </c>
      <c r="D162" s="34" t="s">
        <v>15</v>
      </c>
      <c r="E162" s="35">
        <v>30040838</v>
      </c>
      <c r="F162" s="34" t="s">
        <v>751</v>
      </c>
      <c r="G162" s="39">
        <v>10028847</v>
      </c>
      <c r="H162" s="42">
        <v>30040838</v>
      </c>
      <c r="I162" s="34" t="s">
        <v>186</v>
      </c>
      <c r="J162" s="34" t="s">
        <v>1443</v>
      </c>
      <c r="K162" s="36">
        <v>39405</v>
      </c>
      <c r="L162" s="34" t="s">
        <v>1444</v>
      </c>
      <c r="M162" s="34" t="s">
        <v>1445</v>
      </c>
      <c r="N162" s="34" t="s">
        <v>717</v>
      </c>
      <c r="O162" s="34" t="s">
        <v>717</v>
      </c>
      <c r="P162" s="34" t="s">
        <v>1446</v>
      </c>
      <c r="Q162" s="34" t="s">
        <v>1446</v>
      </c>
      <c r="R162" s="34" t="s">
        <v>1451</v>
      </c>
      <c r="S162" s="34" t="s">
        <v>1451</v>
      </c>
      <c r="T162" s="34" t="s">
        <v>751</v>
      </c>
      <c r="U162" s="34" t="s">
        <v>751</v>
      </c>
      <c r="V162" s="37">
        <v>13.14</v>
      </c>
      <c r="W162" s="45">
        <v>2932.96</v>
      </c>
      <c r="X162" s="37">
        <v>22220.85</v>
      </c>
      <c r="Y162" s="36">
        <v>43864</v>
      </c>
      <c r="Z162" s="34" t="s">
        <v>1448</v>
      </c>
    </row>
    <row r="163" spans="1:26" x14ac:dyDescent="0.25">
      <c r="A163" s="34" t="s">
        <v>1441</v>
      </c>
      <c r="B163" s="34" t="s">
        <v>1442</v>
      </c>
      <c r="C163" s="34" t="s">
        <v>16</v>
      </c>
      <c r="D163" s="34" t="s">
        <v>15</v>
      </c>
      <c r="E163" s="35">
        <v>30040839</v>
      </c>
      <c r="F163" s="34" t="s">
        <v>758</v>
      </c>
      <c r="G163" s="39">
        <v>10029098</v>
      </c>
      <c r="H163" s="42">
        <v>30040839</v>
      </c>
      <c r="I163" s="34" t="s">
        <v>187</v>
      </c>
      <c r="J163" s="34" t="s">
        <v>1443</v>
      </c>
      <c r="K163" s="36">
        <v>39454</v>
      </c>
      <c r="L163" s="34" t="s">
        <v>1444</v>
      </c>
      <c r="M163" s="34" t="s">
        <v>1445</v>
      </c>
      <c r="N163" s="34" t="s">
        <v>717</v>
      </c>
      <c r="O163" s="34" t="s">
        <v>717</v>
      </c>
      <c r="P163" s="34" t="s">
        <v>1449</v>
      </c>
      <c r="Q163" s="34" t="s">
        <v>1449</v>
      </c>
      <c r="R163" s="34" t="s">
        <v>1450</v>
      </c>
      <c r="S163" s="34" t="s">
        <v>1450</v>
      </c>
      <c r="T163" s="34" t="s">
        <v>758</v>
      </c>
      <c r="U163" s="34" t="s">
        <v>758</v>
      </c>
      <c r="V163" s="37">
        <v>14.48</v>
      </c>
      <c r="W163" s="45">
        <v>3232.06</v>
      </c>
      <c r="X163" s="37">
        <v>22220.86</v>
      </c>
      <c r="Y163" s="36">
        <v>43864</v>
      </c>
      <c r="Z163" s="34" t="s">
        <v>1448</v>
      </c>
    </row>
    <row r="164" spans="1:26" x14ac:dyDescent="0.25">
      <c r="A164" s="34" t="s">
        <v>1441</v>
      </c>
      <c r="B164" s="34" t="s">
        <v>1442</v>
      </c>
      <c r="C164" s="34" t="s">
        <v>16</v>
      </c>
      <c r="D164" s="34" t="s">
        <v>15</v>
      </c>
      <c r="E164" s="35">
        <v>30040840</v>
      </c>
      <c r="F164" s="34" t="s">
        <v>756</v>
      </c>
      <c r="G164" s="39">
        <v>10029166</v>
      </c>
      <c r="H164" s="42">
        <v>30040840</v>
      </c>
      <c r="I164" s="34" t="s">
        <v>188</v>
      </c>
      <c r="J164" s="34" t="s">
        <v>1443</v>
      </c>
      <c r="K164" s="36">
        <v>39463</v>
      </c>
      <c r="L164" s="34" t="s">
        <v>1444</v>
      </c>
      <c r="M164" s="34" t="s">
        <v>1445</v>
      </c>
      <c r="N164" s="34" t="s">
        <v>717</v>
      </c>
      <c r="O164" s="34" t="s">
        <v>717</v>
      </c>
      <c r="P164" s="34" t="s">
        <v>1470</v>
      </c>
      <c r="Q164" s="34" t="s">
        <v>1470</v>
      </c>
      <c r="R164" s="34" t="s">
        <v>1482</v>
      </c>
      <c r="S164" s="34" t="s">
        <v>1482</v>
      </c>
      <c r="T164" s="34" t="s">
        <v>756</v>
      </c>
      <c r="U164" s="34" t="s">
        <v>756</v>
      </c>
      <c r="V164" s="37">
        <v>14.04</v>
      </c>
      <c r="W164" s="45">
        <v>3133.85</v>
      </c>
      <c r="X164" s="37">
        <v>22220.87</v>
      </c>
      <c r="Y164" s="36">
        <v>43864</v>
      </c>
      <c r="Z164" s="34" t="s">
        <v>1448</v>
      </c>
    </row>
    <row r="165" spans="1:26" x14ac:dyDescent="0.25">
      <c r="A165" s="34" t="s">
        <v>1441</v>
      </c>
      <c r="B165" s="34" t="s">
        <v>1442</v>
      </c>
      <c r="C165" s="34" t="s">
        <v>16</v>
      </c>
      <c r="D165" s="34" t="s">
        <v>15</v>
      </c>
      <c r="E165" s="35">
        <v>30040841</v>
      </c>
      <c r="F165" s="34" t="s">
        <v>751</v>
      </c>
      <c r="G165" s="39">
        <v>10029169</v>
      </c>
      <c r="H165" s="42">
        <v>30040841</v>
      </c>
      <c r="I165" s="34" t="s">
        <v>189</v>
      </c>
      <c r="J165" s="34" t="s">
        <v>1443</v>
      </c>
      <c r="K165" s="36">
        <v>39463</v>
      </c>
      <c r="L165" s="34" t="s">
        <v>1444</v>
      </c>
      <c r="M165" s="34" t="s">
        <v>1445</v>
      </c>
      <c r="N165" s="34" t="s">
        <v>717</v>
      </c>
      <c r="O165" s="34" t="s">
        <v>717</v>
      </c>
      <c r="P165" s="34" t="s">
        <v>1446</v>
      </c>
      <c r="Q165" s="34" t="s">
        <v>1446</v>
      </c>
      <c r="R165" s="34" t="s">
        <v>1447</v>
      </c>
      <c r="S165" s="34" t="s">
        <v>1447</v>
      </c>
      <c r="T165" s="34" t="s">
        <v>751</v>
      </c>
      <c r="U165" s="34" t="s">
        <v>751</v>
      </c>
      <c r="V165" s="37">
        <v>12.43</v>
      </c>
      <c r="W165" s="45">
        <v>2774.48</v>
      </c>
      <c r="X165" s="37">
        <v>22220.84</v>
      </c>
      <c r="Y165" s="36">
        <v>43864</v>
      </c>
      <c r="Z165" s="34" t="s">
        <v>1448</v>
      </c>
    </row>
    <row r="166" spans="1:26" x14ac:dyDescent="0.25">
      <c r="A166" s="34" t="s">
        <v>1441</v>
      </c>
      <c r="B166" s="34" t="s">
        <v>1442</v>
      </c>
      <c r="C166" s="34" t="s">
        <v>16</v>
      </c>
      <c r="D166" s="34" t="s">
        <v>15</v>
      </c>
      <c r="E166" s="35">
        <v>30040842</v>
      </c>
      <c r="F166" s="34" t="s">
        <v>751</v>
      </c>
      <c r="G166" s="39">
        <v>10029181</v>
      </c>
      <c r="H166" s="42">
        <v>30040842</v>
      </c>
      <c r="I166" s="34" t="s">
        <v>190</v>
      </c>
      <c r="J166" s="34" t="s">
        <v>1443</v>
      </c>
      <c r="K166" s="36">
        <v>39463</v>
      </c>
      <c r="L166" s="34" t="s">
        <v>1444</v>
      </c>
      <c r="M166" s="34" t="s">
        <v>1445</v>
      </c>
      <c r="N166" s="34" t="s">
        <v>717</v>
      </c>
      <c r="O166" s="34" t="s">
        <v>717</v>
      </c>
      <c r="P166" s="34" t="s">
        <v>1446</v>
      </c>
      <c r="Q166" s="34" t="s">
        <v>1446</v>
      </c>
      <c r="R166" s="34" t="s">
        <v>1447</v>
      </c>
      <c r="S166" s="34" t="s">
        <v>1447</v>
      </c>
      <c r="T166" s="34" t="s">
        <v>751</v>
      </c>
      <c r="U166" s="34" t="s">
        <v>751</v>
      </c>
      <c r="V166" s="37">
        <v>17.73</v>
      </c>
      <c r="W166" s="45">
        <v>3957.48</v>
      </c>
      <c r="X166" s="37">
        <v>22220.81</v>
      </c>
      <c r="Y166" s="36">
        <v>43864</v>
      </c>
      <c r="Z166" s="34" t="s">
        <v>1448</v>
      </c>
    </row>
    <row r="167" spans="1:26" x14ac:dyDescent="0.25">
      <c r="A167" s="34" t="s">
        <v>1441</v>
      </c>
      <c r="B167" s="34" t="s">
        <v>1442</v>
      </c>
      <c r="C167" s="34" t="s">
        <v>16</v>
      </c>
      <c r="D167" s="34" t="s">
        <v>15</v>
      </c>
      <c r="E167" s="35">
        <v>30040843</v>
      </c>
      <c r="F167" s="34" t="s">
        <v>756</v>
      </c>
      <c r="G167" s="39">
        <v>10029238</v>
      </c>
      <c r="H167" s="42">
        <v>30040843</v>
      </c>
      <c r="I167" s="34" t="s">
        <v>191</v>
      </c>
      <c r="J167" s="34" t="s">
        <v>1443</v>
      </c>
      <c r="K167" s="36">
        <v>39468</v>
      </c>
      <c r="L167" s="34" t="s">
        <v>1444</v>
      </c>
      <c r="M167" s="34" t="s">
        <v>1445</v>
      </c>
      <c r="N167" s="34" t="s">
        <v>717</v>
      </c>
      <c r="O167" s="34" t="s">
        <v>717</v>
      </c>
      <c r="P167" s="34" t="s">
        <v>1470</v>
      </c>
      <c r="Q167" s="34" t="s">
        <v>1470</v>
      </c>
      <c r="R167" s="34" t="s">
        <v>1471</v>
      </c>
      <c r="S167" s="34" t="s">
        <v>1471</v>
      </c>
      <c r="T167" s="34" t="s">
        <v>756</v>
      </c>
      <c r="U167" s="34" t="s">
        <v>756</v>
      </c>
      <c r="V167" s="37">
        <v>14.04</v>
      </c>
      <c r="W167" s="45">
        <v>3133.85</v>
      </c>
      <c r="X167" s="37">
        <v>22220.87</v>
      </c>
      <c r="Y167" s="36">
        <v>43864</v>
      </c>
      <c r="Z167" s="34" t="s">
        <v>1448</v>
      </c>
    </row>
    <row r="168" spans="1:26" x14ac:dyDescent="0.25">
      <c r="A168" s="34" t="s">
        <v>1441</v>
      </c>
      <c r="B168" s="34" t="s">
        <v>1442</v>
      </c>
      <c r="C168" s="34" t="s">
        <v>16</v>
      </c>
      <c r="D168" s="34" t="s">
        <v>15</v>
      </c>
      <c r="E168" s="35">
        <v>30040844</v>
      </c>
      <c r="F168" s="34" t="s">
        <v>751</v>
      </c>
      <c r="G168" s="39">
        <v>10029376</v>
      </c>
      <c r="H168" s="42">
        <v>30040844</v>
      </c>
      <c r="I168" s="34" t="s">
        <v>192</v>
      </c>
      <c r="J168" s="34" t="s">
        <v>1443</v>
      </c>
      <c r="K168" s="36">
        <v>39491</v>
      </c>
      <c r="L168" s="34" t="s">
        <v>1444</v>
      </c>
      <c r="M168" s="34" t="s">
        <v>1445</v>
      </c>
      <c r="N168" s="34" t="s">
        <v>717</v>
      </c>
      <c r="O168" s="34" t="s">
        <v>717</v>
      </c>
      <c r="P168" s="34" t="s">
        <v>1446</v>
      </c>
      <c r="Q168" s="34" t="s">
        <v>1446</v>
      </c>
      <c r="R168" s="34" t="s">
        <v>1447</v>
      </c>
      <c r="S168" s="34" t="s">
        <v>1447</v>
      </c>
      <c r="T168" s="34" t="s">
        <v>751</v>
      </c>
      <c r="U168" s="34" t="s">
        <v>751</v>
      </c>
      <c r="V168" s="37">
        <v>17.73</v>
      </c>
      <c r="W168" s="45">
        <v>3957.48</v>
      </c>
      <c r="X168" s="37">
        <v>22220.81</v>
      </c>
      <c r="Y168" s="36">
        <v>43864</v>
      </c>
      <c r="Z168" s="34" t="s">
        <v>1448</v>
      </c>
    </row>
    <row r="169" spans="1:26" x14ac:dyDescent="0.25">
      <c r="A169" s="34" t="s">
        <v>1441</v>
      </c>
      <c r="B169" s="34" t="s">
        <v>1442</v>
      </c>
      <c r="C169" s="34" t="s">
        <v>16</v>
      </c>
      <c r="D169" s="34" t="s">
        <v>15</v>
      </c>
      <c r="E169" s="35">
        <v>30040845</v>
      </c>
      <c r="F169" s="34" t="s">
        <v>751</v>
      </c>
      <c r="G169" s="39">
        <v>10029400</v>
      </c>
      <c r="H169" s="42">
        <v>30040845</v>
      </c>
      <c r="I169" s="34" t="s">
        <v>193</v>
      </c>
      <c r="J169" s="34" t="s">
        <v>1443</v>
      </c>
      <c r="K169" s="36">
        <v>39510</v>
      </c>
      <c r="L169" s="34" t="s">
        <v>1444</v>
      </c>
      <c r="M169" s="34" t="s">
        <v>1445</v>
      </c>
      <c r="N169" s="34" t="s">
        <v>717</v>
      </c>
      <c r="O169" s="34" t="s">
        <v>717</v>
      </c>
      <c r="P169" s="34" t="s">
        <v>1446</v>
      </c>
      <c r="Q169" s="34" t="s">
        <v>1446</v>
      </c>
      <c r="R169" s="34" t="s">
        <v>1447</v>
      </c>
      <c r="S169" s="34" t="s">
        <v>1447</v>
      </c>
      <c r="T169" s="34" t="s">
        <v>751</v>
      </c>
      <c r="U169" s="34" t="s">
        <v>751</v>
      </c>
      <c r="V169" s="37">
        <v>17.73</v>
      </c>
      <c r="W169" s="45">
        <v>3957.48</v>
      </c>
      <c r="X169" s="37">
        <v>22220.81</v>
      </c>
      <c r="Y169" s="36">
        <v>43864</v>
      </c>
      <c r="Z169" s="34" t="s">
        <v>1448</v>
      </c>
    </row>
    <row r="170" spans="1:26" x14ac:dyDescent="0.25">
      <c r="A170" s="34" t="s">
        <v>1441</v>
      </c>
      <c r="B170" s="34" t="s">
        <v>1442</v>
      </c>
      <c r="C170" s="34" t="s">
        <v>16</v>
      </c>
      <c r="D170" s="34" t="s">
        <v>15</v>
      </c>
      <c r="E170" s="35">
        <v>30040846</v>
      </c>
      <c r="F170" s="34" t="s">
        <v>750</v>
      </c>
      <c r="G170" s="39">
        <v>10029496</v>
      </c>
      <c r="H170" s="42">
        <v>30040846</v>
      </c>
      <c r="I170" s="34" t="s">
        <v>194</v>
      </c>
      <c r="J170" s="34" t="s">
        <v>1443</v>
      </c>
      <c r="K170" s="36">
        <v>39517</v>
      </c>
      <c r="L170" s="34" t="s">
        <v>1444</v>
      </c>
      <c r="M170" s="34" t="s">
        <v>1445</v>
      </c>
      <c r="N170" s="34" t="s">
        <v>717</v>
      </c>
      <c r="O170" s="34" t="s">
        <v>717</v>
      </c>
      <c r="P170" s="34" t="s">
        <v>1446</v>
      </c>
      <c r="Q170" s="34" t="s">
        <v>1446</v>
      </c>
      <c r="R170" s="34" t="s">
        <v>1447</v>
      </c>
      <c r="S170" s="34" t="s">
        <v>1447</v>
      </c>
      <c r="T170" s="34" t="s">
        <v>750</v>
      </c>
      <c r="U170" s="34" t="s">
        <v>750</v>
      </c>
      <c r="V170" s="37">
        <v>18.62</v>
      </c>
      <c r="W170" s="45">
        <v>4156.1400000000003</v>
      </c>
      <c r="X170" s="37">
        <v>22220.84</v>
      </c>
      <c r="Y170" s="36">
        <v>43864</v>
      </c>
      <c r="Z170" s="34" t="s">
        <v>1448</v>
      </c>
    </row>
    <row r="171" spans="1:26" x14ac:dyDescent="0.25">
      <c r="A171" s="34" t="s">
        <v>1441</v>
      </c>
      <c r="B171" s="34" t="s">
        <v>1442</v>
      </c>
      <c r="C171" s="34" t="s">
        <v>16</v>
      </c>
      <c r="D171" s="34" t="s">
        <v>15</v>
      </c>
      <c r="E171" s="35">
        <v>30040847</v>
      </c>
      <c r="F171" s="34" t="s">
        <v>755</v>
      </c>
      <c r="G171" s="39">
        <v>10029518</v>
      </c>
      <c r="H171" s="42">
        <v>30040847</v>
      </c>
      <c r="I171" s="34" t="s">
        <v>195</v>
      </c>
      <c r="J171" s="34" t="s">
        <v>1443</v>
      </c>
      <c r="K171" s="36">
        <v>39524</v>
      </c>
      <c r="L171" s="34" t="s">
        <v>1444</v>
      </c>
      <c r="M171" s="34" t="s">
        <v>1445</v>
      </c>
      <c r="N171" s="34" t="s">
        <v>717</v>
      </c>
      <c r="O171" s="34" t="s">
        <v>717</v>
      </c>
      <c r="P171" s="34" t="s">
        <v>1468</v>
      </c>
      <c r="Q171" s="34" t="s">
        <v>1468</v>
      </c>
      <c r="R171" s="34" t="s">
        <v>1469</v>
      </c>
      <c r="S171" s="34" t="s">
        <v>1469</v>
      </c>
      <c r="T171" s="34" t="s">
        <v>755</v>
      </c>
      <c r="U171" s="34" t="s">
        <v>755</v>
      </c>
      <c r="V171" s="37">
        <v>11.43</v>
      </c>
      <c r="W171" s="45">
        <v>2551.27</v>
      </c>
      <c r="X171" s="37">
        <v>22220.82</v>
      </c>
      <c r="Y171" s="36">
        <v>43864</v>
      </c>
      <c r="Z171" s="34" t="s">
        <v>1448</v>
      </c>
    </row>
    <row r="172" spans="1:26" x14ac:dyDescent="0.25">
      <c r="A172" s="34" t="s">
        <v>1441</v>
      </c>
      <c r="B172" s="34" t="s">
        <v>1442</v>
      </c>
      <c r="C172" s="34" t="s">
        <v>16</v>
      </c>
      <c r="D172" s="34" t="s">
        <v>15</v>
      </c>
      <c r="E172" s="35">
        <v>30040848</v>
      </c>
      <c r="F172" s="34" t="s">
        <v>21</v>
      </c>
      <c r="G172" s="39">
        <v>10029555</v>
      </c>
      <c r="H172" s="42">
        <v>30040848</v>
      </c>
      <c r="I172" s="34" t="s">
        <v>196</v>
      </c>
      <c r="J172" s="34" t="s">
        <v>1443</v>
      </c>
      <c r="K172" s="36">
        <v>39526</v>
      </c>
      <c r="L172" s="34" t="s">
        <v>1444</v>
      </c>
      <c r="M172" s="34" t="s">
        <v>1445</v>
      </c>
      <c r="N172" s="34" t="s">
        <v>717</v>
      </c>
      <c r="O172" s="34" t="s">
        <v>717</v>
      </c>
      <c r="P172" s="34" t="s">
        <v>1462</v>
      </c>
      <c r="Q172" s="34" t="s">
        <v>1462</v>
      </c>
      <c r="R172" s="34" t="s">
        <v>1494</v>
      </c>
      <c r="S172" s="34" t="s">
        <v>1494</v>
      </c>
      <c r="T172" s="34" t="s">
        <v>21</v>
      </c>
      <c r="U172" s="34" t="s">
        <v>21</v>
      </c>
      <c r="V172" s="37">
        <v>11.71</v>
      </c>
      <c r="W172" s="45">
        <v>2613.77</v>
      </c>
      <c r="X172" s="37">
        <v>22220.84</v>
      </c>
      <c r="Y172" s="36">
        <v>43864</v>
      </c>
      <c r="Z172" s="34" t="s">
        <v>1448</v>
      </c>
    </row>
    <row r="173" spans="1:26" x14ac:dyDescent="0.25">
      <c r="A173" s="34" t="s">
        <v>1441</v>
      </c>
      <c r="B173" s="34" t="s">
        <v>1442</v>
      </c>
      <c r="C173" s="34" t="s">
        <v>16</v>
      </c>
      <c r="D173" s="34" t="s">
        <v>15</v>
      </c>
      <c r="E173" s="35">
        <v>30040849</v>
      </c>
      <c r="F173" s="34" t="s">
        <v>763</v>
      </c>
      <c r="G173" s="39">
        <v>10029565</v>
      </c>
      <c r="H173" s="42">
        <v>30040849</v>
      </c>
      <c r="I173" s="34" t="s">
        <v>197</v>
      </c>
      <c r="J173" s="34" t="s">
        <v>1443</v>
      </c>
      <c r="K173" s="36">
        <v>39540</v>
      </c>
      <c r="L173" s="34" t="s">
        <v>1444</v>
      </c>
      <c r="M173" s="34" t="s">
        <v>1445</v>
      </c>
      <c r="N173" s="34" t="s">
        <v>717</v>
      </c>
      <c r="O173" s="34" t="s">
        <v>717</v>
      </c>
      <c r="P173" s="34" t="s">
        <v>1490</v>
      </c>
      <c r="Q173" s="34" t="s">
        <v>1490</v>
      </c>
      <c r="R173" s="34" t="s">
        <v>1491</v>
      </c>
      <c r="S173" s="34" t="s">
        <v>1491</v>
      </c>
      <c r="T173" s="34" t="s">
        <v>763</v>
      </c>
      <c r="U173" s="34" t="s">
        <v>763</v>
      </c>
      <c r="V173" s="37">
        <v>10.24</v>
      </c>
      <c r="W173" s="45">
        <v>2285.65</v>
      </c>
      <c r="X173" s="37">
        <v>22220.799999999999</v>
      </c>
      <c r="Y173" s="36">
        <v>43864</v>
      </c>
      <c r="Z173" s="34" t="s">
        <v>1448</v>
      </c>
    </row>
    <row r="174" spans="1:26" x14ac:dyDescent="0.25">
      <c r="A174" s="34" t="s">
        <v>1441</v>
      </c>
      <c r="B174" s="34" t="s">
        <v>1442</v>
      </c>
      <c r="C174" s="34" t="s">
        <v>6</v>
      </c>
      <c r="D174" s="34" t="s">
        <v>15</v>
      </c>
      <c r="E174" s="35">
        <v>30040850</v>
      </c>
      <c r="F174" s="34" t="s">
        <v>764</v>
      </c>
      <c r="G174" s="39">
        <v>10029584</v>
      </c>
      <c r="H174" s="42">
        <v>30040850</v>
      </c>
      <c r="I174" s="34" t="s">
        <v>198</v>
      </c>
      <c r="J174" s="34" t="s">
        <v>1443</v>
      </c>
      <c r="K174" s="36">
        <v>39540</v>
      </c>
      <c r="L174" s="34" t="s">
        <v>1444</v>
      </c>
      <c r="M174" s="34" t="s">
        <v>1445</v>
      </c>
      <c r="N174" s="34" t="s">
        <v>717</v>
      </c>
      <c r="O174" s="34" t="s">
        <v>717</v>
      </c>
      <c r="P174" s="34" t="s">
        <v>1495</v>
      </c>
      <c r="Q174" s="34" t="s">
        <v>1495</v>
      </c>
      <c r="R174" s="34" t="s">
        <v>1496</v>
      </c>
      <c r="S174" s="34" t="s">
        <v>1496</v>
      </c>
      <c r="T174" s="34" t="s">
        <v>764</v>
      </c>
      <c r="U174" s="34" t="s">
        <v>764</v>
      </c>
      <c r="V174" s="37">
        <v>25.83</v>
      </c>
      <c r="W174" s="45">
        <v>5765.47</v>
      </c>
      <c r="X174" s="37">
        <v>22220.83</v>
      </c>
      <c r="Y174" s="36">
        <v>43864</v>
      </c>
      <c r="Z174" s="34" t="s">
        <v>1448</v>
      </c>
    </row>
    <row r="175" spans="1:26" x14ac:dyDescent="0.25">
      <c r="A175" s="34" t="s">
        <v>1441</v>
      </c>
      <c r="B175" s="34" t="s">
        <v>1442</v>
      </c>
      <c r="C175" s="34" t="s">
        <v>16</v>
      </c>
      <c r="D175" s="34" t="s">
        <v>15</v>
      </c>
      <c r="E175" s="35">
        <v>30040851</v>
      </c>
      <c r="F175" s="34" t="s">
        <v>751</v>
      </c>
      <c r="G175" s="39">
        <v>10029632</v>
      </c>
      <c r="H175" s="42">
        <v>30040851</v>
      </c>
      <c r="I175" s="34" t="s">
        <v>199</v>
      </c>
      <c r="J175" s="34" t="s">
        <v>1443</v>
      </c>
      <c r="K175" s="36">
        <v>39547</v>
      </c>
      <c r="L175" s="34" t="s">
        <v>1444</v>
      </c>
      <c r="M175" s="34" t="s">
        <v>1445</v>
      </c>
      <c r="N175" s="34" t="s">
        <v>717</v>
      </c>
      <c r="O175" s="34" t="s">
        <v>717</v>
      </c>
      <c r="P175" s="34" t="s">
        <v>1446</v>
      </c>
      <c r="Q175" s="34" t="s">
        <v>1446</v>
      </c>
      <c r="R175" s="34" t="s">
        <v>1451</v>
      </c>
      <c r="S175" s="34" t="s">
        <v>1451</v>
      </c>
      <c r="T175" s="34" t="s">
        <v>751</v>
      </c>
      <c r="U175" s="34" t="s">
        <v>751</v>
      </c>
      <c r="V175" s="37">
        <v>17.73</v>
      </c>
      <c r="W175" s="45">
        <v>3957.48</v>
      </c>
      <c r="X175" s="37">
        <v>22220.81</v>
      </c>
      <c r="Y175" s="36">
        <v>43864</v>
      </c>
      <c r="Z175" s="34" t="s">
        <v>1448</v>
      </c>
    </row>
    <row r="176" spans="1:26" x14ac:dyDescent="0.25">
      <c r="A176" s="34" t="s">
        <v>1441</v>
      </c>
      <c r="B176" s="34" t="s">
        <v>1442</v>
      </c>
      <c r="C176" s="34" t="s">
        <v>16</v>
      </c>
      <c r="D176" s="34" t="s">
        <v>15</v>
      </c>
      <c r="E176" s="35">
        <v>30040852</v>
      </c>
      <c r="F176" s="34" t="s">
        <v>759</v>
      </c>
      <c r="G176" s="39">
        <v>10029750</v>
      </c>
      <c r="H176" s="42">
        <v>30040852</v>
      </c>
      <c r="I176" s="34" t="s">
        <v>200</v>
      </c>
      <c r="J176" s="34" t="s">
        <v>1443</v>
      </c>
      <c r="K176" s="36">
        <v>39575</v>
      </c>
      <c r="L176" s="34" t="s">
        <v>1444</v>
      </c>
      <c r="M176" s="34" t="s">
        <v>1445</v>
      </c>
      <c r="N176" s="34" t="s">
        <v>717</v>
      </c>
      <c r="O176" s="34" t="s">
        <v>717</v>
      </c>
      <c r="P176" s="34" t="s">
        <v>1466</v>
      </c>
      <c r="Q176" s="34" t="s">
        <v>1466</v>
      </c>
      <c r="R176" s="34" t="s">
        <v>1467</v>
      </c>
      <c r="S176" s="34" t="s">
        <v>1467</v>
      </c>
      <c r="T176" s="34" t="s">
        <v>759</v>
      </c>
      <c r="U176" s="34" t="s">
        <v>759</v>
      </c>
      <c r="V176" s="37">
        <v>14.04</v>
      </c>
      <c r="W176" s="45">
        <v>3133.85</v>
      </c>
      <c r="X176" s="37">
        <v>22220.87</v>
      </c>
      <c r="Y176" s="36">
        <v>43864</v>
      </c>
      <c r="Z176" s="34" t="s">
        <v>1448</v>
      </c>
    </row>
    <row r="177" spans="1:26" x14ac:dyDescent="0.25">
      <c r="A177" s="34" t="s">
        <v>1441</v>
      </c>
      <c r="B177" s="34" t="s">
        <v>1442</v>
      </c>
      <c r="C177" s="34" t="s">
        <v>16</v>
      </c>
      <c r="D177" s="34" t="s">
        <v>15</v>
      </c>
      <c r="E177" s="35">
        <v>30040853</v>
      </c>
      <c r="F177" s="34" t="s">
        <v>21</v>
      </c>
      <c r="G177" s="39">
        <v>10029970</v>
      </c>
      <c r="H177" s="42">
        <v>30040853</v>
      </c>
      <c r="I177" s="34" t="s">
        <v>201</v>
      </c>
      <c r="J177" s="34" t="s">
        <v>1443</v>
      </c>
      <c r="K177" s="36">
        <v>39615</v>
      </c>
      <c r="L177" s="34" t="s">
        <v>1444</v>
      </c>
      <c r="M177" s="34" t="s">
        <v>1445</v>
      </c>
      <c r="N177" s="34" t="s">
        <v>717</v>
      </c>
      <c r="O177" s="34" t="s">
        <v>717</v>
      </c>
      <c r="P177" s="34" t="s">
        <v>1462</v>
      </c>
      <c r="Q177" s="34" t="s">
        <v>1462</v>
      </c>
      <c r="R177" s="34" t="s">
        <v>1478</v>
      </c>
      <c r="S177" s="34" t="s">
        <v>1478</v>
      </c>
      <c r="T177" s="34" t="s">
        <v>21</v>
      </c>
      <c r="U177" s="34" t="s">
        <v>21</v>
      </c>
      <c r="V177" s="37">
        <v>11.71</v>
      </c>
      <c r="W177" s="45">
        <v>2613.77</v>
      </c>
      <c r="X177" s="37">
        <v>22220.84</v>
      </c>
      <c r="Y177" s="36">
        <v>43864</v>
      </c>
      <c r="Z177" s="34" t="s">
        <v>1448</v>
      </c>
    </row>
    <row r="178" spans="1:26" x14ac:dyDescent="0.25">
      <c r="A178" s="34" t="s">
        <v>1441</v>
      </c>
      <c r="B178" s="34" t="s">
        <v>1442</v>
      </c>
      <c r="C178" s="34" t="s">
        <v>16</v>
      </c>
      <c r="D178" s="34" t="s">
        <v>15</v>
      </c>
      <c r="E178" s="35">
        <v>30040854</v>
      </c>
      <c r="F178" s="34" t="s">
        <v>751</v>
      </c>
      <c r="G178" s="39">
        <v>10030029</v>
      </c>
      <c r="H178" s="42">
        <v>30040854</v>
      </c>
      <c r="I178" s="34" t="s">
        <v>202</v>
      </c>
      <c r="J178" s="34" t="s">
        <v>1443</v>
      </c>
      <c r="K178" s="36">
        <v>39631</v>
      </c>
      <c r="L178" s="34" t="s">
        <v>1444</v>
      </c>
      <c r="M178" s="34" t="s">
        <v>1445</v>
      </c>
      <c r="N178" s="34" t="s">
        <v>717</v>
      </c>
      <c r="O178" s="34" t="s">
        <v>717</v>
      </c>
      <c r="P178" s="34" t="s">
        <v>1486</v>
      </c>
      <c r="Q178" s="34" t="s">
        <v>1486</v>
      </c>
      <c r="R178" s="34" t="s">
        <v>1487</v>
      </c>
      <c r="S178" s="34" t="s">
        <v>1487</v>
      </c>
      <c r="T178" s="34" t="s">
        <v>751</v>
      </c>
      <c r="U178" s="34" t="s">
        <v>751</v>
      </c>
      <c r="V178" s="37">
        <v>17.73</v>
      </c>
      <c r="W178" s="45">
        <v>3957.48</v>
      </c>
      <c r="X178" s="37">
        <v>22220.81</v>
      </c>
      <c r="Y178" s="36">
        <v>43864</v>
      </c>
      <c r="Z178" s="34" t="s">
        <v>1448</v>
      </c>
    </row>
    <row r="179" spans="1:26" x14ac:dyDescent="0.25">
      <c r="A179" s="34" t="s">
        <v>1441</v>
      </c>
      <c r="B179" s="34" t="s">
        <v>1442</v>
      </c>
      <c r="C179" s="34" t="s">
        <v>16</v>
      </c>
      <c r="D179" s="34" t="s">
        <v>15</v>
      </c>
      <c r="E179" s="35">
        <v>30040855</v>
      </c>
      <c r="F179" s="34" t="s">
        <v>21</v>
      </c>
      <c r="G179" s="39">
        <v>10030070</v>
      </c>
      <c r="H179" s="42">
        <v>30040855</v>
      </c>
      <c r="I179" s="34" t="s">
        <v>203</v>
      </c>
      <c r="J179" s="34" t="s">
        <v>1443</v>
      </c>
      <c r="K179" s="36">
        <v>39643</v>
      </c>
      <c r="L179" s="34" t="s">
        <v>1444</v>
      </c>
      <c r="M179" s="34" t="s">
        <v>1445</v>
      </c>
      <c r="N179" s="34" t="s">
        <v>717</v>
      </c>
      <c r="O179" s="34" t="s">
        <v>717</v>
      </c>
      <c r="P179" s="34" t="s">
        <v>1462</v>
      </c>
      <c r="Q179" s="34" t="s">
        <v>1462</v>
      </c>
      <c r="R179" s="34" t="s">
        <v>1478</v>
      </c>
      <c r="S179" s="34" t="s">
        <v>1478</v>
      </c>
      <c r="T179" s="34" t="s">
        <v>21</v>
      </c>
      <c r="U179" s="34" t="s">
        <v>21</v>
      </c>
      <c r="V179" s="37">
        <v>11.71</v>
      </c>
      <c r="W179" s="45">
        <v>2613.77</v>
      </c>
      <c r="X179" s="37">
        <v>22220.84</v>
      </c>
      <c r="Y179" s="36">
        <v>43864</v>
      </c>
      <c r="Z179" s="34" t="s">
        <v>1448</v>
      </c>
    </row>
    <row r="180" spans="1:26" x14ac:dyDescent="0.25">
      <c r="A180" s="34" t="s">
        <v>1441</v>
      </c>
      <c r="B180" s="34" t="s">
        <v>1442</v>
      </c>
      <c r="C180" s="34" t="s">
        <v>16</v>
      </c>
      <c r="D180" s="34" t="s">
        <v>15</v>
      </c>
      <c r="E180" s="35">
        <v>30040856</v>
      </c>
      <c r="F180" s="34" t="s">
        <v>20</v>
      </c>
      <c r="G180" s="39">
        <v>10030181</v>
      </c>
      <c r="H180" s="42">
        <v>30040856</v>
      </c>
      <c r="I180" s="34" t="s">
        <v>204</v>
      </c>
      <c r="J180" s="34" t="s">
        <v>1443</v>
      </c>
      <c r="K180" s="36">
        <v>39664</v>
      </c>
      <c r="L180" s="34" t="s">
        <v>1444</v>
      </c>
      <c r="M180" s="34" t="s">
        <v>1445</v>
      </c>
      <c r="N180" s="34" t="s">
        <v>717</v>
      </c>
      <c r="O180" s="34" t="s">
        <v>717</v>
      </c>
      <c r="P180" s="34" t="s">
        <v>1497</v>
      </c>
      <c r="Q180" s="34" t="s">
        <v>1497</v>
      </c>
      <c r="R180" s="34" t="s">
        <v>1498</v>
      </c>
      <c r="S180" s="34" t="s">
        <v>1498</v>
      </c>
      <c r="T180" s="34" t="s">
        <v>20</v>
      </c>
      <c r="U180" s="34" t="s">
        <v>20</v>
      </c>
      <c r="V180" s="37">
        <v>14.04</v>
      </c>
      <c r="W180" s="45">
        <v>3133.85</v>
      </c>
      <c r="X180" s="37">
        <v>22220.87</v>
      </c>
      <c r="Y180" s="36">
        <v>43864</v>
      </c>
      <c r="Z180" s="34" t="s">
        <v>1448</v>
      </c>
    </row>
    <row r="181" spans="1:26" x14ac:dyDescent="0.25">
      <c r="A181" s="34" t="s">
        <v>1441</v>
      </c>
      <c r="B181" s="34" t="s">
        <v>1442</v>
      </c>
      <c r="C181" s="34" t="s">
        <v>16</v>
      </c>
      <c r="D181" s="34" t="s">
        <v>15</v>
      </c>
      <c r="E181" s="35">
        <v>30040857</v>
      </c>
      <c r="F181" s="34" t="s">
        <v>751</v>
      </c>
      <c r="G181" s="39">
        <v>10030272</v>
      </c>
      <c r="H181" s="42">
        <v>30040857</v>
      </c>
      <c r="I181" s="34" t="s">
        <v>205</v>
      </c>
      <c r="J181" s="34" t="s">
        <v>1443</v>
      </c>
      <c r="K181" s="36">
        <v>39692</v>
      </c>
      <c r="L181" s="34" t="s">
        <v>1444</v>
      </c>
      <c r="M181" s="34" t="s">
        <v>1445</v>
      </c>
      <c r="N181" s="34" t="s">
        <v>717</v>
      </c>
      <c r="O181" s="34" t="s">
        <v>717</v>
      </c>
      <c r="P181" s="34" t="s">
        <v>1446</v>
      </c>
      <c r="Q181" s="34" t="s">
        <v>1446</v>
      </c>
      <c r="R181" s="34" t="s">
        <v>1447</v>
      </c>
      <c r="S181" s="34" t="s">
        <v>1447</v>
      </c>
      <c r="T181" s="34" t="s">
        <v>751</v>
      </c>
      <c r="U181" s="34" t="s">
        <v>751</v>
      </c>
      <c r="V181" s="37">
        <v>17.73</v>
      </c>
      <c r="W181" s="45">
        <v>3957.48</v>
      </c>
      <c r="X181" s="37">
        <v>22220.81</v>
      </c>
      <c r="Y181" s="36">
        <v>43864</v>
      </c>
      <c r="Z181" s="34" t="s">
        <v>1448</v>
      </c>
    </row>
    <row r="182" spans="1:26" x14ac:dyDescent="0.25">
      <c r="A182" s="34" t="s">
        <v>1441</v>
      </c>
      <c r="B182" s="34" t="s">
        <v>1442</v>
      </c>
      <c r="C182" s="34" t="s">
        <v>16</v>
      </c>
      <c r="D182" s="34" t="s">
        <v>15</v>
      </c>
      <c r="E182" s="35">
        <v>30040858</v>
      </c>
      <c r="F182" s="34" t="s">
        <v>755</v>
      </c>
      <c r="G182" s="39">
        <v>10030330</v>
      </c>
      <c r="H182" s="42">
        <v>30040858</v>
      </c>
      <c r="I182" s="34" t="s">
        <v>206</v>
      </c>
      <c r="J182" s="34" t="s">
        <v>1443</v>
      </c>
      <c r="K182" s="36">
        <v>39694</v>
      </c>
      <c r="L182" s="34" t="s">
        <v>1444</v>
      </c>
      <c r="M182" s="34" t="s">
        <v>1445</v>
      </c>
      <c r="N182" s="34" t="s">
        <v>717</v>
      </c>
      <c r="O182" s="34" t="s">
        <v>717</v>
      </c>
      <c r="P182" s="34" t="s">
        <v>1468</v>
      </c>
      <c r="Q182" s="34" t="s">
        <v>1468</v>
      </c>
      <c r="R182" s="34" t="s">
        <v>1469</v>
      </c>
      <c r="S182" s="34" t="s">
        <v>1469</v>
      </c>
      <c r="T182" s="34" t="s">
        <v>755</v>
      </c>
      <c r="U182" s="34" t="s">
        <v>755</v>
      </c>
      <c r="V182" s="37">
        <v>11.43</v>
      </c>
      <c r="W182" s="45">
        <v>2551.27</v>
      </c>
      <c r="X182" s="37">
        <v>22220.82</v>
      </c>
      <c r="Y182" s="36">
        <v>43864</v>
      </c>
      <c r="Z182" s="34" t="s">
        <v>1448</v>
      </c>
    </row>
    <row r="183" spans="1:26" x14ac:dyDescent="0.25">
      <c r="A183" s="34" t="s">
        <v>1441</v>
      </c>
      <c r="B183" s="34" t="s">
        <v>1442</v>
      </c>
      <c r="C183" s="34" t="s">
        <v>16</v>
      </c>
      <c r="D183" s="34" t="s">
        <v>15</v>
      </c>
      <c r="E183" s="35">
        <v>30040859</v>
      </c>
      <c r="F183" s="34" t="s">
        <v>756</v>
      </c>
      <c r="G183" s="39">
        <v>10030371</v>
      </c>
      <c r="H183" s="42">
        <v>30040859</v>
      </c>
      <c r="I183" s="34" t="s">
        <v>207</v>
      </c>
      <c r="J183" s="34" t="s">
        <v>1443</v>
      </c>
      <c r="K183" s="36">
        <v>39706</v>
      </c>
      <c r="L183" s="34" t="s">
        <v>1444</v>
      </c>
      <c r="M183" s="34" t="s">
        <v>1445</v>
      </c>
      <c r="N183" s="34" t="s">
        <v>717</v>
      </c>
      <c r="O183" s="34" t="s">
        <v>717</v>
      </c>
      <c r="P183" s="34" t="s">
        <v>1499</v>
      </c>
      <c r="Q183" s="34" t="s">
        <v>1499</v>
      </c>
      <c r="R183" s="34" t="s">
        <v>1500</v>
      </c>
      <c r="S183" s="34" t="s">
        <v>1500</v>
      </c>
      <c r="T183" s="34" t="s">
        <v>756</v>
      </c>
      <c r="U183" s="34" t="s">
        <v>756</v>
      </c>
      <c r="V183" s="37">
        <v>14.04</v>
      </c>
      <c r="W183" s="45">
        <v>3133.85</v>
      </c>
      <c r="X183" s="37">
        <v>22220.87</v>
      </c>
      <c r="Y183" s="36">
        <v>43864</v>
      </c>
      <c r="Z183" s="34" t="s">
        <v>1448</v>
      </c>
    </row>
    <row r="184" spans="1:26" x14ac:dyDescent="0.25">
      <c r="A184" s="34" t="s">
        <v>1441</v>
      </c>
      <c r="B184" s="34" t="s">
        <v>1442</v>
      </c>
      <c r="C184" s="34" t="s">
        <v>16</v>
      </c>
      <c r="D184" s="34" t="s">
        <v>15</v>
      </c>
      <c r="E184" s="35">
        <v>30040860</v>
      </c>
      <c r="F184" s="34" t="s">
        <v>758</v>
      </c>
      <c r="G184" s="39">
        <v>10030539</v>
      </c>
      <c r="H184" s="42">
        <v>30040860</v>
      </c>
      <c r="I184" s="34" t="s">
        <v>208</v>
      </c>
      <c r="J184" s="34" t="s">
        <v>1443</v>
      </c>
      <c r="K184" s="36">
        <v>39741</v>
      </c>
      <c r="L184" s="34" t="s">
        <v>1444</v>
      </c>
      <c r="M184" s="34" t="s">
        <v>1445</v>
      </c>
      <c r="N184" s="34" t="s">
        <v>717</v>
      </c>
      <c r="O184" s="34" t="s">
        <v>717</v>
      </c>
      <c r="P184" s="34" t="s">
        <v>1449</v>
      </c>
      <c r="Q184" s="34" t="s">
        <v>1449</v>
      </c>
      <c r="R184" s="34" t="s">
        <v>1450</v>
      </c>
      <c r="S184" s="34" t="s">
        <v>1450</v>
      </c>
      <c r="T184" s="34" t="s">
        <v>758</v>
      </c>
      <c r="U184" s="34" t="s">
        <v>758</v>
      </c>
      <c r="V184" s="37">
        <v>14.48</v>
      </c>
      <c r="W184" s="45">
        <v>3232.06</v>
      </c>
      <c r="X184" s="37">
        <v>22220.86</v>
      </c>
      <c r="Y184" s="36">
        <v>43864</v>
      </c>
      <c r="Z184" s="34" t="s">
        <v>1448</v>
      </c>
    </row>
    <row r="185" spans="1:26" x14ac:dyDescent="0.25">
      <c r="A185" s="34" t="s">
        <v>1441</v>
      </c>
      <c r="B185" s="34" t="s">
        <v>1442</v>
      </c>
      <c r="C185" s="34" t="s">
        <v>16</v>
      </c>
      <c r="D185" s="34" t="s">
        <v>15</v>
      </c>
      <c r="E185" s="35">
        <v>30040861</v>
      </c>
      <c r="F185" s="34" t="s">
        <v>762</v>
      </c>
      <c r="G185" s="39">
        <v>10032731</v>
      </c>
      <c r="H185" s="42">
        <v>30040861</v>
      </c>
      <c r="I185" s="34" t="s">
        <v>209</v>
      </c>
      <c r="J185" s="34" t="s">
        <v>1443</v>
      </c>
      <c r="K185" s="36">
        <v>35024</v>
      </c>
      <c r="L185" s="34" t="s">
        <v>1444</v>
      </c>
      <c r="M185" s="34" t="s">
        <v>1445</v>
      </c>
      <c r="N185" s="34" t="s">
        <v>717</v>
      </c>
      <c r="O185" s="34" t="s">
        <v>717</v>
      </c>
      <c r="P185" s="34" t="s">
        <v>1490</v>
      </c>
      <c r="Q185" s="34" t="s">
        <v>1490</v>
      </c>
      <c r="R185" s="34" t="s">
        <v>1491</v>
      </c>
      <c r="S185" s="34" t="s">
        <v>1491</v>
      </c>
      <c r="T185" s="34" t="s">
        <v>762</v>
      </c>
      <c r="U185" s="34" t="s">
        <v>762</v>
      </c>
      <c r="V185" s="37">
        <v>11.43</v>
      </c>
      <c r="W185" s="45">
        <v>2551.27</v>
      </c>
      <c r="X185" s="37">
        <v>22220.82</v>
      </c>
      <c r="Y185" s="36">
        <v>43864</v>
      </c>
      <c r="Z185" s="34" t="s">
        <v>1448</v>
      </c>
    </row>
    <row r="186" spans="1:26" x14ac:dyDescent="0.25">
      <c r="A186" s="34" t="s">
        <v>1441</v>
      </c>
      <c r="B186" s="34" t="s">
        <v>1442</v>
      </c>
      <c r="C186" s="34" t="s">
        <v>6</v>
      </c>
      <c r="D186" s="34" t="s">
        <v>15</v>
      </c>
      <c r="E186" s="35">
        <v>30040862</v>
      </c>
      <c r="F186" s="34" t="s">
        <v>753</v>
      </c>
      <c r="G186" s="39">
        <v>10033391</v>
      </c>
      <c r="H186" s="42">
        <v>30040862</v>
      </c>
      <c r="I186" s="34" t="s">
        <v>210</v>
      </c>
      <c r="J186" s="34" t="s">
        <v>1443</v>
      </c>
      <c r="K186" s="36">
        <v>35710</v>
      </c>
      <c r="L186" s="34" t="s">
        <v>1444</v>
      </c>
      <c r="M186" s="34" t="s">
        <v>1445</v>
      </c>
      <c r="N186" s="34" t="s">
        <v>717</v>
      </c>
      <c r="O186" s="34" t="s">
        <v>717</v>
      </c>
      <c r="P186" s="34" t="s">
        <v>1472</v>
      </c>
      <c r="Q186" s="34" t="s">
        <v>1472</v>
      </c>
      <c r="R186" s="34" t="s">
        <v>1473</v>
      </c>
      <c r="S186" s="34" t="s">
        <v>1473</v>
      </c>
      <c r="T186" s="34" t="s">
        <v>753</v>
      </c>
      <c r="U186" s="34" t="s">
        <v>753</v>
      </c>
      <c r="V186" s="37">
        <v>18.28</v>
      </c>
      <c r="W186" s="45">
        <v>4080.25</v>
      </c>
      <c r="X186" s="37">
        <v>22220.84</v>
      </c>
      <c r="Y186" s="36">
        <v>43864</v>
      </c>
      <c r="Z186" s="34" t="s">
        <v>1448</v>
      </c>
    </row>
    <row r="187" spans="1:26" x14ac:dyDescent="0.25">
      <c r="A187" s="34" t="s">
        <v>1441</v>
      </c>
      <c r="B187" s="34" t="s">
        <v>1442</v>
      </c>
      <c r="C187" s="34" t="s">
        <v>16</v>
      </c>
      <c r="D187" s="34" t="s">
        <v>15</v>
      </c>
      <c r="E187" s="35">
        <v>30040863</v>
      </c>
      <c r="F187" s="34" t="s">
        <v>765</v>
      </c>
      <c r="G187" s="39">
        <v>10033408</v>
      </c>
      <c r="H187" s="42">
        <v>30040863</v>
      </c>
      <c r="I187" s="34" t="s">
        <v>211</v>
      </c>
      <c r="J187" s="34" t="s">
        <v>1443</v>
      </c>
      <c r="K187" s="36">
        <v>35737</v>
      </c>
      <c r="L187" s="34" t="s">
        <v>1444</v>
      </c>
      <c r="M187" s="34" t="s">
        <v>1445</v>
      </c>
      <c r="N187" s="34" t="s">
        <v>717</v>
      </c>
      <c r="O187" s="34" t="s">
        <v>717</v>
      </c>
      <c r="P187" s="34" t="s">
        <v>1492</v>
      </c>
      <c r="Q187" s="34" t="s">
        <v>1492</v>
      </c>
      <c r="R187" s="34" t="s">
        <v>1493</v>
      </c>
      <c r="S187" s="34" t="s">
        <v>1493</v>
      </c>
      <c r="T187" s="34" t="s">
        <v>765</v>
      </c>
      <c r="U187" s="34" t="s">
        <v>765</v>
      </c>
      <c r="V187" s="37">
        <v>8.59</v>
      </c>
      <c r="W187" s="45">
        <v>1917.36</v>
      </c>
      <c r="X187" s="37">
        <v>22220.84</v>
      </c>
      <c r="Y187" s="36">
        <v>43864</v>
      </c>
      <c r="Z187" s="34" t="s">
        <v>1448</v>
      </c>
    </row>
    <row r="188" spans="1:26" x14ac:dyDescent="0.25">
      <c r="A188" s="34" t="s">
        <v>1441</v>
      </c>
      <c r="B188" s="34" t="s">
        <v>1442</v>
      </c>
      <c r="C188" s="34" t="s">
        <v>16</v>
      </c>
      <c r="D188" s="34" t="s">
        <v>15</v>
      </c>
      <c r="E188" s="35">
        <v>30040864</v>
      </c>
      <c r="F188" s="34" t="s">
        <v>21</v>
      </c>
      <c r="G188" s="39">
        <v>10034077</v>
      </c>
      <c r="H188" s="42">
        <v>30040864</v>
      </c>
      <c r="I188" s="34" t="s">
        <v>212</v>
      </c>
      <c r="J188" s="34" t="s">
        <v>1443</v>
      </c>
      <c r="K188" s="36">
        <v>36941</v>
      </c>
      <c r="L188" s="34" t="s">
        <v>1444</v>
      </c>
      <c r="M188" s="34" t="s">
        <v>1445</v>
      </c>
      <c r="N188" s="34" t="s">
        <v>717</v>
      </c>
      <c r="O188" s="34" t="s">
        <v>717</v>
      </c>
      <c r="P188" s="34" t="s">
        <v>1462</v>
      </c>
      <c r="Q188" s="34" t="s">
        <v>1462</v>
      </c>
      <c r="R188" s="34" t="s">
        <v>1463</v>
      </c>
      <c r="S188" s="34" t="s">
        <v>1463</v>
      </c>
      <c r="T188" s="34" t="s">
        <v>21</v>
      </c>
      <c r="U188" s="34" t="s">
        <v>21</v>
      </c>
      <c r="V188" s="37">
        <v>11.71</v>
      </c>
      <c r="W188" s="45">
        <v>2613.77</v>
      </c>
      <c r="X188" s="37">
        <v>22220.84</v>
      </c>
      <c r="Y188" s="36">
        <v>43864</v>
      </c>
      <c r="Z188" s="34" t="s">
        <v>1448</v>
      </c>
    </row>
    <row r="189" spans="1:26" x14ac:dyDescent="0.25">
      <c r="A189" s="34" t="s">
        <v>1441</v>
      </c>
      <c r="B189" s="34" t="s">
        <v>1442</v>
      </c>
      <c r="C189" s="34" t="s">
        <v>16</v>
      </c>
      <c r="D189" s="34" t="s">
        <v>15</v>
      </c>
      <c r="E189" s="35">
        <v>30040865</v>
      </c>
      <c r="F189" s="34" t="s">
        <v>751</v>
      </c>
      <c r="G189" s="39">
        <v>10034358</v>
      </c>
      <c r="H189" s="42">
        <v>30040865</v>
      </c>
      <c r="I189" s="34" t="s">
        <v>213</v>
      </c>
      <c r="J189" s="34" t="s">
        <v>1443</v>
      </c>
      <c r="K189" s="36">
        <v>37546</v>
      </c>
      <c r="L189" s="34" t="s">
        <v>1444</v>
      </c>
      <c r="M189" s="34" t="s">
        <v>1445</v>
      </c>
      <c r="N189" s="34" t="s">
        <v>717</v>
      </c>
      <c r="O189" s="34" t="s">
        <v>717</v>
      </c>
      <c r="P189" s="34" t="s">
        <v>1486</v>
      </c>
      <c r="Q189" s="34" t="s">
        <v>1486</v>
      </c>
      <c r="R189" s="34" t="s">
        <v>1487</v>
      </c>
      <c r="S189" s="34" t="s">
        <v>1487</v>
      </c>
      <c r="T189" s="34" t="s">
        <v>751</v>
      </c>
      <c r="U189" s="34" t="s">
        <v>751</v>
      </c>
      <c r="V189" s="37">
        <v>17.73</v>
      </c>
      <c r="W189" s="45">
        <v>3957.48</v>
      </c>
      <c r="X189" s="37">
        <v>22220.81</v>
      </c>
      <c r="Y189" s="36">
        <v>43864</v>
      </c>
      <c r="Z189" s="34" t="s">
        <v>1448</v>
      </c>
    </row>
    <row r="190" spans="1:26" x14ac:dyDescent="0.25">
      <c r="A190" s="34" t="s">
        <v>1441</v>
      </c>
      <c r="B190" s="34" t="s">
        <v>1442</v>
      </c>
      <c r="C190" s="34" t="s">
        <v>16</v>
      </c>
      <c r="D190" s="34" t="s">
        <v>15</v>
      </c>
      <c r="E190" s="35">
        <v>30040866</v>
      </c>
      <c r="F190" s="34" t="s">
        <v>751</v>
      </c>
      <c r="G190" s="39">
        <v>10034398</v>
      </c>
      <c r="H190" s="42">
        <v>30040866</v>
      </c>
      <c r="I190" s="34" t="s">
        <v>214</v>
      </c>
      <c r="J190" s="34" t="s">
        <v>1443</v>
      </c>
      <c r="K190" s="36">
        <v>37635</v>
      </c>
      <c r="L190" s="34" t="s">
        <v>1444</v>
      </c>
      <c r="M190" s="34" t="s">
        <v>1445</v>
      </c>
      <c r="N190" s="34" t="s">
        <v>717</v>
      </c>
      <c r="O190" s="34" t="s">
        <v>717</v>
      </c>
      <c r="P190" s="34" t="s">
        <v>1486</v>
      </c>
      <c r="Q190" s="34" t="s">
        <v>1486</v>
      </c>
      <c r="R190" s="34" t="s">
        <v>1487</v>
      </c>
      <c r="S190" s="34" t="s">
        <v>1487</v>
      </c>
      <c r="T190" s="34" t="s">
        <v>751</v>
      </c>
      <c r="U190" s="34" t="s">
        <v>751</v>
      </c>
      <c r="V190" s="37">
        <v>17.73</v>
      </c>
      <c r="W190" s="45">
        <v>3957.48</v>
      </c>
      <c r="X190" s="37">
        <v>22220.81</v>
      </c>
      <c r="Y190" s="36">
        <v>43864</v>
      </c>
      <c r="Z190" s="34" t="s">
        <v>1448</v>
      </c>
    </row>
    <row r="191" spans="1:26" x14ac:dyDescent="0.25">
      <c r="A191" s="34" t="s">
        <v>1441</v>
      </c>
      <c r="B191" s="34" t="s">
        <v>1442</v>
      </c>
      <c r="C191" s="34" t="s">
        <v>16</v>
      </c>
      <c r="D191" s="34" t="s">
        <v>15</v>
      </c>
      <c r="E191" s="35">
        <v>30040867</v>
      </c>
      <c r="F191" s="34" t="s">
        <v>21</v>
      </c>
      <c r="G191" s="39">
        <v>10034519</v>
      </c>
      <c r="H191" s="42">
        <v>30040867</v>
      </c>
      <c r="I191" s="34" t="s">
        <v>215</v>
      </c>
      <c r="J191" s="34" t="s">
        <v>1443</v>
      </c>
      <c r="K191" s="36">
        <v>37813</v>
      </c>
      <c r="L191" s="34" t="s">
        <v>1444</v>
      </c>
      <c r="M191" s="34" t="s">
        <v>1445</v>
      </c>
      <c r="N191" s="34" t="s">
        <v>717</v>
      </c>
      <c r="O191" s="34" t="s">
        <v>717</v>
      </c>
      <c r="P191" s="34" t="s">
        <v>1462</v>
      </c>
      <c r="Q191" s="34" t="s">
        <v>1462</v>
      </c>
      <c r="R191" s="34" t="s">
        <v>1478</v>
      </c>
      <c r="S191" s="34" t="s">
        <v>1478</v>
      </c>
      <c r="T191" s="34" t="s">
        <v>21</v>
      </c>
      <c r="U191" s="34" t="s">
        <v>21</v>
      </c>
      <c r="V191" s="37">
        <v>11.71</v>
      </c>
      <c r="W191" s="45">
        <v>2613.77</v>
      </c>
      <c r="X191" s="37">
        <v>22220.84</v>
      </c>
      <c r="Y191" s="36">
        <v>43864</v>
      </c>
      <c r="Z191" s="34" t="s">
        <v>1448</v>
      </c>
    </row>
    <row r="192" spans="1:26" x14ac:dyDescent="0.25">
      <c r="A192" s="34" t="s">
        <v>1441</v>
      </c>
      <c r="B192" s="34" t="s">
        <v>1442</v>
      </c>
      <c r="C192" s="34" t="s">
        <v>16</v>
      </c>
      <c r="D192" s="34" t="s">
        <v>15</v>
      </c>
      <c r="E192" s="35">
        <v>30040868</v>
      </c>
      <c r="F192" s="34" t="s">
        <v>21</v>
      </c>
      <c r="G192" s="39">
        <v>10034810</v>
      </c>
      <c r="H192" s="42">
        <v>30040868</v>
      </c>
      <c r="I192" s="34" t="s">
        <v>216</v>
      </c>
      <c r="J192" s="34" t="s">
        <v>1443</v>
      </c>
      <c r="K192" s="36">
        <v>38201</v>
      </c>
      <c r="L192" s="34" t="s">
        <v>1444</v>
      </c>
      <c r="M192" s="34" t="s">
        <v>1445</v>
      </c>
      <c r="N192" s="34" t="s">
        <v>717</v>
      </c>
      <c r="O192" s="34" t="s">
        <v>717</v>
      </c>
      <c r="P192" s="34" t="s">
        <v>1462</v>
      </c>
      <c r="Q192" s="34" t="s">
        <v>1462</v>
      </c>
      <c r="R192" s="34" t="s">
        <v>1478</v>
      </c>
      <c r="S192" s="34" t="s">
        <v>1478</v>
      </c>
      <c r="T192" s="34" t="s">
        <v>21</v>
      </c>
      <c r="U192" s="34" t="s">
        <v>21</v>
      </c>
      <c r="V192" s="37">
        <v>11.71</v>
      </c>
      <c r="W192" s="45">
        <v>2613.77</v>
      </c>
      <c r="X192" s="37">
        <v>22220.84</v>
      </c>
      <c r="Y192" s="36">
        <v>43864</v>
      </c>
      <c r="Z192" s="34" t="s">
        <v>1448</v>
      </c>
    </row>
    <row r="193" spans="1:26" x14ac:dyDescent="0.25">
      <c r="A193" s="34" t="s">
        <v>1441</v>
      </c>
      <c r="B193" s="34" t="s">
        <v>1442</v>
      </c>
      <c r="C193" s="34" t="s">
        <v>16</v>
      </c>
      <c r="D193" s="34" t="s">
        <v>15</v>
      </c>
      <c r="E193" s="35">
        <v>30040869</v>
      </c>
      <c r="F193" s="34" t="s">
        <v>21</v>
      </c>
      <c r="G193" s="39">
        <v>10034811</v>
      </c>
      <c r="H193" s="42">
        <v>30040869</v>
      </c>
      <c r="I193" s="34" t="s">
        <v>217</v>
      </c>
      <c r="J193" s="34" t="s">
        <v>1443</v>
      </c>
      <c r="K193" s="36">
        <v>38201</v>
      </c>
      <c r="L193" s="34" t="s">
        <v>1444</v>
      </c>
      <c r="M193" s="34" t="s">
        <v>1445</v>
      </c>
      <c r="N193" s="34" t="s">
        <v>717</v>
      </c>
      <c r="O193" s="34" t="s">
        <v>717</v>
      </c>
      <c r="P193" s="34" t="s">
        <v>1462</v>
      </c>
      <c r="Q193" s="34" t="s">
        <v>1462</v>
      </c>
      <c r="R193" s="34" t="s">
        <v>1478</v>
      </c>
      <c r="S193" s="34" t="s">
        <v>1478</v>
      </c>
      <c r="T193" s="34" t="s">
        <v>21</v>
      </c>
      <c r="U193" s="34" t="s">
        <v>21</v>
      </c>
      <c r="V193" s="37">
        <v>11.71</v>
      </c>
      <c r="W193" s="45">
        <v>2613.77</v>
      </c>
      <c r="X193" s="37">
        <v>22220.84</v>
      </c>
      <c r="Y193" s="36">
        <v>43864</v>
      </c>
      <c r="Z193" s="34" t="s">
        <v>1448</v>
      </c>
    </row>
    <row r="194" spans="1:26" x14ac:dyDescent="0.25">
      <c r="A194" s="34" t="s">
        <v>1441</v>
      </c>
      <c r="B194" s="34" t="s">
        <v>1442</v>
      </c>
      <c r="C194" s="34" t="s">
        <v>16</v>
      </c>
      <c r="D194" s="34" t="s">
        <v>15</v>
      </c>
      <c r="E194" s="35">
        <v>30040870</v>
      </c>
      <c r="F194" s="34" t="s">
        <v>21</v>
      </c>
      <c r="G194" s="39">
        <v>10035039</v>
      </c>
      <c r="H194" s="42">
        <v>30040870</v>
      </c>
      <c r="I194" s="34" t="s">
        <v>218</v>
      </c>
      <c r="J194" s="34" t="s">
        <v>1443</v>
      </c>
      <c r="K194" s="36">
        <v>38448</v>
      </c>
      <c r="L194" s="34" t="s">
        <v>1444</v>
      </c>
      <c r="M194" s="34" t="s">
        <v>1445</v>
      </c>
      <c r="N194" s="34" t="s">
        <v>717</v>
      </c>
      <c r="O194" s="34" t="s">
        <v>717</v>
      </c>
      <c r="P194" s="34" t="s">
        <v>1462</v>
      </c>
      <c r="Q194" s="34" t="s">
        <v>1462</v>
      </c>
      <c r="R194" s="34" t="s">
        <v>1494</v>
      </c>
      <c r="S194" s="34" t="s">
        <v>1494</v>
      </c>
      <c r="T194" s="34" t="s">
        <v>21</v>
      </c>
      <c r="U194" s="34" t="s">
        <v>21</v>
      </c>
      <c r="V194" s="37">
        <v>11.71</v>
      </c>
      <c r="W194" s="45">
        <v>2613.77</v>
      </c>
      <c r="X194" s="37">
        <v>22220.84</v>
      </c>
      <c r="Y194" s="36">
        <v>43864</v>
      </c>
      <c r="Z194" s="34" t="s">
        <v>1448</v>
      </c>
    </row>
    <row r="195" spans="1:26" x14ac:dyDescent="0.25">
      <c r="A195" s="34" t="s">
        <v>1441</v>
      </c>
      <c r="B195" s="34" t="s">
        <v>1442</v>
      </c>
      <c r="C195" s="34" t="s">
        <v>16</v>
      </c>
      <c r="D195" s="34" t="s">
        <v>15</v>
      </c>
      <c r="E195" s="35">
        <v>30041328</v>
      </c>
      <c r="F195" s="34" t="s">
        <v>761</v>
      </c>
      <c r="G195" s="39">
        <v>10035290</v>
      </c>
      <c r="H195" s="42">
        <v>30041328</v>
      </c>
      <c r="I195" s="34" t="s">
        <v>219</v>
      </c>
      <c r="J195" s="34" t="s">
        <v>1443</v>
      </c>
      <c r="K195" s="36">
        <v>38869</v>
      </c>
      <c r="L195" s="34" t="s">
        <v>1444</v>
      </c>
      <c r="M195" s="34" t="s">
        <v>1445</v>
      </c>
      <c r="N195" s="34" t="s">
        <v>717</v>
      </c>
      <c r="O195" s="34" t="s">
        <v>717</v>
      </c>
      <c r="P195" s="34" t="s">
        <v>1474</v>
      </c>
      <c r="Q195" s="34" t="s">
        <v>1474</v>
      </c>
      <c r="R195" s="34" t="s">
        <v>1485</v>
      </c>
      <c r="S195" s="34" t="s">
        <v>1485</v>
      </c>
      <c r="T195" s="34" t="s">
        <v>761</v>
      </c>
      <c r="U195" s="34" t="s">
        <v>761</v>
      </c>
      <c r="V195" s="37">
        <v>11.71</v>
      </c>
      <c r="W195" s="45">
        <v>2138.54</v>
      </c>
      <c r="X195" s="37">
        <v>18162.509999999998</v>
      </c>
      <c r="Y195" s="36">
        <v>43864</v>
      </c>
      <c r="Z195" s="34" t="s">
        <v>1448</v>
      </c>
    </row>
    <row r="196" spans="1:26" x14ac:dyDescent="0.25">
      <c r="A196" s="34" t="s">
        <v>1441</v>
      </c>
      <c r="B196" s="34" t="s">
        <v>1442</v>
      </c>
      <c r="C196" s="34" t="s">
        <v>16</v>
      </c>
      <c r="D196" s="34" t="s">
        <v>15</v>
      </c>
      <c r="E196" s="35">
        <v>30040872</v>
      </c>
      <c r="F196" s="34" t="s">
        <v>21</v>
      </c>
      <c r="G196" s="39">
        <v>10035342</v>
      </c>
      <c r="H196" s="42">
        <v>30040872</v>
      </c>
      <c r="I196" s="34" t="s">
        <v>220</v>
      </c>
      <c r="J196" s="34" t="s">
        <v>1443</v>
      </c>
      <c r="K196" s="36">
        <v>38904</v>
      </c>
      <c r="L196" s="34" t="s">
        <v>1444</v>
      </c>
      <c r="M196" s="34" t="s">
        <v>1445</v>
      </c>
      <c r="N196" s="34" t="s">
        <v>717</v>
      </c>
      <c r="O196" s="34" t="s">
        <v>717</v>
      </c>
      <c r="P196" s="34" t="s">
        <v>1501</v>
      </c>
      <c r="Q196" s="34" t="s">
        <v>1501</v>
      </c>
      <c r="R196" s="34" t="s">
        <v>1502</v>
      </c>
      <c r="S196" s="34" t="s">
        <v>1502</v>
      </c>
      <c r="T196" s="34" t="s">
        <v>21</v>
      </c>
      <c r="U196" s="34" t="s">
        <v>21</v>
      </c>
      <c r="V196" s="37">
        <v>11.71</v>
      </c>
      <c r="W196" s="45">
        <v>2613.77</v>
      </c>
      <c r="X196" s="37">
        <v>22220.84</v>
      </c>
      <c r="Y196" s="36">
        <v>43864</v>
      </c>
      <c r="Z196" s="34" t="s">
        <v>1448</v>
      </c>
    </row>
    <row r="197" spans="1:26" x14ac:dyDescent="0.25">
      <c r="A197" s="34" t="s">
        <v>1441</v>
      </c>
      <c r="B197" s="34" t="s">
        <v>1442</v>
      </c>
      <c r="C197" s="34" t="s">
        <v>16</v>
      </c>
      <c r="D197" s="34" t="s">
        <v>15</v>
      </c>
      <c r="E197" s="35">
        <v>30040873</v>
      </c>
      <c r="F197" s="34" t="s">
        <v>755</v>
      </c>
      <c r="G197" s="39">
        <v>10035369</v>
      </c>
      <c r="H197" s="42">
        <v>30040873</v>
      </c>
      <c r="I197" s="34" t="s">
        <v>221</v>
      </c>
      <c r="J197" s="34" t="s">
        <v>1443</v>
      </c>
      <c r="K197" s="36">
        <v>38917</v>
      </c>
      <c r="L197" s="34" t="s">
        <v>1444</v>
      </c>
      <c r="M197" s="34" t="s">
        <v>1445</v>
      </c>
      <c r="N197" s="34" t="s">
        <v>717</v>
      </c>
      <c r="O197" s="34" t="s">
        <v>717</v>
      </c>
      <c r="P197" s="34" t="s">
        <v>1468</v>
      </c>
      <c r="Q197" s="34" t="s">
        <v>1468</v>
      </c>
      <c r="R197" s="34" t="s">
        <v>1469</v>
      </c>
      <c r="S197" s="34" t="s">
        <v>1469</v>
      </c>
      <c r="T197" s="34" t="s">
        <v>755</v>
      </c>
      <c r="U197" s="34" t="s">
        <v>755</v>
      </c>
      <c r="V197" s="37">
        <v>11.43</v>
      </c>
      <c r="W197" s="45">
        <v>2551.27</v>
      </c>
      <c r="X197" s="37">
        <v>22220.82</v>
      </c>
      <c r="Y197" s="36">
        <v>43864</v>
      </c>
      <c r="Z197" s="34" t="s">
        <v>1448</v>
      </c>
    </row>
    <row r="198" spans="1:26" x14ac:dyDescent="0.25">
      <c r="A198" s="34" t="s">
        <v>1441</v>
      </c>
      <c r="B198" s="34" t="s">
        <v>1442</v>
      </c>
      <c r="C198" s="34" t="s">
        <v>16</v>
      </c>
      <c r="D198" s="34" t="s">
        <v>15</v>
      </c>
      <c r="E198" s="35">
        <v>30040874</v>
      </c>
      <c r="F198" s="34" t="s">
        <v>21</v>
      </c>
      <c r="G198" s="39">
        <v>10035445</v>
      </c>
      <c r="H198" s="42">
        <v>30040874</v>
      </c>
      <c r="I198" s="34" t="s">
        <v>222</v>
      </c>
      <c r="J198" s="34" t="s">
        <v>1443</v>
      </c>
      <c r="K198" s="36">
        <v>38992</v>
      </c>
      <c r="L198" s="34" t="s">
        <v>1444</v>
      </c>
      <c r="M198" s="34" t="s">
        <v>1445</v>
      </c>
      <c r="N198" s="34" t="s">
        <v>717</v>
      </c>
      <c r="O198" s="34" t="s">
        <v>717</v>
      </c>
      <c r="P198" s="34" t="s">
        <v>1462</v>
      </c>
      <c r="Q198" s="34" t="s">
        <v>1462</v>
      </c>
      <c r="R198" s="34" t="s">
        <v>1463</v>
      </c>
      <c r="S198" s="34" t="s">
        <v>1463</v>
      </c>
      <c r="T198" s="34" t="s">
        <v>21</v>
      </c>
      <c r="U198" s="34" t="s">
        <v>21</v>
      </c>
      <c r="V198" s="37">
        <v>11.71</v>
      </c>
      <c r="W198" s="45">
        <v>2613.77</v>
      </c>
      <c r="X198" s="37">
        <v>22220.84</v>
      </c>
      <c r="Y198" s="36">
        <v>43864</v>
      </c>
      <c r="Z198" s="34" t="s">
        <v>1448</v>
      </c>
    </row>
    <row r="199" spans="1:26" x14ac:dyDescent="0.25">
      <c r="A199" s="34" t="s">
        <v>1441</v>
      </c>
      <c r="B199" s="34" t="s">
        <v>1442</v>
      </c>
      <c r="C199" s="34" t="s">
        <v>16</v>
      </c>
      <c r="D199" s="34" t="s">
        <v>15</v>
      </c>
      <c r="E199" s="35">
        <v>30040875</v>
      </c>
      <c r="F199" s="34" t="s">
        <v>762</v>
      </c>
      <c r="G199" s="39">
        <v>10035579</v>
      </c>
      <c r="H199" s="42">
        <v>30040875</v>
      </c>
      <c r="I199" s="34" t="s">
        <v>223</v>
      </c>
      <c r="J199" s="34" t="s">
        <v>1443</v>
      </c>
      <c r="K199" s="36">
        <v>39500</v>
      </c>
      <c r="L199" s="34" t="s">
        <v>1444</v>
      </c>
      <c r="M199" s="34" t="s">
        <v>1445</v>
      </c>
      <c r="N199" s="34" t="s">
        <v>717</v>
      </c>
      <c r="O199" s="34" t="s">
        <v>717</v>
      </c>
      <c r="P199" s="34" t="s">
        <v>1490</v>
      </c>
      <c r="Q199" s="34" t="s">
        <v>1490</v>
      </c>
      <c r="R199" s="34" t="s">
        <v>1491</v>
      </c>
      <c r="S199" s="34" t="s">
        <v>1491</v>
      </c>
      <c r="T199" s="34" t="s">
        <v>762</v>
      </c>
      <c r="U199" s="34" t="s">
        <v>762</v>
      </c>
      <c r="V199" s="37">
        <v>11.43</v>
      </c>
      <c r="W199" s="45">
        <v>2551.27</v>
      </c>
      <c r="X199" s="37">
        <v>22220.82</v>
      </c>
      <c r="Y199" s="36">
        <v>43864</v>
      </c>
      <c r="Z199" s="34" t="s">
        <v>1448</v>
      </c>
    </row>
    <row r="200" spans="1:26" x14ac:dyDescent="0.25">
      <c r="A200" s="34" t="s">
        <v>1441</v>
      </c>
      <c r="B200" s="34" t="s">
        <v>1442</v>
      </c>
      <c r="C200" s="34" t="s">
        <v>16</v>
      </c>
      <c r="D200" s="34" t="s">
        <v>15</v>
      </c>
      <c r="E200" s="35">
        <v>30040876</v>
      </c>
      <c r="F200" s="34" t="s">
        <v>755</v>
      </c>
      <c r="G200" s="39">
        <v>10035637</v>
      </c>
      <c r="H200" s="42">
        <v>30040876</v>
      </c>
      <c r="I200" s="34" t="s">
        <v>224</v>
      </c>
      <c r="J200" s="34" t="s">
        <v>1443</v>
      </c>
      <c r="K200" s="36">
        <v>39755</v>
      </c>
      <c r="L200" s="34" t="s">
        <v>1444</v>
      </c>
      <c r="M200" s="34" t="s">
        <v>1445</v>
      </c>
      <c r="N200" s="34" t="s">
        <v>717</v>
      </c>
      <c r="O200" s="34" t="s">
        <v>717</v>
      </c>
      <c r="P200" s="34" t="s">
        <v>1468</v>
      </c>
      <c r="Q200" s="34" t="s">
        <v>1468</v>
      </c>
      <c r="R200" s="34" t="s">
        <v>1469</v>
      </c>
      <c r="S200" s="34" t="s">
        <v>1469</v>
      </c>
      <c r="T200" s="34" t="s">
        <v>755</v>
      </c>
      <c r="U200" s="34" t="s">
        <v>755</v>
      </c>
      <c r="V200" s="37">
        <v>11.43</v>
      </c>
      <c r="W200" s="45">
        <v>2551.27</v>
      </c>
      <c r="X200" s="37">
        <v>22220.82</v>
      </c>
      <c r="Y200" s="36">
        <v>43864</v>
      </c>
      <c r="Z200" s="34" t="s">
        <v>1448</v>
      </c>
    </row>
    <row r="201" spans="1:26" x14ac:dyDescent="0.25">
      <c r="A201" s="34" t="s">
        <v>1441</v>
      </c>
      <c r="B201" s="34" t="s">
        <v>1442</v>
      </c>
      <c r="C201" s="34" t="s">
        <v>16</v>
      </c>
      <c r="D201" s="34" t="s">
        <v>15</v>
      </c>
      <c r="E201" s="35">
        <v>30040877</v>
      </c>
      <c r="F201" s="34" t="s">
        <v>751</v>
      </c>
      <c r="G201" s="39">
        <v>10035638</v>
      </c>
      <c r="H201" s="42">
        <v>30040877</v>
      </c>
      <c r="I201" s="34" t="s">
        <v>225</v>
      </c>
      <c r="J201" s="34" t="s">
        <v>1443</v>
      </c>
      <c r="K201" s="36">
        <v>39755</v>
      </c>
      <c r="L201" s="34" t="s">
        <v>1444</v>
      </c>
      <c r="M201" s="34" t="s">
        <v>1445</v>
      </c>
      <c r="N201" s="34" t="s">
        <v>717</v>
      </c>
      <c r="O201" s="34" t="s">
        <v>717</v>
      </c>
      <c r="P201" s="34" t="s">
        <v>1446</v>
      </c>
      <c r="Q201" s="34" t="s">
        <v>1446</v>
      </c>
      <c r="R201" s="34" t="s">
        <v>1447</v>
      </c>
      <c r="S201" s="34" t="s">
        <v>1447</v>
      </c>
      <c r="T201" s="34" t="s">
        <v>751</v>
      </c>
      <c r="U201" s="34" t="s">
        <v>751</v>
      </c>
      <c r="V201" s="37">
        <v>17.739999999999998</v>
      </c>
      <c r="W201" s="45">
        <v>3959.72</v>
      </c>
      <c r="X201" s="37">
        <v>22220.86</v>
      </c>
      <c r="Y201" s="36">
        <v>43864</v>
      </c>
      <c r="Z201" s="34" t="s">
        <v>1448</v>
      </c>
    </row>
    <row r="202" spans="1:26" x14ac:dyDescent="0.25">
      <c r="A202" s="34" t="s">
        <v>1441</v>
      </c>
      <c r="B202" s="34" t="s">
        <v>1442</v>
      </c>
      <c r="C202" s="34" t="s">
        <v>16</v>
      </c>
      <c r="D202" s="34" t="s">
        <v>15</v>
      </c>
      <c r="E202" s="35">
        <v>30040878</v>
      </c>
      <c r="F202" s="34" t="s">
        <v>759</v>
      </c>
      <c r="G202" s="39">
        <v>10035644</v>
      </c>
      <c r="H202" s="42">
        <v>30040878</v>
      </c>
      <c r="I202" s="34" t="s">
        <v>226</v>
      </c>
      <c r="J202" s="34" t="s">
        <v>1443</v>
      </c>
      <c r="K202" s="36">
        <v>39755</v>
      </c>
      <c r="L202" s="34" t="s">
        <v>1444</v>
      </c>
      <c r="M202" s="34" t="s">
        <v>1445</v>
      </c>
      <c r="N202" s="34" t="s">
        <v>717</v>
      </c>
      <c r="O202" s="34" t="s">
        <v>717</v>
      </c>
      <c r="P202" s="34" t="s">
        <v>1466</v>
      </c>
      <c r="Q202" s="34" t="s">
        <v>1466</v>
      </c>
      <c r="R202" s="34" t="s">
        <v>1467</v>
      </c>
      <c r="S202" s="34" t="s">
        <v>1467</v>
      </c>
      <c r="T202" s="34" t="s">
        <v>759</v>
      </c>
      <c r="U202" s="34" t="s">
        <v>759</v>
      </c>
      <c r="V202" s="37">
        <v>14.04</v>
      </c>
      <c r="W202" s="45">
        <v>3133.85</v>
      </c>
      <c r="X202" s="37">
        <v>22220.87</v>
      </c>
      <c r="Y202" s="36">
        <v>43864</v>
      </c>
      <c r="Z202" s="34" t="s">
        <v>1448</v>
      </c>
    </row>
    <row r="203" spans="1:26" x14ac:dyDescent="0.25">
      <c r="A203" s="34" t="s">
        <v>1441</v>
      </c>
      <c r="B203" s="34" t="s">
        <v>1442</v>
      </c>
      <c r="C203" s="34" t="s">
        <v>16</v>
      </c>
      <c r="D203" s="34" t="s">
        <v>15</v>
      </c>
      <c r="E203" s="35">
        <v>30040879</v>
      </c>
      <c r="F203" s="34" t="s">
        <v>751</v>
      </c>
      <c r="G203" s="39">
        <v>10035675</v>
      </c>
      <c r="H203" s="42">
        <v>30040879</v>
      </c>
      <c r="I203" s="34" t="s">
        <v>227</v>
      </c>
      <c r="J203" s="34" t="s">
        <v>1443</v>
      </c>
      <c r="K203" s="36">
        <v>39757</v>
      </c>
      <c r="L203" s="34" t="s">
        <v>1444</v>
      </c>
      <c r="M203" s="34" t="s">
        <v>1445</v>
      </c>
      <c r="N203" s="34" t="s">
        <v>717</v>
      </c>
      <c r="O203" s="34" t="s">
        <v>717</v>
      </c>
      <c r="P203" s="34" t="s">
        <v>1446</v>
      </c>
      <c r="Q203" s="34" t="s">
        <v>1446</v>
      </c>
      <c r="R203" s="34" t="s">
        <v>1447</v>
      </c>
      <c r="S203" s="34" t="s">
        <v>1447</v>
      </c>
      <c r="T203" s="34" t="s">
        <v>751</v>
      </c>
      <c r="U203" s="34" t="s">
        <v>751</v>
      </c>
      <c r="V203" s="37">
        <v>14.85</v>
      </c>
      <c r="W203" s="45">
        <v>3314.64</v>
      </c>
      <c r="X203" s="37">
        <v>22220.81</v>
      </c>
      <c r="Y203" s="36">
        <v>43864</v>
      </c>
      <c r="Z203" s="34" t="s">
        <v>1448</v>
      </c>
    </row>
    <row r="204" spans="1:26" x14ac:dyDescent="0.25">
      <c r="A204" s="34" t="s">
        <v>1441</v>
      </c>
      <c r="B204" s="34" t="s">
        <v>1442</v>
      </c>
      <c r="C204" s="34" t="s">
        <v>6</v>
      </c>
      <c r="D204" s="34" t="s">
        <v>15</v>
      </c>
      <c r="E204" s="35">
        <v>30040880</v>
      </c>
      <c r="F204" s="34" t="s">
        <v>19</v>
      </c>
      <c r="G204" s="39">
        <v>10035696</v>
      </c>
      <c r="H204" s="42">
        <v>30040880</v>
      </c>
      <c r="I204" s="34" t="s">
        <v>228</v>
      </c>
      <c r="J204" s="34" t="s">
        <v>1443</v>
      </c>
      <c r="K204" s="36">
        <v>39769</v>
      </c>
      <c r="L204" s="34" t="s">
        <v>1444</v>
      </c>
      <c r="M204" s="34" t="s">
        <v>1445</v>
      </c>
      <c r="N204" s="34" t="s">
        <v>717</v>
      </c>
      <c r="O204" s="34" t="s">
        <v>717</v>
      </c>
      <c r="P204" s="34" t="s">
        <v>1460</v>
      </c>
      <c r="Q204" s="34" t="s">
        <v>1460</v>
      </c>
      <c r="R204" s="34" t="s">
        <v>1461</v>
      </c>
      <c r="S204" s="34" t="s">
        <v>1461</v>
      </c>
      <c r="T204" s="34" t="s">
        <v>19</v>
      </c>
      <c r="U204" s="34" t="s">
        <v>19</v>
      </c>
      <c r="V204" s="37">
        <v>10.26</v>
      </c>
      <c r="W204" s="45">
        <v>2290.12</v>
      </c>
      <c r="X204" s="37">
        <v>22220.86</v>
      </c>
      <c r="Y204" s="36">
        <v>43864</v>
      </c>
      <c r="Z204" s="34" t="s">
        <v>1448</v>
      </c>
    </row>
    <row r="205" spans="1:26" x14ac:dyDescent="0.25">
      <c r="A205" s="34" t="s">
        <v>1441</v>
      </c>
      <c r="B205" s="34" t="s">
        <v>1442</v>
      </c>
      <c r="C205" s="34" t="s">
        <v>16</v>
      </c>
      <c r="D205" s="34" t="s">
        <v>15</v>
      </c>
      <c r="E205" s="35">
        <v>30041329</v>
      </c>
      <c r="F205" s="34" t="s">
        <v>761</v>
      </c>
      <c r="G205" s="39">
        <v>10037519</v>
      </c>
      <c r="H205" s="42">
        <v>30041329</v>
      </c>
      <c r="I205" s="34" t="s">
        <v>229</v>
      </c>
      <c r="J205" s="34" t="s">
        <v>1443</v>
      </c>
      <c r="K205" s="36">
        <v>39909</v>
      </c>
      <c r="L205" s="34" t="s">
        <v>1444</v>
      </c>
      <c r="M205" s="34" t="s">
        <v>1445</v>
      </c>
      <c r="N205" s="34" t="s">
        <v>717</v>
      </c>
      <c r="O205" s="34" t="s">
        <v>717</v>
      </c>
      <c r="P205" s="34" t="s">
        <v>1474</v>
      </c>
      <c r="Q205" s="34" t="s">
        <v>1474</v>
      </c>
      <c r="R205" s="34" t="s">
        <v>1485</v>
      </c>
      <c r="S205" s="34" t="s">
        <v>1485</v>
      </c>
      <c r="T205" s="34" t="s">
        <v>761</v>
      </c>
      <c r="U205" s="34" t="s">
        <v>761</v>
      </c>
      <c r="V205" s="37">
        <v>11.71</v>
      </c>
      <c r="W205" s="45">
        <v>2138.54</v>
      </c>
      <c r="X205" s="37">
        <v>18162.509999999998</v>
      </c>
      <c r="Y205" s="36">
        <v>43864</v>
      </c>
      <c r="Z205" s="34" t="s">
        <v>1448</v>
      </c>
    </row>
    <row r="206" spans="1:26" x14ac:dyDescent="0.25">
      <c r="A206" s="34" t="s">
        <v>1441</v>
      </c>
      <c r="B206" s="34" t="s">
        <v>1442</v>
      </c>
      <c r="C206" s="34" t="s">
        <v>16</v>
      </c>
      <c r="D206" s="34" t="s">
        <v>15</v>
      </c>
      <c r="E206" s="35">
        <v>30040882</v>
      </c>
      <c r="F206" s="34" t="s">
        <v>758</v>
      </c>
      <c r="G206" s="39">
        <v>10037521</v>
      </c>
      <c r="H206" s="42">
        <v>30040882</v>
      </c>
      <c r="I206" s="34" t="s">
        <v>230</v>
      </c>
      <c r="J206" s="34" t="s">
        <v>1443</v>
      </c>
      <c r="K206" s="36">
        <v>39909</v>
      </c>
      <c r="L206" s="34" t="s">
        <v>1444</v>
      </c>
      <c r="M206" s="34" t="s">
        <v>1445</v>
      </c>
      <c r="N206" s="34" t="s">
        <v>717</v>
      </c>
      <c r="O206" s="34" t="s">
        <v>717</v>
      </c>
      <c r="P206" s="34" t="s">
        <v>1449</v>
      </c>
      <c r="Q206" s="34" t="s">
        <v>1449</v>
      </c>
      <c r="R206" s="34" t="s">
        <v>1450</v>
      </c>
      <c r="S206" s="34" t="s">
        <v>1450</v>
      </c>
      <c r="T206" s="34" t="s">
        <v>758</v>
      </c>
      <c r="U206" s="34" t="s">
        <v>758</v>
      </c>
      <c r="V206" s="37">
        <v>14.48</v>
      </c>
      <c r="W206" s="45">
        <v>3232.06</v>
      </c>
      <c r="X206" s="37">
        <v>22220.86</v>
      </c>
      <c r="Y206" s="36">
        <v>43864</v>
      </c>
      <c r="Z206" s="34" t="s">
        <v>1448</v>
      </c>
    </row>
    <row r="207" spans="1:26" x14ac:dyDescent="0.25">
      <c r="A207" s="34" t="s">
        <v>1441</v>
      </c>
      <c r="B207" s="34" t="s">
        <v>1442</v>
      </c>
      <c r="C207" s="34" t="s">
        <v>16</v>
      </c>
      <c r="D207" s="34" t="s">
        <v>15</v>
      </c>
      <c r="E207" s="35">
        <v>30040883</v>
      </c>
      <c r="F207" s="34" t="s">
        <v>751</v>
      </c>
      <c r="G207" s="39">
        <v>10037551</v>
      </c>
      <c r="H207" s="42">
        <v>30040883</v>
      </c>
      <c r="I207" s="34" t="s">
        <v>231</v>
      </c>
      <c r="J207" s="34" t="s">
        <v>1443</v>
      </c>
      <c r="K207" s="36">
        <v>39918</v>
      </c>
      <c r="L207" s="34" t="s">
        <v>1444</v>
      </c>
      <c r="M207" s="34" t="s">
        <v>1445</v>
      </c>
      <c r="N207" s="34" t="s">
        <v>717</v>
      </c>
      <c r="O207" s="34" t="s">
        <v>717</v>
      </c>
      <c r="P207" s="34" t="s">
        <v>1486</v>
      </c>
      <c r="Q207" s="34" t="s">
        <v>1486</v>
      </c>
      <c r="R207" s="34" t="s">
        <v>1488</v>
      </c>
      <c r="S207" s="34" t="s">
        <v>1488</v>
      </c>
      <c r="T207" s="34" t="s">
        <v>751</v>
      </c>
      <c r="U207" s="34" t="s">
        <v>751</v>
      </c>
      <c r="V207" s="37">
        <v>17.73</v>
      </c>
      <c r="W207" s="45">
        <v>3957.48</v>
      </c>
      <c r="X207" s="37">
        <v>22220.81</v>
      </c>
      <c r="Y207" s="36">
        <v>43864</v>
      </c>
      <c r="Z207" s="34" t="s">
        <v>1448</v>
      </c>
    </row>
    <row r="208" spans="1:26" x14ac:dyDescent="0.25">
      <c r="A208" s="34" t="s">
        <v>1441</v>
      </c>
      <c r="B208" s="34" t="s">
        <v>1442</v>
      </c>
      <c r="C208" s="34" t="s">
        <v>16</v>
      </c>
      <c r="D208" s="34" t="s">
        <v>15</v>
      </c>
      <c r="E208" s="35">
        <v>30040884</v>
      </c>
      <c r="F208" s="34" t="s">
        <v>755</v>
      </c>
      <c r="G208" s="39">
        <v>10037569</v>
      </c>
      <c r="H208" s="42">
        <v>30040884</v>
      </c>
      <c r="I208" s="34" t="s">
        <v>232</v>
      </c>
      <c r="J208" s="34" t="s">
        <v>1443</v>
      </c>
      <c r="K208" s="36">
        <v>39937</v>
      </c>
      <c r="L208" s="34" t="s">
        <v>1444</v>
      </c>
      <c r="M208" s="34" t="s">
        <v>1445</v>
      </c>
      <c r="N208" s="34" t="s">
        <v>717</v>
      </c>
      <c r="O208" s="34" t="s">
        <v>717</v>
      </c>
      <c r="P208" s="34" t="s">
        <v>1468</v>
      </c>
      <c r="Q208" s="34" t="s">
        <v>1468</v>
      </c>
      <c r="R208" s="34" t="s">
        <v>1469</v>
      </c>
      <c r="S208" s="34" t="s">
        <v>1469</v>
      </c>
      <c r="T208" s="34" t="s">
        <v>755</v>
      </c>
      <c r="U208" s="34" t="s">
        <v>755</v>
      </c>
      <c r="V208" s="37">
        <v>11.43</v>
      </c>
      <c r="W208" s="45">
        <v>2551.27</v>
      </c>
      <c r="X208" s="37">
        <v>22220.82</v>
      </c>
      <c r="Y208" s="36">
        <v>43864</v>
      </c>
      <c r="Z208" s="34" t="s">
        <v>1448</v>
      </c>
    </row>
    <row r="209" spans="1:26" x14ac:dyDescent="0.25">
      <c r="A209" s="34" t="s">
        <v>1441</v>
      </c>
      <c r="B209" s="34" t="s">
        <v>1442</v>
      </c>
      <c r="C209" s="34" t="s">
        <v>16</v>
      </c>
      <c r="D209" s="34" t="s">
        <v>15</v>
      </c>
      <c r="E209" s="35">
        <v>30040885</v>
      </c>
      <c r="F209" s="34" t="s">
        <v>751</v>
      </c>
      <c r="G209" s="39">
        <v>10037575</v>
      </c>
      <c r="H209" s="42">
        <v>30040885</v>
      </c>
      <c r="I209" s="34" t="s">
        <v>233</v>
      </c>
      <c r="J209" s="34" t="s">
        <v>1443</v>
      </c>
      <c r="K209" s="36">
        <v>39937</v>
      </c>
      <c r="L209" s="34" t="s">
        <v>1444</v>
      </c>
      <c r="M209" s="34" t="s">
        <v>1445</v>
      </c>
      <c r="N209" s="34" t="s">
        <v>717</v>
      </c>
      <c r="O209" s="34" t="s">
        <v>717</v>
      </c>
      <c r="P209" s="34" t="s">
        <v>1486</v>
      </c>
      <c r="Q209" s="34" t="s">
        <v>1486</v>
      </c>
      <c r="R209" s="34" t="s">
        <v>1488</v>
      </c>
      <c r="S209" s="34" t="s">
        <v>1488</v>
      </c>
      <c r="T209" s="34" t="s">
        <v>751</v>
      </c>
      <c r="U209" s="34" t="s">
        <v>751</v>
      </c>
      <c r="V209" s="37">
        <v>17.73</v>
      </c>
      <c r="W209" s="45">
        <v>3957.48</v>
      </c>
      <c r="X209" s="37">
        <v>22220.81</v>
      </c>
      <c r="Y209" s="36">
        <v>43864</v>
      </c>
      <c r="Z209" s="34" t="s">
        <v>1448</v>
      </c>
    </row>
    <row r="210" spans="1:26" x14ac:dyDescent="0.25">
      <c r="A210" s="34" t="s">
        <v>1441</v>
      </c>
      <c r="B210" s="34" t="s">
        <v>1442</v>
      </c>
      <c r="C210" s="34" t="s">
        <v>16</v>
      </c>
      <c r="D210" s="34" t="s">
        <v>15</v>
      </c>
      <c r="E210" s="35">
        <v>30040886</v>
      </c>
      <c r="F210" s="34" t="s">
        <v>758</v>
      </c>
      <c r="G210" s="39">
        <v>10037579</v>
      </c>
      <c r="H210" s="42">
        <v>30040886</v>
      </c>
      <c r="I210" s="34" t="s">
        <v>234</v>
      </c>
      <c r="J210" s="34" t="s">
        <v>1443</v>
      </c>
      <c r="K210" s="36">
        <v>39937</v>
      </c>
      <c r="L210" s="34" t="s">
        <v>1444</v>
      </c>
      <c r="M210" s="34" t="s">
        <v>1445</v>
      </c>
      <c r="N210" s="34" t="s">
        <v>717</v>
      </c>
      <c r="O210" s="34" t="s">
        <v>717</v>
      </c>
      <c r="P210" s="34" t="s">
        <v>1449</v>
      </c>
      <c r="Q210" s="34" t="s">
        <v>1449</v>
      </c>
      <c r="R210" s="34" t="s">
        <v>1450</v>
      </c>
      <c r="S210" s="34" t="s">
        <v>1450</v>
      </c>
      <c r="T210" s="34" t="s">
        <v>758</v>
      </c>
      <c r="U210" s="34" t="s">
        <v>758</v>
      </c>
      <c r="V210" s="37">
        <v>14.48</v>
      </c>
      <c r="W210" s="45">
        <v>3232.06</v>
      </c>
      <c r="X210" s="37">
        <v>22220.86</v>
      </c>
      <c r="Y210" s="36">
        <v>43864</v>
      </c>
      <c r="Z210" s="34" t="s">
        <v>1448</v>
      </c>
    </row>
    <row r="211" spans="1:26" x14ac:dyDescent="0.25">
      <c r="A211" s="34" t="s">
        <v>1441</v>
      </c>
      <c r="B211" s="34" t="s">
        <v>1442</v>
      </c>
      <c r="C211" s="34" t="s">
        <v>16</v>
      </c>
      <c r="D211" s="34" t="s">
        <v>15</v>
      </c>
      <c r="E211" s="35">
        <v>30040887</v>
      </c>
      <c r="F211" s="34" t="s">
        <v>765</v>
      </c>
      <c r="G211" s="39">
        <v>10037582</v>
      </c>
      <c r="H211" s="42">
        <v>30040887</v>
      </c>
      <c r="I211" s="34" t="s">
        <v>235</v>
      </c>
      <c r="J211" s="34" t="s">
        <v>1443</v>
      </c>
      <c r="K211" s="36">
        <v>39937</v>
      </c>
      <c r="L211" s="34" t="s">
        <v>1444</v>
      </c>
      <c r="M211" s="34" t="s">
        <v>1445</v>
      </c>
      <c r="N211" s="34" t="s">
        <v>717</v>
      </c>
      <c r="O211" s="34" t="s">
        <v>717</v>
      </c>
      <c r="P211" s="34" t="s">
        <v>1474</v>
      </c>
      <c r="Q211" s="34" t="s">
        <v>1474</v>
      </c>
      <c r="R211" s="34" t="s">
        <v>1485</v>
      </c>
      <c r="S211" s="34" t="s">
        <v>1485</v>
      </c>
      <c r="T211" s="34" t="s">
        <v>765</v>
      </c>
      <c r="U211" s="34" t="s">
        <v>765</v>
      </c>
      <c r="V211" s="37">
        <v>9.9</v>
      </c>
      <c r="W211" s="45">
        <v>9.9</v>
      </c>
      <c r="X211" s="37">
        <v>0</v>
      </c>
      <c r="Y211" s="36">
        <v>43864</v>
      </c>
      <c r="Z211" s="34" t="s">
        <v>1448</v>
      </c>
    </row>
    <row r="212" spans="1:26" x14ac:dyDescent="0.25">
      <c r="A212" s="34" t="s">
        <v>1441</v>
      </c>
      <c r="B212" s="34" t="s">
        <v>1442</v>
      </c>
      <c r="C212" s="34" t="s">
        <v>16</v>
      </c>
      <c r="D212" s="34" t="s">
        <v>15</v>
      </c>
      <c r="E212" s="35">
        <v>30040889</v>
      </c>
      <c r="F212" s="34" t="s">
        <v>21</v>
      </c>
      <c r="G212" s="39">
        <v>10037589</v>
      </c>
      <c r="H212" s="42">
        <v>30040889</v>
      </c>
      <c r="I212" s="34" t="s">
        <v>237</v>
      </c>
      <c r="J212" s="34" t="s">
        <v>1443</v>
      </c>
      <c r="K212" s="36">
        <v>39937</v>
      </c>
      <c r="L212" s="34" t="s">
        <v>1444</v>
      </c>
      <c r="M212" s="34" t="s">
        <v>1445</v>
      </c>
      <c r="N212" s="34" t="s">
        <v>717</v>
      </c>
      <c r="O212" s="34" t="s">
        <v>717</v>
      </c>
      <c r="P212" s="34" t="s">
        <v>1462</v>
      </c>
      <c r="Q212" s="34" t="s">
        <v>1462</v>
      </c>
      <c r="R212" s="34" t="s">
        <v>1494</v>
      </c>
      <c r="S212" s="34" t="s">
        <v>1494</v>
      </c>
      <c r="T212" s="34" t="s">
        <v>21</v>
      </c>
      <c r="U212" s="34" t="s">
        <v>21</v>
      </c>
      <c r="V212" s="37">
        <v>11.71</v>
      </c>
      <c r="W212" s="45">
        <v>2613.77</v>
      </c>
      <c r="X212" s="37">
        <v>22220.84</v>
      </c>
      <c r="Y212" s="36">
        <v>43864</v>
      </c>
      <c r="Z212" s="34" t="s">
        <v>1448</v>
      </c>
    </row>
    <row r="213" spans="1:26" x14ac:dyDescent="0.25">
      <c r="A213" s="34" t="s">
        <v>1441</v>
      </c>
      <c r="B213" s="34" t="s">
        <v>1442</v>
      </c>
      <c r="C213" s="34" t="s">
        <v>16</v>
      </c>
      <c r="D213" s="34" t="s">
        <v>15</v>
      </c>
      <c r="E213" s="35">
        <v>30040890</v>
      </c>
      <c r="F213" s="34" t="s">
        <v>751</v>
      </c>
      <c r="G213" s="39">
        <v>10037654</v>
      </c>
      <c r="H213" s="42">
        <v>30040890</v>
      </c>
      <c r="I213" s="34" t="s">
        <v>238</v>
      </c>
      <c r="J213" s="34" t="s">
        <v>1443</v>
      </c>
      <c r="K213" s="36">
        <v>39944</v>
      </c>
      <c r="L213" s="34" t="s">
        <v>1444</v>
      </c>
      <c r="M213" s="34" t="s">
        <v>1445</v>
      </c>
      <c r="N213" s="34" t="s">
        <v>717</v>
      </c>
      <c r="O213" s="34" t="s">
        <v>717</v>
      </c>
      <c r="P213" s="34" t="s">
        <v>1486</v>
      </c>
      <c r="Q213" s="34" t="s">
        <v>1486</v>
      </c>
      <c r="R213" s="34" t="s">
        <v>1488</v>
      </c>
      <c r="S213" s="34" t="s">
        <v>1488</v>
      </c>
      <c r="T213" s="34" t="s">
        <v>751</v>
      </c>
      <c r="U213" s="34" t="s">
        <v>751</v>
      </c>
      <c r="V213" s="37">
        <v>14.85</v>
      </c>
      <c r="W213" s="45">
        <v>3314.64</v>
      </c>
      <c r="X213" s="37">
        <v>22220.81</v>
      </c>
      <c r="Y213" s="36">
        <v>43864</v>
      </c>
      <c r="Z213" s="34" t="s">
        <v>1448</v>
      </c>
    </row>
    <row r="214" spans="1:26" x14ac:dyDescent="0.25">
      <c r="A214" s="34" t="s">
        <v>1441</v>
      </c>
      <c r="B214" s="34" t="s">
        <v>1442</v>
      </c>
      <c r="C214" s="34" t="s">
        <v>16</v>
      </c>
      <c r="D214" s="34" t="s">
        <v>15</v>
      </c>
      <c r="E214" s="35">
        <v>30041346</v>
      </c>
      <c r="F214" s="34" t="s">
        <v>761</v>
      </c>
      <c r="G214" s="39">
        <v>10037670</v>
      </c>
      <c r="H214" s="42">
        <v>30041346</v>
      </c>
      <c r="I214" s="34" t="s">
        <v>239</v>
      </c>
      <c r="J214" s="34" t="s">
        <v>1443</v>
      </c>
      <c r="K214" s="36">
        <v>39951</v>
      </c>
      <c r="L214" s="34" t="s">
        <v>1444</v>
      </c>
      <c r="M214" s="34" t="s">
        <v>1445</v>
      </c>
      <c r="N214" s="34" t="s">
        <v>717</v>
      </c>
      <c r="O214" s="34" t="s">
        <v>717</v>
      </c>
      <c r="P214" s="34" t="s">
        <v>1492</v>
      </c>
      <c r="Q214" s="34" t="s">
        <v>1492</v>
      </c>
      <c r="R214" s="34" t="s">
        <v>1493</v>
      </c>
      <c r="S214" s="34" t="s">
        <v>1493</v>
      </c>
      <c r="T214" s="34" t="s">
        <v>761</v>
      </c>
      <c r="U214" s="34" t="s">
        <v>761</v>
      </c>
      <c r="V214" s="37">
        <v>11.43</v>
      </c>
      <c r="W214" s="45">
        <v>2551.27</v>
      </c>
      <c r="X214" s="37">
        <v>22220.82</v>
      </c>
      <c r="Y214" s="36">
        <v>43864</v>
      </c>
      <c r="Z214" s="34" t="s">
        <v>1448</v>
      </c>
    </row>
    <row r="215" spans="1:26" x14ac:dyDescent="0.25">
      <c r="A215" s="34" t="s">
        <v>1441</v>
      </c>
      <c r="B215" s="34" t="s">
        <v>1442</v>
      </c>
      <c r="C215" s="34" t="s">
        <v>16</v>
      </c>
      <c r="D215" s="34" t="s">
        <v>15</v>
      </c>
      <c r="E215" s="35">
        <v>30040892</v>
      </c>
      <c r="F215" s="34" t="s">
        <v>751</v>
      </c>
      <c r="G215" s="39">
        <v>10037788</v>
      </c>
      <c r="H215" s="42">
        <v>30040892</v>
      </c>
      <c r="I215" s="34" t="s">
        <v>240</v>
      </c>
      <c r="J215" s="34" t="s">
        <v>1443</v>
      </c>
      <c r="K215" s="36">
        <v>39995</v>
      </c>
      <c r="L215" s="34" t="s">
        <v>1444</v>
      </c>
      <c r="M215" s="34" t="s">
        <v>1445</v>
      </c>
      <c r="N215" s="34" t="s">
        <v>717</v>
      </c>
      <c r="O215" s="34" t="s">
        <v>717</v>
      </c>
      <c r="P215" s="34" t="s">
        <v>1486</v>
      </c>
      <c r="Q215" s="34" t="s">
        <v>1486</v>
      </c>
      <c r="R215" s="34" t="s">
        <v>1487</v>
      </c>
      <c r="S215" s="34" t="s">
        <v>1487</v>
      </c>
      <c r="T215" s="34" t="s">
        <v>751</v>
      </c>
      <c r="U215" s="34" t="s">
        <v>751</v>
      </c>
      <c r="V215" s="37">
        <v>17.73</v>
      </c>
      <c r="W215" s="45">
        <v>3957.48</v>
      </c>
      <c r="X215" s="37">
        <v>22220.81</v>
      </c>
      <c r="Y215" s="36">
        <v>43864</v>
      </c>
      <c r="Z215" s="34" t="s">
        <v>1448</v>
      </c>
    </row>
    <row r="216" spans="1:26" x14ac:dyDescent="0.25">
      <c r="A216" s="34" t="s">
        <v>1441</v>
      </c>
      <c r="B216" s="34" t="s">
        <v>1442</v>
      </c>
      <c r="C216" s="34" t="s">
        <v>16</v>
      </c>
      <c r="D216" s="34" t="s">
        <v>15</v>
      </c>
      <c r="E216" s="35">
        <v>30040893</v>
      </c>
      <c r="F216" s="34" t="s">
        <v>20</v>
      </c>
      <c r="G216" s="39">
        <v>10037931</v>
      </c>
      <c r="H216" s="42">
        <v>30040893</v>
      </c>
      <c r="I216" s="34" t="s">
        <v>241</v>
      </c>
      <c r="J216" s="34" t="s">
        <v>1443</v>
      </c>
      <c r="K216" s="36">
        <v>40028</v>
      </c>
      <c r="L216" s="34" t="s">
        <v>1444</v>
      </c>
      <c r="M216" s="34" t="s">
        <v>1445</v>
      </c>
      <c r="N216" s="34" t="s">
        <v>717</v>
      </c>
      <c r="O216" s="34" t="s">
        <v>717</v>
      </c>
      <c r="P216" s="34" t="s">
        <v>1503</v>
      </c>
      <c r="Q216" s="34" t="s">
        <v>1503</v>
      </c>
      <c r="R216" s="34" t="s">
        <v>1504</v>
      </c>
      <c r="S216" s="34" t="s">
        <v>1504</v>
      </c>
      <c r="T216" s="34" t="s">
        <v>20</v>
      </c>
      <c r="U216" s="34" t="s">
        <v>20</v>
      </c>
      <c r="V216" s="37">
        <v>14.04</v>
      </c>
      <c r="W216" s="45">
        <v>3133.85</v>
      </c>
      <c r="X216" s="37">
        <v>22220.87</v>
      </c>
      <c r="Y216" s="36">
        <v>43864</v>
      </c>
      <c r="Z216" s="34" t="s">
        <v>1448</v>
      </c>
    </row>
    <row r="217" spans="1:26" x14ac:dyDescent="0.25">
      <c r="A217" s="34" t="s">
        <v>1441</v>
      </c>
      <c r="B217" s="34" t="s">
        <v>1442</v>
      </c>
      <c r="C217" s="34" t="s">
        <v>16</v>
      </c>
      <c r="D217" s="34" t="s">
        <v>15</v>
      </c>
      <c r="E217" s="35">
        <v>30040894</v>
      </c>
      <c r="F217" s="34" t="s">
        <v>751</v>
      </c>
      <c r="G217" s="39">
        <v>10037932</v>
      </c>
      <c r="H217" s="42">
        <v>30040894</v>
      </c>
      <c r="I217" s="34" t="s">
        <v>242</v>
      </c>
      <c r="J217" s="34" t="s">
        <v>1443</v>
      </c>
      <c r="K217" s="36">
        <v>40028</v>
      </c>
      <c r="L217" s="34" t="s">
        <v>1444</v>
      </c>
      <c r="M217" s="34" t="s">
        <v>1445</v>
      </c>
      <c r="N217" s="34" t="s">
        <v>717</v>
      </c>
      <c r="O217" s="34" t="s">
        <v>717</v>
      </c>
      <c r="P217" s="34" t="s">
        <v>1456</v>
      </c>
      <c r="Q217" s="34" t="s">
        <v>1456</v>
      </c>
      <c r="R217" s="34" t="s">
        <v>1457</v>
      </c>
      <c r="S217" s="34" t="s">
        <v>1457</v>
      </c>
      <c r="T217" s="34" t="s">
        <v>751</v>
      </c>
      <c r="U217" s="34" t="s">
        <v>751</v>
      </c>
      <c r="V217" s="37">
        <v>17.73</v>
      </c>
      <c r="W217" s="45">
        <v>3957.48</v>
      </c>
      <c r="X217" s="37">
        <v>22220.81</v>
      </c>
      <c r="Y217" s="36">
        <v>43864</v>
      </c>
      <c r="Z217" s="34" t="s">
        <v>1448</v>
      </c>
    </row>
    <row r="218" spans="1:26" x14ac:dyDescent="0.25">
      <c r="A218" s="34" t="s">
        <v>1441</v>
      </c>
      <c r="B218" s="34" t="s">
        <v>1442</v>
      </c>
      <c r="C218" s="34" t="s">
        <v>16</v>
      </c>
      <c r="D218" s="34" t="s">
        <v>15</v>
      </c>
      <c r="E218" s="35">
        <v>30040895</v>
      </c>
      <c r="F218" s="34" t="s">
        <v>765</v>
      </c>
      <c r="G218" s="39">
        <v>10038225</v>
      </c>
      <c r="H218" s="42">
        <v>30040895</v>
      </c>
      <c r="I218" s="34" t="s">
        <v>243</v>
      </c>
      <c r="J218" s="34" t="s">
        <v>1443</v>
      </c>
      <c r="K218" s="36">
        <v>40065</v>
      </c>
      <c r="L218" s="34" t="s">
        <v>1444</v>
      </c>
      <c r="M218" s="34" t="s">
        <v>1445</v>
      </c>
      <c r="N218" s="34" t="s">
        <v>717</v>
      </c>
      <c r="O218" s="34" t="s">
        <v>717</v>
      </c>
      <c r="P218" s="34" t="s">
        <v>1490</v>
      </c>
      <c r="Q218" s="34" t="s">
        <v>1490</v>
      </c>
      <c r="R218" s="34" t="s">
        <v>1491</v>
      </c>
      <c r="S218" s="34" t="s">
        <v>1491</v>
      </c>
      <c r="T218" s="34" t="s">
        <v>765</v>
      </c>
      <c r="U218" s="34" t="s">
        <v>765</v>
      </c>
      <c r="V218" s="37">
        <v>8.59</v>
      </c>
      <c r="W218" s="45">
        <v>1917.36</v>
      </c>
      <c r="X218" s="37">
        <v>22220.84</v>
      </c>
      <c r="Y218" s="36">
        <v>43864</v>
      </c>
      <c r="Z218" s="34" t="s">
        <v>1448</v>
      </c>
    </row>
    <row r="219" spans="1:26" x14ac:dyDescent="0.25">
      <c r="A219" s="34" t="s">
        <v>1441</v>
      </c>
      <c r="B219" s="34" t="s">
        <v>1442</v>
      </c>
      <c r="C219" s="34" t="s">
        <v>16</v>
      </c>
      <c r="D219" s="34" t="s">
        <v>15</v>
      </c>
      <c r="E219" s="35">
        <v>30040896</v>
      </c>
      <c r="F219" s="34" t="s">
        <v>759</v>
      </c>
      <c r="G219" s="39">
        <v>10038291</v>
      </c>
      <c r="H219" s="42">
        <v>30040896</v>
      </c>
      <c r="I219" s="34" t="s">
        <v>244</v>
      </c>
      <c r="J219" s="34" t="s">
        <v>1443</v>
      </c>
      <c r="K219" s="36">
        <v>40072</v>
      </c>
      <c r="L219" s="34" t="s">
        <v>1444</v>
      </c>
      <c r="M219" s="34" t="s">
        <v>1445</v>
      </c>
      <c r="N219" s="34" t="s">
        <v>717</v>
      </c>
      <c r="O219" s="34" t="s">
        <v>717</v>
      </c>
      <c r="P219" s="34" t="s">
        <v>1466</v>
      </c>
      <c r="Q219" s="34" t="s">
        <v>1466</v>
      </c>
      <c r="R219" s="34" t="s">
        <v>1467</v>
      </c>
      <c r="S219" s="34" t="s">
        <v>1467</v>
      </c>
      <c r="T219" s="34" t="s">
        <v>759</v>
      </c>
      <c r="U219" s="34" t="s">
        <v>759</v>
      </c>
      <c r="V219" s="37">
        <v>14.04</v>
      </c>
      <c r="W219" s="45">
        <v>3133.85</v>
      </c>
      <c r="X219" s="37">
        <v>22220.87</v>
      </c>
      <c r="Y219" s="36">
        <v>43864</v>
      </c>
      <c r="Z219" s="34" t="s">
        <v>1448</v>
      </c>
    </row>
    <row r="220" spans="1:26" x14ac:dyDescent="0.25">
      <c r="A220" s="34" t="s">
        <v>1441</v>
      </c>
      <c r="B220" s="34" t="s">
        <v>1442</v>
      </c>
      <c r="C220" s="34" t="s">
        <v>16</v>
      </c>
      <c r="D220" s="34" t="s">
        <v>15</v>
      </c>
      <c r="E220" s="35">
        <v>30040897</v>
      </c>
      <c r="F220" s="34" t="s">
        <v>759</v>
      </c>
      <c r="G220" s="39">
        <v>10038293</v>
      </c>
      <c r="H220" s="42">
        <v>30040897</v>
      </c>
      <c r="I220" s="34" t="s">
        <v>245</v>
      </c>
      <c r="J220" s="34" t="s">
        <v>1443</v>
      </c>
      <c r="K220" s="36">
        <v>40072</v>
      </c>
      <c r="L220" s="34" t="s">
        <v>1444</v>
      </c>
      <c r="M220" s="34" t="s">
        <v>1445</v>
      </c>
      <c r="N220" s="34" t="s">
        <v>717</v>
      </c>
      <c r="O220" s="34" t="s">
        <v>717</v>
      </c>
      <c r="P220" s="34" t="s">
        <v>1466</v>
      </c>
      <c r="Q220" s="34" t="s">
        <v>1466</v>
      </c>
      <c r="R220" s="34" t="s">
        <v>1467</v>
      </c>
      <c r="S220" s="34" t="s">
        <v>1467</v>
      </c>
      <c r="T220" s="34" t="s">
        <v>759</v>
      </c>
      <c r="U220" s="34" t="s">
        <v>759</v>
      </c>
      <c r="V220" s="37">
        <v>14.04</v>
      </c>
      <c r="W220" s="45">
        <v>3133.85</v>
      </c>
      <c r="X220" s="37">
        <v>22220.87</v>
      </c>
      <c r="Y220" s="36">
        <v>43864</v>
      </c>
      <c r="Z220" s="34" t="s">
        <v>1448</v>
      </c>
    </row>
    <row r="221" spans="1:26" x14ac:dyDescent="0.25">
      <c r="A221" s="34" t="s">
        <v>1441</v>
      </c>
      <c r="B221" s="34" t="s">
        <v>1442</v>
      </c>
      <c r="C221" s="34" t="s">
        <v>16</v>
      </c>
      <c r="D221" s="34" t="s">
        <v>15</v>
      </c>
      <c r="E221" s="35">
        <v>30040898</v>
      </c>
      <c r="F221" s="34" t="s">
        <v>21</v>
      </c>
      <c r="G221" s="39">
        <v>10038302</v>
      </c>
      <c r="H221" s="42">
        <v>30040898</v>
      </c>
      <c r="I221" s="34" t="s">
        <v>246</v>
      </c>
      <c r="J221" s="34" t="s">
        <v>1443</v>
      </c>
      <c r="K221" s="36">
        <v>40072</v>
      </c>
      <c r="L221" s="34" t="s">
        <v>1444</v>
      </c>
      <c r="M221" s="34" t="s">
        <v>1445</v>
      </c>
      <c r="N221" s="34" t="s">
        <v>717</v>
      </c>
      <c r="O221" s="34" t="s">
        <v>717</v>
      </c>
      <c r="P221" s="34" t="s">
        <v>1462</v>
      </c>
      <c r="Q221" s="34" t="s">
        <v>1462</v>
      </c>
      <c r="R221" s="34" t="s">
        <v>1478</v>
      </c>
      <c r="S221" s="34" t="s">
        <v>1478</v>
      </c>
      <c r="T221" s="34" t="s">
        <v>21</v>
      </c>
      <c r="U221" s="34" t="s">
        <v>21</v>
      </c>
      <c r="V221" s="37">
        <v>11.71</v>
      </c>
      <c r="W221" s="45">
        <v>2613.77</v>
      </c>
      <c r="X221" s="37">
        <v>22220.84</v>
      </c>
      <c r="Y221" s="36">
        <v>43864</v>
      </c>
      <c r="Z221" s="34" t="s">
        <v>1448</v>
      </c>
    </row>
    <row r="222" spans="1:26" x14ac:dyDescent="0.25">
      <c r="A222" s="34" t="s">
        <v>1441</v>
      </c>
      <c r="B222" s="34" t="s">
        <v>1442</v>
      </c>
      <c r="C222" s="34" t="s">
        <v>16</v>
      </c>
      <c r="D222" s="34" t="s">
        <v>15</v>
      </c>
      <c r="E222" s="35">
        <v>30040899</v>
      </c>
      <c r="F222" s="34" t="s">
        <v>21</v>
      </c>
      <c r="G222" s="39">
        <v>10038304</v>
      </c>
      <c r="H222" s="42">
        <v>30040899</v>
      </c>
      <c r="I222" s="34" t="s">
        <v>247</v>
      </c>
      <c r="J222" s="34" t="s">
        <v>1443</v>
      </c>
      <c r="K222" s="36">
        <v>40072</v>
      </c>
      <c r="L222" s="34" t="s">
        <v>1444</v>
      </c>
      <c r="M222" s="34" t="s">
        <v>1445</v>
      </c>
      <c r="N222" s="34" t="s">
        <v>717</v>
      </c>
      <c r="O222" s="34" t="s">
        <v>717</v>
      </c>
      <c r="P222" s="34" t="s">
        <v>1462</v>
      </c>
      <c r="Q222" s="34" t="s">
        <v>1462</v>
      </c>
      <c r="R222" s="34" t="s">
        <v>1478</v>
      </c>
      <c r="S222" s="34" t="s">
        <v>1478</v>
      </c>
      <c r="T222" s="34" t="s">
        <v>21</v>
      </c>
      <c r="U222" s="34" t="s">
        <v>21</v>
      </c>
      <c r="V222" s="37">
        <v>11.71</v>
      </c>
      <c r="W222" s="45">
        <v>2613.77</v>
      </c>
      <c r="X222" s="37">
        <v>22220.84</v>
      </c>
      <c r="Y222" s="36">
        <v>43864</v>
      </c>
      <c r="Z222" s="34" t="s">
        <v>1448</v>
      </c>
    </row>
    <row r="223" spans="1:26" x14ac:dyDescent="0.25">
      <c r="A223" s="34" t="s">
        <v>1441</v>
      </c>
      <c r="B223" s="34" t="s">
        <v>1442</v>
      </c>
      <c r="C223" s="34" t="s">
        <v>6</v>
      </c>
      <c r="D223" s="34" t="s">
        <v>15</v>
      </c>
      <c r="E223" s="35">
        <v>30040900</v>
      </c>
      <c r="F223" s="34" t="s">
        <v>753</v>
      </c>
      <c r="G223" s="39">
        <v>10038333</v>
      </c>
      <c r="H223" s="42">
        <v>30040900</v>
      </c>
      <c r="I223" s="34" t="s">
        <v>248</v>
      </c>
      <c r="J223" s="34" t="s">
        <v>1443</v>
      </c>
      <c r="K223" s="36">
        <v>40077</v>
      </c>
      <c r="L223" s="34" t="s">
        <v>1444</v>
      </c>
      <c r="M223" s="34" t="s">
        <v>1445</v>
      </c>
      <c r="N223" s="34" t="s">
        <v>717</v>
      </c>
      <c r="O223" s="34" t="s">
        <v>717</v>
      </c>
      <c r="P223" s="34" t="s">
        <v>1454</v>
      </c>
      <c r="Q223" s="34" t="s">
        <v>1454</v>
      </c>
      <c r="R223" s="34" t="s">
        <v>1455</v>
      </c>
      <c r="S223" s="34" t="s">
        <v>1455</v>
      </c>
      <c r="T223" s="34" t="s">
        <v>753</v>
      </c>
      <c r="U223" s="34" t="s">
        <v>753</v>
      </c>
      <c r="V223" s="37">
        <v>16.850000000000001</v>
      </c>
      <c r="W223" s="45">
        <v>3761.06</v>
      </c>
      <c r="X223" s="37">
        <v>22220.83</v>
      </c>
      <c r="Y223" s="36">
        <v>43864</v>
      </c>
      <c r="Z223" s="34" t="s">
        <v>1448</v>
      </c>
    </row>
    <row r="224" spans="1:26" x14ac:dyDescent="0.25">
      <c r="A224" s="34" t="s">
        <v>1441</v>
      </c>
      <c r="B224" s="34" t="s">
        <v>1442</v>
      </c>
      <c r="C224" s="34" t="s">
        <v>16</v>
      </c>
      <c r="D224" s="34" t="s">
        <v>15</v>
      </c>
      <c r="E224" s="35">
        <v>30040901</v>
      </c>
      <c r="F224" s="34" t="s">
        <v>758</v>
      </c>
      <c r="G224" s="39">
        <v>10039391</v>
      </c>
      <c r="H224" s="42">
        <v>30040901</v>
      </c>
      <c r="I224" s="34" t="s">
        <v>249</v>
      </c>
      <c r="J224" s="34" t="s">
        <v>1443</v>
      </c>
      <c r="K224" s="36">
        <v>40100</v>
      </c>
      <c r="L224" s="34" t="s">
        <v>1444</v>
      </c>
      <c r="M224" s="34" t="s">
        <v>1445</v>
      </c>
      <c r="N224" s="34" t="s">
        <v>717</v>
      </c>
      <c r="O224" s="34" t="s">
        <v>717</v>
      </c>
      <c r="P224" s="34" t="s">
        <v>1449</v>
      </c>
      <c r="Q224" s="34" t="s">
        <v>1449</v>
      </c>
      <c r="R224" s="34" t="s">
        <v>1450</v>
      </c>
      <c r="S224" s="34" t="s">
        <v>1450</v>
      </c>
      <c r="T224" s="34" t="s">
        <v>758</v>
      </c>
      <c r="U224" s="34" t="s">
        <v>758</v>
      </c>
      <c r="V224" s="37">
        <v>14.48</v>
      </c>
      <c r="W224" s="45">
        <v>3232.06</v>
      </c>
      <c r="X224" s="37">
        <v>22220.86</v>
      </c>
      <c r="Y224" s="36">
        <v>43864</v>
      </c>
      <c r="Z224" s="34" t="s">
        <v>1448</v>
      </c>
    </row>
    <row r="225" spans="1:26" x14ac:dyDescent="0.25">
      <c r="A225" s="34" t="s">
        <v>1441</v>
      </c>
      <c r="B225" s="34" t="s">
        <v>1442</v>
      </c>
      <c r="C225" s="34" t="s">
        <v>16</v>
      </c>
      <c r="D225" s="34" t="s">
        <v>15</v>
      </c>
      <c r="E225" s="35">
        <v>30040902</v>
      </c>
      <c r="F225" s="34" t="s">
        <v>751</v>
      </c>
      <c r="G225" s="39">
        <v>10039393</v>
      </c>
      <c r="H225" s="42">
        <v>30040902</v>
      </c>
      <c r="I225" s="34" t="s">
        <v>250</v>
      </c>
      <c r="J225" s="34" t="s">
        <v>1443</v>
      </c>
      <c r="K225" s="36">
        <v>40100</v>
      </c>
      <c r="L225" s="34" t="s">
        <v>1444</v>
      </c>
      <c r="M225" s="34" t="s">
        <v>1445</v>
      </c>
      <c r="N225" s="34" t="s">
        <v>717</v>
      </c>
      <c r="O225" s="34" t="s">
        <v>717</v>
      </c>
      <c r="P225" s="34" t="s">
        <v>1446</v>
      </c>
      <c r="Q225" s="34" t="s">
        <v>1446</v>
      </c>
      <c r="R225" s="34" t="s">
        <v>1451</v>
      </c>
      <c r="S225" s="34" t="s">
        <v>1451</v>
      </c>
      <c r="T225" s="34" t="s">
        <v>751</v>
      </c>
      <c r="U225" s="34" t="s">
        <v>751</v>
      </c>
      <c r="V225" s="37">
        <v>17.73</v>
      </c>
      <c r="W225" s="45">
        <v>3957.48</v>
      </c>
      <c r="X225" s="37">
        <v>22220.81</v>
      </c>
      <c r="Y225" s="36">
        <v>43864</v>
      </c>
      <c r="Z225" s="34" t="s">
        <v>1448</v>
      </c>
    </row>
    <row r="226" spans="1:26" x14ac:dyDescent="0.25">
      <c r="A226" s="34" t="s">
        <v>1441</v>
      </c>
      <c r="B226" s="34" t="s">
        <v>1442</v>
      </c>
      <c r="C226" s="34" t="s">
        <v>16</v>
      </c>
      <c r="D226" s="34" t="s">
        <v>15</v>
      </c>
      <c r="E226" s="35">
        <v>30041330</v>
      </c>
      <c r="F226" s="34" t="s">
        <v>761</v>
      </c>
      <c r="G226" s="39">
        <v>10039405</v>
      </c>
      <c r="H226" s="42">
        <v>30041330</v>
      </c>
      <c r="I226" s="34" t="s">
        <v>251</v>
      </c>
      <c r="J226" s="34" t="s">
        <v>1443</v>
      </c>
      <c r="K226" s="36">
        <v>40105</v>
      </c>
      <c r="L226" s="34" t="s">
        <v>1444</v>
      </c>
      <c r="M226" s="34" t="s">
        <v>1445</v>
      </c>
      <c r="N226" s="34" t="s">
        <v>717</v>
      </c>
      <c r="O226" s="34" t="s">
        <v>717</v>
      </c>
      <c r="P226" s="34" t="s">
        <v>1474</v>
      </c>
      <c r="Q226" s="34" t="s">
        <v>1474</v>
      </c>
      <c r="R226" s="34" t="s">
        <v>1485</v>
      </c>
      <c r="S226" s="34" t="s">
        <v>1485</v>
      </c>
      <c r="T226" s="34" t="s">
        <v>761</v>
      </c>
      <c r="U226" s="34" t="s">
        <v>761</v>
      </c>
      <c r="V226" s="37">
        <v>11.71</v>
      </c>
      <c r="W226" s="45">
        <v>2138.54</v>
      </c>
      <c r="X226" s="37">
        <v>18162.509999999998</v>
      </c>
      <c r="Y226" s="36">
        <v>43864</v>
      </c>
      <c r="Z226" s="34" t="s">
        <v>1448</v>
      </c>
    </row>
    <row r="227" spans="1:26" x14ac:dyDescent="0.25">
      <c r="A227" s="34" t="s">
        <v>1441</v>
      </c>
      <c r="B227" s="34" t="s">
        <v>1442</v>
      </c>
      <c r="C227" s="34" t="s">
        <v>16</v>
      </c>
      <c r="D227" s="34" t="s">
        <v>15</v>
      </c>
      <c r="E227" s="35">
        <v>30040904</v>
      </c>
      <c r="F227" s="34" t="s">
        <v>751</v>
      </c>
      <c r="G227" s="39">
        <v>10039504</v>
      </c>
      <c r="H227" s="42">
        <v>30040904</v>
      </c>
      <c r="I227" s="34" t="s">
        <v>252</v>
      </c>
      <c r="J227" s="34" t="s">
        <v>1443</v>
      </c>
      <c r="K227" s="36">
        <v>40121</v>
      </c>
      <c r="L227" s="34" t="s">
        <v>1444</v>
      </c>
      <c r="M227" s="34" t="s">
        <v>1445</v>
      </c>
      <c r="N227" s="34" t="s">
        <v>717</v>
      </c>
      <c r="O227" s="34" t="s">
        <v>717</v>
      </c>
      <c r="P227" s="34" t="s">
        <v>1456</v>
      </c>
      <c r="Q227" s="34" t="s">
        <v>1456</v>
      </c>
      <c r="R227" s="34" t="s">
        <v>1457</v>
      </c>
      <c r="S227" s="34" t="s">
        <v>1457</v>
      </c>
      <c r="T227" s="34" t="s">
        <v>751</v>
      </c>
      <c r="U227" s="34" t="s">
        <v>751</v>
      </c>
      <c r="V227" s="37">
        <v>12.8</v>
      </c>
      <c r="W227" s="45">
        <v>2857.07</v>
      </c>
      <c r="X227" s="37">
        <v>22220.86</v>
      </c>
      <c r="Y227" s="36">
        <v>43864</v>
      </c>
      <c r="Z227" s="34" t="s">
        <v>1448</v>
      </c>
    </row>
    <row r="228" spans="1:26" x14ac:dyDescent="0.25">
      <c r="A228" s="34" t="s">
        <v>1441</v>
      </c>
      <c r="B228" s="34" t="s">
        <v>1442</v>
      </c>
      <c r="C228" s="34" t="s">
        <v>6</v>
      </c>
      <c r="D228" s="34" t="s">
        <v>15</v>
      </c>
      <c r="E228" s="35">
        <v>30040905</v>
      </c>
      <c r="F228" s="34" t="s">
        <v>753</v>
      </c>
      <c r="G228" s="39">
        <v>10039601</v>
      </c>
      <c r="H228" s="42">
        <v>30040905</v>
      </c>
      <c r="I228" s="34" t="s">
        <v>253</v>
      </c>
      <c r="J228" s="34" t="s">
        <v>1443</v>
      </c>
      <c r="K228" s="36">
        <v>40135</v>
      </c>
      <c r="L228" s="34" t="s">
        <v>1444</v>
      </c>
      <c r="M228" s="34" t="s">
        <v>1445</v>
      </c>
      <c r="N228" s="34" t="s">
        <v>717</v>
      </c>
      <c r="O228" s="34" t="s">
        <v>717</v>
      </c>
      <c r="P228" s="34" t="s">
        <v>1454</v>
      </c>
      <c r="Q228" s="34" t="s">
        <v>1454</v>
      </c>
      <c r="R228" s="34" t="s">
        <v>1455</v>
      </c>
      <c r="S228" s="34" t="s">
        <v>1455</v>
      </c>
      <c r="T228" s="34" t="s">
        <v>753</v>
      </c>
      <c r="U228" s="34" t="s">
        <v>753</v>
      </c>
      <c r="V228" s="37">
        <v>14.91</v>
      </c>
      <c r="W228" s="45">
        <v>3328.04</v>
      </c>
      <c r="X228" s="37">
        <v>22220.86</v>
      </c>
      <c r="Y228" s="36">
        <v>43864</v>
      </c>
      <c r="Z228" s="34" t="s">
        <v>1448</v>
      </c>
    </row>
    <row r="229" spans="1:26" x14ac:dyDescent="0.25">
      <c r="A229" s="34" t="s">
        <v>1441</v>
      </c>
      <c r="B229" s="34" t="s">
        <v>1442</v>
      </c>
      <c r="C229" s="34" t="s">
        <v>16</v>
      </c>
      <c r="D229" s="34" t="s">
        <v>15</v>
      </c>
      <c r="E229" s="35">
        <v>30040906</v>
      </c>
      <c r="F229" s="34" t="s">
        <v>21</v>
      </c>
      <c r="G229" s="39">
        <v>10040489</v>
      </c>
      <c r="H229" s="42">
        <v>30040906</v>
      </c>
      <c r="I229" s="34" t="s">
        <v>254</v>
      </c>
      <c r="J229" s="34" t="s">
        <v>1443</v>
      </c>
      <c r="K229" s="36">
        <v>40149</v>
      </c>
      <c r="L229" s="34" t="s">
        <v>1444</v>
      </c>
      <c r="M229" s="34" t="s">
        <v>1445</v>
      </c>
      <c r="N229" s="34" t="s">
        <v>717</v>
      </c>
      <c r="O229" s="34" t="s">
        <v>717</v>
      </c>
      <c r="P229" s="34" t="s">
        <v>1462</v>
      </c>
      <c r="Q229" s="34" t="s">
        <v>1462</v>
      </c>
      <c r="R229" s="34" t="s">
        <v>1463</v>
      </c>
      <c r="S229" s="34" t="s">
        <v>1463</v>
      </c>
      <c r="T229" s="34" t="s">
        <v>21</v>
      </c>
      <c r="U229" s="34" t="s">
        <v>21</v>
      </c>
      <c r="V229" s="37">
        <v>11.71</v>
      </c>
      <c r="W229" s="45">
        <v>2613.77</v>
      </c>
      <c r="X229" s="37">
        <v>22220.84</v>
      </c>
      <c r="Y229" s="36">
        <v>43864</v>
      </c>
      <c r="Z229" s="34" t="s">
        <v>1448</v>
      </c>
    </row>
    <row r="230" spans="1:26" x14ac:dyDescent="0.25">
      <c r="A230" s="34" t="s">
        <v>1441</v>
      </c>
      <c r="B230" s="34" t="s">
        <v>1442</v>
      </c>
      <c r="C230" s="34" t="s">
        <v>16</v>
      </c>
      <c r="D230" s="34" t="s">
        <v>15</v>
      </c>
      <c r="E230" s="35">
        <v>30040907</v>
      </c>
      <c r="F230" s="34" t="s">
        <v>751</v>
      </c>
      <c r="G230" s="39">
        <v>10040593</v>
      </c>
      <c r="H230" s="42">
        <v>30040907</v>
      </c>
      <c r="I230" s="34" t="s">
        <v>255</v>
      </c>
      <c r="J230" s="34" t="s">
        <v>1443</v>
      </c>
      <c r="K230" s="36">
        <v>40154</v>
      </c>
      <c r="L230" s="34" t="s">
        <v>1444</v>
      </c>
      <c r="M230" s="34" t="s">
        <v>1445</v>
      </c>
      <c r="N230" s="34" t="s">
        <v>717</v>
      </c>
      <c r="O230" s="34" t="s">
        <v>717</v>
      </c>
      <c r="P230" s="34" t="s">
        <v>1446</v>
      </c>
      <c r="Q230" s="34" t="s">
        <v>1446</v>
      </c>
      <c r="R230" s="34" t="s">
        <v>1447</v>
      </c>
      <c r="S230" s="34" t="s">
        <v>1447</v>
      </c>
      <c r="T230" s="34" t="s">
        <v>751</v>
      </c>
      <c r="U230" s="34" t="s">
        <v>751</v>
      </c>
      <c r="V230" s="37">
        <v>17.73</v>
      </c>
      <c r="W230" s="45">
        <v>3957.48</v>
      </c>
      <c r="X230" s="37">
        <v>22220.81</v>
      </c>
      <c r="Y230" s="36">
        <v>43864</v>
      </c>
      <c r="Z230" s="34" t="s">
        <v>1448</v>
      </c>
    </row>
    <row r="231" spans="1:26" x14ac:dyDescent="0.25">
      <c r="A231" s="34" t="s">
        <v>1441</v>
      </c>
      <c r="B231" s="34" t="s">
        <v>1442</v>
      </c>
      <c r="C231" s="34" t="s">
        <v>16</v>
      </c>
      <c r="D231" s="34" t="s">
        <v>15</v>
      </c>
      <c r="E231" s="35">
        <v>30041331</v>
      </c>
      <c r="F231" s="34" t="s">
        <v>761</v>
      </c>
      <c r="G231" s="39">
        <v>10040600</v>
      </c>
      <c r="H231" s="42">
        <v>30041331</v>
      </c>
      <c r="I231" s="34" t="s">
        <v>256</v>
      </c>
      <c r="J231" s="34" t="s">
        <v>1443</v>
      </c>
      <c r="K231" s="36">
        <v>40154</v>
      </c>
      <c r="L231" s="34" t="s">
        <v>1444</v>
      </c>
      <c r="M231" s="34" t="s">
        <v>1445</v>
      </c>
      <c r="N231" s="34" t="s">
        <v>717</v>
      </c>
      <c r="O231" s="34" t="s">
        <v>717</v>
      </c>
      <c r="P231" s="34" t="s">
        <v>1474</v>
      </c>
      <c r="Q231" s="34" t="s">
        <v>1474</v>
      </c>
      <c r="R231" s="34" t="s">
        <v>1485</v>
      </c>
      <c r="S231" s="34" t="s">
        <v>1485</v>
      </c>
      <c r="T231" s="34" t="s">
        <v>761</v>
      </c>
      <c r="U231" s="34" t="s">
        <v>761</v>
      </c>
      <c r="V231" s="37">
        <v>11.71</v>
      </c>
      <c r="W231" s="45">
        <v>2138.54</v>
      </c>
      <c r="X231" s="37">
        <v>18162.509999999998</v>
      </c>
      <c r="Y231" s="36">
        <v>43864</v>
      </c>
      <c r="Z231" s="34" t="s">
        <v>1448</v>
      </c>
    </row>
    <row r="232" spans="1:26" x14ac:dyDescent="0.25">
      <c r="A232" s="34" t="s">
        <v>1441</v>
      </c>
      <c r="B232" s="34" t="s">
        <v>1442</v>
      </c>
      <c r="C232" s="34" t="s">
        <v>16</v>
      </c>
      <c r="D232" s="34" t="s">
        <v>15</v>
      </c>
      <c r="E232" s="35">
        <v>30040909</v>
      </c>
      <c r="F232" s="34" t="s">
        <v>751</v>
      </c>
      <c r="G232" s="39">
        <v>10040876</v>
      </c>
      <c r="H232" s="42">
        <v>30040909</v>
      </c>
      <c r="I232" s="34" t="s">
        <v>257</v>
      </c>
      <c r="J232" s="34" t="s">
        <v>1443</v>
      </c>
      <c r="K232" s="36">
        <v>40198</v>
      </c>
      <c r="L232" s="34" t="s">
        <v>1444</v>
      </c>
      <c r="M232" s="34" t="s">
        <v>1445</v>
      </c>
      <c r="N232" s="34" t="s">
        <v>717</v>
      </c>
      <c r="O232" s="34" t="s">
        <v>717</v>
      </c>
      <c r="P232" s="34" t="s">
        <v>1446</v>
      </c>
      <c r="Q232" s="34" t="s">
        <v>1446</v>
      </c>
      <c r="R232" s="34" t="s">
        <v>1451</v>
      </c>
      <c r="S232" s="34" t="s">
        <v>1451</v>
      </c>
      <c r="T232" s="34" t="s">
        <v>751</v>
      </c>
      <c r="U232" s="34" t="s">
        <v>751</v>
      </c>
      <c r="V232" s="37">
        <v>17.73</v>
      </c>
      <c r="W232" s="45">
        <v>3957.48</v>
      </c>
      <c r="X232" s="37">
        <v>22220.81</v>
      </c>
      <c r="Y232" s="36">
        <v>43864</v>
      </c>
      <c r="Z232" s="34" t="s">
        <v>1448</v>
      </c>
    </row>
    <row r="233" spans="1:26" x14ac:dyDescent="0.25">
      <c r="A233" s="34" t="s">
        <v>1441</v>
      </c>
      <c r="B233" s="34" t="s">
        <v>1442</v>
      </c>
      <c r="C233" s="34" t="s">
        <v>16</v>
      </c>
      <c r="D233" s="34" t="s">
        <v>15</v>
      </c>
      <c r="E233" s="35">
        <v>30040910</v>
      </c>
      <c r="F233" s="34" t="s">
        <v>21</v>
      </c>
      <c r="G233" s="39">
        <v>10040881</v>
      </c>
      <c r="H233" s="42">
        <v>30040910</v>
      </c>
      <c r="I233" s="34" t="s">
        <v>258</v>
      </c>
      <c r="J233" s="34" t="s">
        <v>1443</v>
      </c>
      <c r="K233" s="36">
        <v>40198</v>
      </c>
      <c r="L233" s="34" t="s">
        <v>1444</v>
      </c>
      <c r="M233" s="34" t="s">
        <v>1445</v>
      </c>
      <c r="N233" s="34" t="s">
        <v>717</v>
      </c>
      <c r="O233" s="34" t="s">
        <v>717</v>
      </c>
      <c r="P233" s="34" t="s">
        <v>1462</v>
      </c>
      <c r="Q233" s="34" t="s">
        <v>1462</v>
      </c>
      <c r="R233" s="34" t="s">
        <v>1478</v>
      </c>
      <c r="S233" s="34" t="s">
        <v>1478</v>
      </c>
      <c r="T233" s="34" t="s">
        <v>21</v>
      </c>
      <c r="U233" s="34" t="s">
        <v>21</v>
      </c>
      <c r="V233" s="37">
        <v>11.71</v>
      </c>
      <c r="W233" s="45">
        <v>2613.77</v>
      </c>
      <c r="X233" s="37">
        <v>22220.84</v>
      </c>
      <c r="Y233" s="36">
        <v>43864</v>
      </c>
      <c r="Z233" s="34" t="s">
        <v>1448</v>
      </c>
    </row>
    <row r="234" spans="1:26" x14ac:dyDescent="0.25">
      <c r="A234" s="34" t="s">
        <v>1441</v>
      </c>
      <c r="B234" s="34" t="s">
        <v>1442</v>
      </c>
      <c r="C234" s="34" t="s">
        <v>16</v>
      </c>
      <c r="D234" s="34" t="s">
        <v>15</v>
      </c>
      <c r="E234" s="35">
        <v>30040911</v>
      </c>
      <c r="F234" s="34" t="s">
        <v>751</v>
      </c>
      <c r="G234" s="39">
        <v>10040943</v>
      </c>
      <c r="H234" s="42">
        <v>30040911</v>
      </c>
      <c r="I234" s="34" t="s">
        <v>259</v>
      </c>
      <c r="J234" s="34" t="s">
        <v>1443</v>
      </c>
      <c r="K234" s="36">
        <v>40210</v>
      </c>
      <c r="L234" s="34" t="s">
        <v>1444</v>
      </c>
      <c r="M234" s="34" t="s">
        <v>1445</v>
      </c>
      <c r="N234" s="34" t="s">
        <v>717</v>
      </c>
      <c r="O234" s="34" t="s">
        <v>717</v>
      </c>
      <c r="P234" s="34" t="s">
        <v>1456</v>
      </c>
      <c r="Q234" s="34" t="s">
        <v>1456</v>
      </c>
      <c r="R234" s="34" t="s">
        <v>1457</v>
      </c>
      <c r="S234" s="34" t="s">
        <v>1457</v>
      </c>
      <c r="T234" s="34" t="s">
        <v>751</v>
      </c>
      <c r="U234" s="34" t="s">
        <v>751</v>
      </c>
      <c r="V234" s="37">
        <v>12.8</v>
      </c>
      <c r="W234" s="45">
        <v>2857.07</v>
      </c>
      <c r="X234" s="37">
        <v>22220.86</v>
      </c>
      <c r="Y234" s="36">
        <v>43864</v>
      </c>
      <c r="Z234" s="34" t="s">
        <v>1448</v>
      </c>
    </row>
    <row r="235" spans="1:26" x14ac:dyDescent="0.25">
      <c r="A235" s="34" t="s">
        <v>1441</v>
      </c>
      <c r="B235" s="34" t="s">
        <v>1442</v>
      </c>
      <c r="C235" s="34" t="s">
        <v>16</v>
      </c>
      <c r="D235" s="34" t="s">
        <v>15</v>
      </c>
      <c r="E235" s="35">
        <v>30040912</v>
      </c>
      <c r="F235" s="34" t="s">
        <v>765</v>
      </c>
      <c r="G235" s="39">
        <v>10041044</v>
      </c>
      <c r="H235" s="42">
        <v>30040912</v>
      </c>
      <c r="I235" s="34" t="s">
        <v>260</v>
      </c>
      <c r="J235" s="34" t="s">
        <v>1443</v>
      </c>
      <c r="K235" s="36">
        <v>40217</v>
      </c>
      <c r="L235" s="34" t="s">
        <v>1444</v>
      </c>
      <c r="M235" s="34" t="s">
        <v>1445</v>
      </c>
      <c r="N235" s="34" t="s">
        <v>717</v>
      </c>
      <c r="O235" s="34" t="s">
        <v>717</v>
      </c>
      <c r="P235" s="34" t="s">
        <v>1474</v>
      </c>
      <c r="Q235" s="34" t="s">
        <v>1474</v>
      </c>
      <c r="R235" s="34" t="s">
        <v>1485</v>
      </c>
      <c r="S235" s="34" t="s">
        <v>1485</v>
      </c>
      <c r="T235" s="34" t="s">
        <v>765</v>
      </c>
      <c r="U235" s="34" t="s">
        <v>765</v>
      </c>
      <c r="V235" s="37">
        <v>9.9</v>
      </c>
      <c r="W235" s="45">
        <v>9.9</v>
      </c>
      <c r="X235" s="37">
        <v>0</v>
      </c>
      <c r="Y235" s="36">
        <v>43864</v>
      </c>
      <c r="Z235" s="34" t="s">
        <v>1448</v>
      </c>
    </row>
    <row r="236" spans="1:26" x14ac:dyDescent="0.25">
      <c r="A236" s="34" t="s">
        <v>1441</v>
      </c>
      <c r="B236" s="34" t="s">
        <v>1442</v>
      </c>
      <c r="C236" s="34" t="s">
        <v>16</v>
      </c>
      <c r="D236" s="34" t="s">
        <v>15</v>
      </c>
      <c r="E236" s="35">
        <v>30041332</v>
      </c>
      <c r="F236" s="34" t="s">
        <v>761</v>
      </c>
      <c r="G236" s="39">
        <v>10041048</v>
      </c>
      <c r="H236" s="42">
        <v>30041332</v>
      </c>
      <c r="I236" s="34" t="s">
        <v>261</v>
      </c>
      <c r="J236" s="34" t="s">
        <v>1443</v>
      </c>
      <c r="K236" s="36">
        <v>40217</v>
      </c>
      <c r="L236" s="34" t="s">
        <v>1444</v>
      </c>
      <c r="M236" s="34" t="s">
        <v>1445</v>
      </c>
      <c r="N236" s="34" t="s">
        <v>717</v>
      </c>
      <c r="O236" s="34" t="s">
        <v>717</v>
      </c>
      <c r="P236" s="34" t="s">
        <v>1474</v>
      </c>
      <c r="Q236" s="34" t="s">
        <v>1474</v>
      </c>
      <c r="R236" s="34" t="s">
        <v>1485</v>
      </c>
      <c r="S236" s="34" t="s">
        <v>1485</v>
      </c>
      <c r="T236" s="34" t="s">
        <v>761</v>
      </c>
      <c r="U236" s="34" t="s">
        <v>761</v>
      </c>
      <c r="V236" s="37">
        <v>11.71</v>
      </c>
      <c r="W236" s="45">
        <v>2138.54</v>
      </c>
      <c r="X236" s="37">
        <v>18162.509999999998</v>
      </c>
      <c r="Y236" s="36">
        <v>43864</v>
      </c>
      <c r="Z236" s="34" t="s">
        <v>1448</v>
      </c>
    </row>
    <row r="237" spans="1:26" x14ac:dyDescent="0.25">
      <c r="A237" s="34" t="s">
        <v>1441</v>
      </c>
      <c r="B237" s="34" t="s">
        <v>1442</v>
      </c>
      <c r="C237" s="34" t="s">
        <v>16</v>
      </c>
      <c r="D237" s="34" t="s">
        <v>15</v>
      </c>
      <c r="E237" s="35">
        <v>30040914</v>
      </c>
      <c r="F237" s="34" t="s">
        <v>756</v>
      </c>
      <c r="G237" s="39">
        <v>10041113</v>
      </c>
      <c r="H237" s="42">
        <v>30040914</v>
      </c>
      <c r="I237" s="34" t="s">
        <v>262</v>
      </c>
      <c r="J237" s="34" t="s">
        <v>1443</v>
      </c>
      <c r="K237" s="36">
        <v>40226</v>
      </c>
      <c r="L237" s="34" t="s">
        <v>1444</v>
      </c>
      <c r="M237" s="34" t="s">
        <v>1445</v>
      </c>
      <c r="N237" s="34" t="s">
        <v>717</v>
      </c>
      <c r="O237" s="34" t="s">
        <v>717</v>
      </c>
      <c r="P237" s="34" t="s">
        <v>1470</v>
      </c>
      <c r="Q237" s="34" t="s">
        <v>1470</v>
      </c>
      <c r="R237" s="34" t="s">
        <v>1471</v>
      </c>
      <c r="S237" s="34" t="s">
        <v>1471</v>
      </c>
      <c r="T237" s="34" t="s">
        <v>756</v>
      </c>
      <c r="U237" s="34" t="s">
        <v>756</v>
      </c>
      <c r="V237" s="37">
        <v>14.04</v>
      </c>
      <c r="W237" s="45">
        <v>3133.85</v>
      </c>
      <c r="X237" s="37">
        <v>22220.87</v>
      </c>
      <c r="Y237" s="36">
        <v>43864</v>
      </c>
      <c r="Z237" s="34" t="s">
        <v>1448</v>
      </c>
    </row>
    <row r="238" spans="1:26" x14ac:dyDescent="0.25">
      <c r="A238" s="34" t="s">
        <v>1441</v>
      </c>
      <c r="B238" s="34" t="s">
        <v>1442</v>
      </c>
      <c r="C238" s="34" t="s">
        <v>6</v>
      </c>
      <c r="D238" s="34" t="s">
        <v>15</v>
      </c>
      <c r="E238" s="35">
        <v>30040916</v>
      </c>
      <c r="F238" s="34" t="s">
        <v>766</v>
      </c>
      <c r="G238" s="39">
        <v>10041235</v>
      </c>
      <c r="H238" s="42">
        <v>30040916</v>
      </c>
      <c r="I238" s="34" t="s">
        <v>263</v>
      </c>
      <c r="J238" s="34" t="s">
        <v>1443</v>
      </c>
      <c r="K238" s="36">
        <v>40245</v>
      </c>
      <c r="L238" s="34" t="s">
        <v>1444</v>
      </c>
      <c r="M238" s="34" t="s">
        <v>1445</v>
      </c>
      <c r="N238" s="34" t="s">
        <v>717</v>
      </c>
      <c r="O238" s="34" t="s">
        <v>717</v>
      </c>
      <c r="P238" s="34" t="s">
        <v>1459</v>
      </c>
      <c r="Q238" s="34" t="s">
        <v>1460</v>
      </c>
      <c r="R238" s="34" t="s">
        <v>1461</v>
      </c>
      <c r="S238" s="34" t="s">
        <v>1461</v>
      </c>
      <c r="T238" s="34" t="s">
        <v>766</v>
      </c>
      <c r="U238" s="34" t="s">
        <v>766</v>
      </c>
      <c r="V238" s="37">
        <v>8.59</v>
      </c>
      <c r="W238" s="45">
        <v>1917.36</v>
      </c>
      <c r="X238" s="37">
        <v>22220.84</v>
      </c>
      <c r="Y238" s="36">
        <v>43864</v>
      </c>
      <c r="Z238" s="34" t="s">
        <v>1448</v>
      </c>
    </row>
    <row r="239" spans="1:26" x14ac:dyDescent="0.25">
      <c r="A239" s="34" t="s">
        <v>1441</v>
      </c>
      <c r="B239" s="34" t="s">
        <v>1442</v>
      </c>
      <c r="C239" s="34" t="s">
        <v>16</v>
      </c>
      <c r="D239" s="34" t="s">
        <v>15</v>
      </c>
      <c r="E239" s="35">
        <v>30040917</v>
      </c>
      <c r="F239" s="34" t="s">
        <v>751</v>
      </c>
      <c r="G239" s="39">
        <v>10041314</v>
      </c>
      <c r="H239" s="42">
        <v>30040917</v>
      </c>
      <c r="I239" s="34" t="s">
        <v>264</v>
      </c>
      <c r="J239" s="34" t="s">
        <v>1443</v>
      </c>
      <c r="K239" s="36">
        <v>40252</v>
      </c>
      <c r="L239" s="34" t="s">
        <v>1444</v>
      </c>
      <c r="M239" s="34" t="s">
        <v>1445</v>
      </c>
      <c r="N239" s="34" t="s">
        <v>717</v>
      </c>
      <c r="O239" s="34" t="s">
        <v>717</v>
      </c>
      <c r="P239" s="34" t="s">
        <v>1446</v>
      </c>
      <c r="Q239" s="34" t="s">
        <v>1446</v>
      </c>
      <c r="R239" s="34" t="s">
        <v>1447</v>
      </c>
      <c r="S239" s="34" t="s">
        <v>1447</v>
      </c>
      <c r="T239" s="34" t="s">
        <v>751</v>
      </c>
      <c r="U239" s="34" t="s">
        <v>751</v>
      </c>
      <c r="V239" s="37">
        <v>17.73</v>
      </c>
      <c r="W239" s="45">
        <v>3957.48</v>
      </c>
      <c r="X239" s="37">
        <v>22220.81</v>
      </c>
      <c r="Y239" s="36">
        <v>43864</v>
      </c>
      <c r="Z239" s="34" t="s">
        <v>1448</v>
      </c>
    </row>
    <row r="240" spans="1:26" x14ac:dyDescent="0.25">
      <c r="A240" s="34" t="s">
        <v>1441</v>
      </c>
      <c r="B240" s="34" t="s">
        <v>1442</v>
      </c>
      <c r="C240" s="34" t="s">
        <v>16</v>
      </c>
      <c r="D240" s="34" t="s">
        <v>15</v>
      </c>
      <c r="E240" s="35">
        <v>30040918</v>
      </c>
      <c r="F240" s="34" t="s">
        <v>19</v>
      </c>
      <c r="G240" s="39">
        <v>10041363</v>
      </c>
      <c r="H240" s="42">
        <v>30040918</v>
      </c>
      <c r="I240" s="34" t="s">
        <v>265</v>
      </c>
      <c r="J240" s="34" t="s">
        <v>1443</v>
      </c>
      <c r="K240" s="36">
        <v>40259</v>
      </c>
      <c r="L240" s="34" t="s">
        <v>1444</v>
      </c>
      <c r="M240" s="34" t="s">
        <v>1445</v>
      </c>
      <c r="N240" s="34" t="s">
        <v>717</v>
      </c>
      <c r="O240" s="34" t="s">
        <v>717</v>
      </c>
      <c r="P240" s="34" t="s">
        <v>1464</v>
      </c>
      <c r="Q240" s="34" t="s">
        <v>1464</v>
      </c>
      <c r="R240" s="34" t="s">
        <v>1465</v>
      </c>
      <c r="S240" s="34" t="s">
        <v>1465</v>
      </c>
      <c r="T240" s="34" t="s">
        <v>19</v>
      </c>
      <c r="U240" s="34" t="s">
        <v>19</v>
      </c>
      <c r="V240" s="37">
        <v>10.26</v>
      </c>
      <c r="W240" s="45">
        <v>2290.12</v>
      </c>
      <c r="X240" s="37">
        <v>22220.86</v>
      </c>
      <c r="Y240" s="36">
        <v>43864</v>
      </c>
      <c r="Z240" s="34" t="s">
        <v>1448</v>
      </c>
    </row>
    <row r="241" spans="1:26" x14ac:dyDescent="0.25">
      <c r="A241" s="34" t="s">
        <v>1441</v>
      </c>
      <c r="B241" s="34" t="s">
        <v>1442</v>
      </c>
      <c r="C241" s="34" t="s">
        <v>16</v>
      </c>
      <c r="D241" s="34" t="s">
        <v>15</v>
      </c>
      <c r="E241" s="35">
        <v>30040919</v>
      </c>
      <c r="F241" s="34" t="s">
        <v>758</v>
      </c>
      <c r="G241" s="39">
        <v>10041544</v>
      </c>
      <c r="H241" s="42">
        <v>30040919</v>
      </c>
      <c r="I241" s="34" t="s">
        <v>266</v>
      </c>
      <c r="J241" s="34" t="s">
        <v>1443</v>
      </c>
      <c r="K241" s="36">
        <v>40280</v>
      </c>
      <c r="L241" s="34" t="s">
        <v>1444</v>
      </c>
      <c r="M241" s="34" t="s">
        <v>1445</v>
      </c>
      <c r="N241" s="34" t="s">
        <v>717</v>
      </c>
      <c r="O241" s="34" t="s">
        <v>717</v>
      </c>
      <c r="P241" s="34" t="s">
        <v>1449</v>
      </c>
      <c r="Q241" s="34" t="s">
        <v>1449</v>
      </c>
      <c r="R241" s="34" t="s">
        <v>1450</v>
      </c>
      <c r="S241" s="34" t="s">
        <v>1450</v>
      </c>
      <c r="T241" s="34" t="s">
        <v>758</v>
      </c>
      <c r="U241" s="34" t="s">
        <v>758</v>
      </c>
      <c r="V241" s="37">
        <v>14.48</v>
      </c>
      <c r="W241" s="45">
        <v>3232.06</v>
      </c>
      <c r="X241" s="37">
        <v>22220.86</v>
      </c>
      <c r="Y241" s="36">
        <v>43864</v>
      </c>
      <c r="Z241" s="34" t="s">
        <v>1448</v>
      </c>
    </row>
    <row r="242" spans="1:26" x14ac:dyDescent="0.25">
      <c r="A242" s="34" t="s">
        <v>1441</v>
      </c>
      <c r="B242" s="34" t="s">
        <v>1442</v>
      </c>
      <c r="C242" s="34" t="s">
        <v>6</v>
      </c>
      <c r="D242" s="34" t="s">
        <v>15</v>
      </c>
      <c r="E242" s="35">
        <v>30040920</v>
      </c>
      <c r="F242" s="34" t="s">
        <v>19</v>
      </c>
      <c r="G242" s="39">
        <v>10041591</v>
      </c>
      <c r="H242" s="42">
        <v>30040920</v>
      </c>
      <c r="I242" s="34" t="s">
        <v>267</v>
      </c>
      <c r="J242" s="34" t="s">
        <v>1443</v>
      </c>
      <c r="K242" s="36">
        <v>40287</v>
      </c>
      <c r="L242" s="34" t="s">
        <v>1444</v>
      </c>
      <c r="M242" s="34" t="s">
        <v>1445</v>
      </c>
      <c r="N242" s="34" t="s">
        <v>717</v>
      </c>
      <c r="O242" s="34" t="s">
        <v>717</v>
      </c>
      <c r="P242" s="34" t="s">
        <v>1460</v>
      </c>
      <c r="Q242" s="34" t="s">
        <v>1460</v>
      </c>
      <c r="R242" s="34" t="s">
        <v>1461</v>
      </c>
      <c r="S242" s="34" t="s">
        <v>1461</v>
      </c>
      <c r="T242" s="34" t="s">
        <v>19</v>
      </c>
      <c r="U242" s="34" t="s">
        <v>19</v>
      </c>
      <c r="V242" s="37">
        <v>10.26</v>
      </c>
      <c r="W242" s="45">
        <v>2290.12</v>
      </c>
      <c r="X242" s="37">
        <v>22220.86</v>
      </c>
      <c r="Y242" s="36">
        <v>43864</v>
      </c>
      <c r="Z242" s="34" t="s">
        <v>1448</v>
      </c>
    </row>
    <row r="243" spans="1:26" x14ac:dyDescent="0.25">
      <c r="A243" s="34" t="s">
        <v>1441</v>
      </c>
      <c r="B243" s="34" t="s">
        <v>1442</v>
      </c>
      <c r="C243" s="34" t="s">
        <v>16</v>
      </c>
      <c r="D243" s="34" t="s">
        <v>15</v>
      </c>
      <c r="E243" s="35">
        <v>30040921</v>
      </c>
      <c r="F243" s="34" t="s">
        <v>20</v>
      </c>
      <c r="G243" s="39">
        <v>10041647</v>
      </c>
      <c r="H243" s="42">
        <v>30040921</v>
      </c>
      <c r="I243" s="34" t="s">
        <v>268</v>
      </c>
      <c r="J243" s="34" t="s">
        <v>1443</v>
      </c>
      <c r="K243" s="36">
        <v>40301</v>
      </c>
      <c r="L243" s="34" t="s">
        <v>1444</v>
      </c>
      <c r="M243" s="34" t="s">
        <v>1445</v>
      </c>
      <c r="N243" s="34" t="s">
        <v>717</v>
      </c>
      <c r="O243" s="34" t="s">
        <v>717</v>
      </c>
      <c r="P243" s="34" t="s">
        <v>1503</v>
      </c>
      <c r="Q243" s="34" t="s">
        <v>1503</v>
      </c>
      <c r="R243" s="34" t="s">
        <v>1504</v>
      </c>
      <c r="S243" s="34" t="s">
        <v>1504</v>
      </c>
      <c r="T243" s="34" t="s">
        <v>20</v>
      </c>
      <c r="U243" s="34" t="s">
        <v>20</v>
      </c>
      <c r="V243" s="37">
        <v>14.04</v>
      </c>
      <c r="W243" s="45">
        <v>3133.85</v>
      </c>
      <c r="X243" s="37">
        <v>22220.87</v>
      </c>
      <c r="Y243" s="36">
        <v>43864</v>
      </c>
      <c r="Z243" s="34" t="s">
        <v>1448</v>
      </c>
    </row>
    <row r="244" spans="1:26" x14ac:dyDescent="0.25">
      <c r="A244" s="34" t="s">
        <v>1441</v>
      </c>
      <c r="B244" s="34" t="s">
        <v>1442</v>
      </c>
      <c r="C244" s="34" t="s">
        <v>16</v>
      </c>
      <c r="D244" s="34" t="s">
        <v>15</v>
      </c>
      <c r="E244" s="35">
        <v>30040922</v>
      </c>
      <c r="F244" s="34" t="s">
        <v>751</v>
      </c>
      <c r="G244" s="39">
        <v>10041708</v>
      </c>
      <c r="H244" s="42">
        <v>30040922</v>
      </c>
      <c r="I244" s="34" t="s">
        <v>269</v>
      </c>
      <c r="J244" s="34" t="s">
        <v>1443</v>
      </c>
      <c r="K244" s="36">
        <v>40303</v>
      </c>
      <c r="L244" s="34" t="s">
        <v>1444</v>
      </c>
      <c r="M244" s="34" t="s">
        <v>1445</v>
      </c>
      <c r="N244" s="34" t="s">
        <v>717</v>
      </c>
      <c r="O244" s="34" t="s">
        <v>717</v>
      </c>
      <c r="P244" s="34" t="s">
        <v>1446</v>
      </c>
      <c r="Q244" s="34" t="s">
        <v>1446</v>
      </c>
      <c r="R244" s="34" t="s">
        <v>1447</v>
      </c>
      <c r="S244" s="34" t="s">
        <v>1447</v>
      </c>
      <c r="T244" s="34" t="s">
        <v>751</v>
      </c>
      <c r="U244" s="34" t="s">
        <v>751</v>
      </c>
      <c r="V244" s="37">
        <v>17.73</v>
      </c>
      <c r="W244" s="45">
        <v>3957.48</v>
      </c>
      <c r="X244" s="37">
        <v>22220.81</v>
      </c>
      <c r="Y244" s="36">
        <v>43864</v>
      </c>
      <c r="Z244" s="34" t="s">
        <v>1448</v>
      </c>
    </row>
    <row r="245" spans="1:26" x14ac:dyDescent="0.25">
      <c r="A245" s="34" t="s">
        <v>1441</v>
      </c>
      <c r="B245" s="34" t="s">
        <v>1442</v>
      </c>
      <c r="C245" s="34" t="s">
        <v>16</v>
      </c>
      <c r="D245" s="34" t="s">
        <v>15</v>
      </c>
      <c r="E245" s="35">
        <v>30040923</v>
      </c>
      <c r="F245" s="34" t="s">
        <v>21</v>
      </c>
      <c r="G245" s="39">
        <v>10041795</v>
      </c>
      <c r="H245" s="42">
        <v>30040923</v>
      </c>
      <c r="I245" s="34" t="s">
        <v>270</v>
      </c>
      <c r="J245" s="34" t="s">
        <v>1443</v>
      </c>
      <c r="K245" s="36">
        <v>40315</v>
      </c>
      <c r="L245" s="34" t="s">
        <v>1444</v>
      </c>
      <c r="M245" s="34" t="s">
        <v>1445</v>
      </c>
      <c r="N245" s="34" t="s">
        <v>717</v>
      </c>
      <c r="O245" s="34" t="s">
        <v>717</v>
      </c>
      <c r="P245" s="34" t="s">
        <v>1462</v>
      </c>
      <c r="Q245" s="34" t="s">
        <v>1462</v>
      </c>
      <c r="R245" s="34" t="s">
        <v>1494</v>
      </c>
      <c r="S245" s="34" t="s">
        <v>1494</v>
      </c>
      <c r="T245" s="34" t="s">
        <v>21</v>
      </c>
      <c r="U245" s="34" t="s">
        <v>21</v>
      </c>
      <c r="V245" s="37">
        <v>11.71</v>
      </c>
      <c r="W245" s="45">
        <v>2613.77</v>
      </c>
      <c r="X245" s="37">
        <v>22220.84</v>
      </c>
      <c r="Y245" s="36">
        <v>43864</v>
      </c>
      <c r="Z245" s="34" t="s">
        <v>1448</v>
      </c>
    </row>
    <row r="246" spans="1:26" x14ac:dyDescent="0.25">
      <c r="A246" s="34" t="s">
        <v>1441</v>
      </c>
      <c r="B246" s="34" t="s">
        <v>1442</v>
      </c>
      <c r="C246" s="34" t="s">
        <v>16</v>
      </c>
      <c r="D246" s="34" t="s">
        <v>15</v>
      </c>
      <c r="E246" s="35">
        <v>30040924</v>
      </c>
      <c r="F246" s="34" t="s">
        <v>21</v>
      </c>
      <c r="G246" s="39">
        <v>10041842</v>
      </c>
      <c r="H246" s="42">
        <v>30040924</v>
      </c>
      <c r="I246" s="34" t="s">
        <v>271</v>
      </c>
      <c r="J246" s="34" t="s">
        <v>1443</v>
      </c>
      <c r="K246" s="36">
        <v>40317</v>
      </c>
      <c r="L246" s="34" t="s">
        <v>1444</v>
      </c>
      <c r="M246" s="34" t="s">
        <v>1445</v>
      </c>
      <c r="N246" s="34" t="s">
        <v>717</v>
      </c>
      <c r="O246" s="34" t="s">
        <v>717</v>
      </c>
      <c r="P246" s="34" t="s">
        <v>1501</v>
      </c>
      <c r="Q246" s="34" t="s">
        <v>1501</v>
      </c>
      <c r="R246" s="34" t="s">
        <v>1502</v>
      </c>
      <c r="S246" s="34" t="s">
        <v>1502</v>
      </c>
      <c r="T246" s="34" t="s">
        <v>21</v>
      </c>
      <c r="U246" s="34" t="s">
        <v>21</v>
      </c>
      <c r="V246" s="37">
        <v>11.71</v>
      </c>
      <c r="W246" s="45">
        <v>2613.77</v>
      </c>
      <c r="X246" s="37">
        <v>22220.84</v>
      </c>
      <c r="Y246" s="36">
        <v>43864</v>
      </c>
      <c r="Z246" s="34" t="s">
        <v>1448</v>
      </c>
    </row>
    <row r="247" spans="1:26" x14ac:dyDescent="0.25">
      <c r="A247" s="34" t="s">
        <v>1441</v>
      </c>
      <c r="B247" s="34" t="s">
        <v>1442</v>
      </c>
      <c r="C247" s="34" t="s">
        <v>16</v>
      </c>
      <c r="D247" s="34" t="s">
        <v>15</v>
      </c>
      <c r="E247" s="35">
        <v>30040925</v>
      </c>
      <c r="F247" s="34" t="s">
        <v>751</v>
      </c>
      <c r="G247" s="39">
        <v>10041843</v>
      </c>
      <c r="H247" s="42">
        <v>30040925</v>
      </c>
      <c r="I247" s="34" t="s">
        <v>272</v>
      </c>
      <c r="J247" s="34" t="s">
        <v>1443</v>
      </c>
      <c r="K247" s="36">
        <v>40317</v>
      </c>
      <c r="L247" s="34" t="s">
        <v>1444</v>
      </c>
      <c r="M247" s="34" t="s">
        <v>1445</v>
      </c>
      <c r="N247" s="34" t="s">
        <v>717</v>
      </c>
      <c r="O247" s="34" t="s">
        <v>717</v>
      </c>
      <c r="P247" s="34" t="s">
        <v>1486</v>
      </c>
      <c r="Q247" s="34" t="s">
        <v>1486</v>
      </c>
      <c r="R247" s="34" t="s">
        <v>1487</v>
      </c>
      <c r="S247" s="34" t="s">
        <v>1487</v>
      </c>
      <c r="T247" s="34" t="s">
        <v>751</v>
      </c>
      <c r="U247" s="34" t="s">
        <v>751</v>
      </c>
      <c r="V247" s="37">
        <v>17.73</v>
      </c>
      <c r="W247" s="45">
        <v>3957.48</v>
      </c>
      <c r="X247" s="37">
        <v>22220.81</v>
      </c>
      <c r="Y247" s="36">
        <v>43864</v>
      </c>
      <c r="Z247" s="34" t="s">
        <v>1448</v>
      </c>
    </row>
    <row r="248" spans="1:26" x14ac:dyDescent="0.25">
      <c r="A248" s="34" t="s">
        <v>1441</v>
      </c>
      <c r="B248" s="34" t="s">
        <v>1442</v>
      </c>
      <c r="C248" s="34" t="s">
        <v>16</v>
      </c>
      <c r="D248" s="34" t="s">
        <v>15</v>
      </c>
      <c r="E248" s="35">
        <v>30040926</v>
      </c>
      <c r="F248" s="34" t="s">
        <v>751</v>
      </c>
      <c r="G248" s="39">
        <v>10041965</v>
      </c>
      <c r="H248" s="42">
        <v>30040926</v>
      </c>
      <c r="I248" s="34" t="s">
        <v>273</v>
      </c>
      <c r="J248" s="34" t="s">
        <v>1443</v>
      </c>
      <c r="K248" s="36">
        <v>40336</v>
      </c>
      <c r="L248" s="34" t="s">
        <v>1444</v>
      </c>
      <c r="M248" s="34" t="s">
        <v>1445</v>
      </c>
      <c r="N248" s="34" t="s">
        <v>717</v>
      </c>
      <c r="O248" s="34" t="s">
        <v>717</v>
      </c>
      <c r="P248" s="34" t="s">
        <v>1456</v>
      </c>
      <c r="Q248" s="34" t="s">
        <v>1456</v>
      </c>
      <c r="R248" s="34" t="s">
        <v>1457</v>
      </c>
      <c r="S248" s="34" t="s">
        <v>1457</v>
      </c>
      <c r="T248" s="34" t="s">
        <v>751</v>
      </c>
      <c r="U248" s="34" t="s">
        <v>751</v>
      </c>
      <c r="V248" s="37">
        <v>17.73</v>
      </c>
      <c r="W248" s="45">
        <v>3957.48</v>
      </c>
      <c r="X248" s="37">
        <v>22220.81</v>
      </c>
      <c r="Y248" s="36">
        <v>43864</v>
      </c>
      <c r="Z248" s="34" t="s">
        <v>1448</v>
      </c>
    </row>
    <row r="249" spans="1:26" x14ac:dyDescent="0.25">
      <c r="A249" s="34" t="s">
        <v>1441</v>
      </c>
      <c r="B249" s="34" t="s">
        <v>1442</v>
      </c>
      <c r="C249" s="34" t="s">
        <v>16</v>
      </c>
      <c r="D249" s="34" t="s">
        <v>15</v>
      </c>
      <c r="E249" s="35">
        <v>30040927</v>
      </c>
      <c r="F249" s="34" t="s">
        <v>21</v>
      </c>
      <c r="G249" s="39">
        <v>10041970</v>
      </c>
      <c r="H249" s="42">
        <v>30040927</v>
      </c>
      <c r="I249" s="34" t="s">
        <v>274</v>
      </c>
      <c r="J249" s="34" t="s">
        <v>1443</v>
      </c>
      <c r="K249" s="36">
        <v>40336</v>
      </c>
      <c r="L249" s="34" t="s">
        <v>1444</v>
      </c>
      <c r="M249" s="34" t="s">
        <v>1445</v>
      </c>
      <c r="N249" s="34" t="s">
        <v>717</v>
      </c>
      <c r="O249" s="34" t="s">
        <v>717</v>
      </c>
      <c r="P249" s="34" t="s">
        <v>1462</v>
      </c>
      <c r="Q249" s="34" t="s">
        <v>1462</v>
      </c>
      <c r="R249" s="34" t="s">
        <v>1478</v>
      </c>
      <c r="S249" s="34" t="s">
        <v>1478</v>
      </c>
      <c r="T249" s="34" t="s">
        <v>21</v>
      </c>
      <c r="U249" s="34" t="s">
        <v>21</v>
      </c>
      <c r="V249" s="37">
        <v>11.71</v>
      </c>
      <c r="W249" s="45">
        <v>2613.77</v>
      </c>
      <c r="X249" s="37">
        <v>22220.84</v>
      </c>
      <c r="Y249" s="36">
        <v>43864</v>
      </c>
      <c r="Z249" s="34" t="s">
        <v>1448</v>
      </c>
    </row>
    <row r="250" spans="1:26" x14ac:dyDescent="0.25">
      <c r="A250" s="34" t="s">
        <v>1441</v>
      </c>
      <c r="B250" s="34" t="s">
        <v>1442</v>
      </c>
      <c r="C250" s="34" t="s">
        <v>16</v>
      </c>
      <c r="D250" s="34" t="s">
        <v>15</v>
      </c>
      <c r="E250" s="35">
        <v>30040928</v>
      </c>
      <c r="F250" s="34" t="s">
        <v>21</v>
      </c>
      <c r="G250" s="39">
        <v>10041976</v>
      </c>
      <c r="H250" s="42">
        <v>30040928</v>
      </c>
      <c r="I250" s="34" t="s">
        <v>275</v>
      </c>
      <c r="J250" s="34" t="s">
        <v>1443</v>
      </c>
      <c r="K250" s="36">
        <v>40336</v>
      </c>
      <c r="L250" s="34" t="s">
        <v>1444</v>
      </c>
      <c r="M250" s="34" t="s">
        <v>1445</v>
      </c>
      <c r="N250" s="34" t="s">
        <v>717</v>
      </c>
      <c r="O250" s="34" t="s">
        <v>717</v>
      </c>
      <c r="P250" s="34" t="s">
        <v>1462</v>
      </c>
      <c r="Q250" s="34" t="s">
        <v>1462</v>
      </c>
      <c r="R250" s="34" t="s">
        <v>1478</v>
      </c>
      <c r="S250" s="34" t="s">
        <v>1478</v>
      </c>
      <c r="T250" s="34" t="s">
        <v>21</v>
      </c>
      <c r="U250" s="34" t="s">
        <v>21</v>
      </c>
      <c r="V250" s="37">
        <v>11.71</v>
      </c>
      <c r="W250" s="45">
        <v>2613.77</v>
      </c>
      <c r="X250" s="37">
        <v>22220.84</v>
      </c>
      <c r="Y250" s="36">
        <v>43864</v>
      </c>
      <c r="Z250" s="34" t="s">
        <v>1448</v>
      </c>
    </row>
    <row r="251" spans="1:26" x14ac:dyDescent="0.25">
      <c r="A251" s="34" t="s">
        <v>1441</v>
      </c>
      <c r="B251" s="34" t="s">
        <v>1442</v>
      </c>
      <c r="C251" s="34" t="s">
        <v>16</v>
      </c>
      <c r="D251" s="34" t="s">
        <v>15</v>
      </c>
      <c r="E251" s="35">
        <v>30040929</v>
      </c>
      <c r="F251" s="34" t="s">
        <v>21</v>
      </c>
      <c r="G251" s="39">
        <v>10041978</v>
      </c>
      <c r="H251" s="42">
        <v>30040929</v>
      </c>
      <c r="I251" s="34" t="s">
        <v>276</v>
      </c>
      <c r="J251" s="34" t="s">
        <v>1443</v>
      </c>
      <c r="K251" s="36">
        <v>40336</v>
      </c>
      <c r="L251" s="34" t="s">
        <v>1444</v>
      </c>
      <c r="M251" s="34" t="s">
        <v>1445</v>
      </c>
      <c r="N251" s="34" t="s">
        <v>717</v>
      </c>
      <c r="O251" s="34" t="s">
        <v>717</v>
      </c>
      <c r="P251" s="34" t="s">
        <v>1501</v>
      </c>
      <c r="Q251" s="34" t="s">
        <v>1501</v>
      </c>
      <c r="R251" s="34" t="s">
        <v>1502</v>
      </c>
      <c r="S251" s="34" t="s">
        <v>1502</v>
      </c>
      <c r="T251" s="34" t="s">
        <v>21</v>
      </c>
      <c r="U251" s="34" t="s">
        <v>21</v>
      </c>
      <c r="V251" s="37">
        <v>11.71</v>
      </c>
      <c r="W251" s="45">
        <v>2613.77</v>
      </c>
      <c r="X251" s="37">
        <v>22220.84</v>
      </c>
      <c r="Y251" s="36">
        <v>43864</v>
      </c>
      <c r="Z251" s="34" t="s">
        <v>1448</v>
      </c>
    </row>
    <row r="252" spans="1:26" x14ac:dyDescent="0.25">
      <c r="A252" s="34" t="s">
        <v>1441</v>
      </c>
      <c r="B252" s="34" t="s">
        <v>1442</v>
      </c>
      <c r="C252" s="34" t="s">
        <v>16</v>
      </c>
      <c r="D252" s="34" t="s">
        <v>15</v>
      </c>
      <c r="E252" s="35">
        <v>30040930</v>
      </c>
      <c r="F252" s="34" t="s">
        <v>21</v>
      </c>
      <c r="G252" s="39">
        <v>10041980</v>
      </c>
      <c r="H252" s="42">
        <v>30040930</v>
      </c>
      <c r="I252" s="34" t="s">
        <v>277</v>
      </c>
      <c r="J252" s="34" t="s">
        <v>1443</v>
      </c>
      <c r="K252" s="36">
        <v>40336</v>
      </c>
      <c r="L252" s="34" t="s">
        <v>1444</v>
      </c>
      <c r="M252" s="34" t="s">
        <v>1445</v>
      </c>
      <c r="N252" s="34" t="s">
        <v>717</v>
      </c>
      <c r="O252" s="34" t="s">
        <v>717</v>
      </c>
      <c r="P252" s="34" t="s">
        <v>1462</v>
      </c>
      <c r="Q252" s="34" t="s">
        <v>1462</v>
      </c>
      <c r="R252" s="34" t="s">
        <v>1478</v>
      </c>
      <c r="S252" s="34" t="s">
        <v>1478</v>
      </c>
      <c r="T252" s="34" t="s">
        <v>21</v>
      </c>
      <c r="U252" s="34" t="s">
        <v>21</v>
      </c>
      <c r="V252" s="37">
        <v>11.71</v>
      </c>
      <c r="W252" s="45">
        <v>2613.77</v>
      </c>
      <c r="X252" s="37">
        <v>22220.84</v>
      </c>
      <c r="Y252" s="36">
        <v>43864</v>
      </c>
      <c r="Z252" s="34" t="s">
        <v>1448</v>
      </c>
    </row>
    <row r="253" spans="1:26" x14ac:dyDescent="0.25">
      <c r="A253" s="34" t="s">
        <v>1441</v>
      </c>
      <c r="B253" s="34" t="s">
        <v>1442</v>
      </c>
      <c r="C253" s="34" t="s">
        <v>16</v>
      </c>
      <c r="D253" s="34" t="s">
        <v>15</v>
      </c>
      <c r="E253" s="35">
        <v>30040931</v>
      </c>
      <c r="F253" s="34" t="s">
        <v>21</v>
      </c>
      <c r="G253" s="39">
        <v>10042022</v>
      </c>
      <c r="H253" s="42">
        <v>30040931</v>
      </c>
      <c r="I253" s="34" t="s">
        <v>278</v>
      </c>
      <c r="J253" s="34" t="s">
        <v>1443</v>
      </c>
      <c r="K253" s="36">
        <v>40343</v>
      </c>
      <c r="L253" s="34" t="s">
        <v>1444</v>
      </c>
      <c r="M253" s="34" t="s">
        <v>1445</v>
      </c>
      <c r="N253" s="34" t="s">
        <v>717</v>
      </c>
      <c r="O253" s="34" t="s">
        <v>717</v>
      </c>
      <c r="P253" s="34" t="s">
        <v>1462</v>
      </c>
      <c r="Q253" s="34" t="s">
        <v>1462</v>
      </c>
      <c r="R253" s="34" t="s">
        <v>1494</v>
      </c>
      <c r="S253" s="34" t="s">
        <v>1494</v>
      </c>
      <c r="T253" s="34" t="s">
        <v>21</v>
      </c>
      <c r="U253" s="34" t="s">
        <v>21</v>
      </c>
      <c r="V253" s="37">
        <v>11.71</v>
      </c>
      <c r="W253" s="45">
        <v>2613.77</v>
      </c>
      <c r="X253" s="37">
        <v>22220.84</v>
      </c>
      <c r="Y253" s="36">
        <v>43864</v>
      </c>
      <c r="Z253" s="34" t="s">
        <v>1448</v>
      </c>
    </row>
    <row r="254" spans="1:26" x14ac:dyDescent="0.25">
      <c r="A254" s="34" t="s">
        <v>1441</v>
      </c>
      <c r="B254" s="34" t="s">
        <v>1442</v>
      </c>
      <c r="C254" s="34" t="s">
        <v>16</v>
      </c>
      <c r="D254" s="34" t="s">
        <v>15</v>
      </c>
      <c r="E254" s="35">
        <v>30040932</v>
      </c>
      <c r="F254" s="34" t="s">
        <v>751</v>
      </c>
      <c r="G254" s="39">
        <v>10042228</v>
      </c>
      <c r="H254" s="42">
        <v>30040932</v>
      </c>
      <c r="I254" s="34" t="s">
        <v>279</v>
      </c>
      <c r="J254" s="34" t="s">
        <v>1443</v>
      </c>
      <c r="K254" s="36">
        <v>40364</v>
      </c>
      <c r="L254" s="34" t="s">
        <v>1444</v>
      </c>
      <c r="M254" s="34" t="s">
        <v>1445</v>
      </c>
      <c r="N254" s="34" t="s">
        <v>717</v>
      </c>
      <c r="O254" s="34" t="s">
        <v>717</v>
      </c>
      <c r="P254" s="34" t="s">
        <v>1446</v>
      </c>
      <c r="Q254" s="34" t="s">
        <v>1446</v>
      </c>
      <c r="R254" s="34" t="s">
        <v>1447</v>
      </c>
      <c r="S254" s="34" t="s">
        <v>1447</v>
      </c>
      <c r="T254" s="34" t="s">
        <v>751</v>
      </c>
      <c r="U254" s="34" t="s">
        <v>751</v>
      </c>
      <c r="V254" s="37">
        <v>17.73</v>
      </c>
      <c r="W254" s="45">
        <v>3957.48</v>
      </c>
      <c r="X254" s="37">
        <v>22220.81</v>
      </c>
      <c r="Y254" s="36">
        <v>43864</v>
      </c>
      <c r="Z254" s="34" t="s">
        <v>1448</v>
      </c>
    </row>
    <row r="255" spans="1:26" x14ac:dyDescent="0.25">
      <c r="A255" s="34" t="s">
        <v>1441</v>
      </c>
      <c r="B255" s="34" t="s">
        <v>1442</v>
      </c>
      <c r="C255" s="34" t="s">
        <v>16</v>
      </c>
      <c r="D255" s="34" t="s">
        <v>15</v>
      </c>
      <c r="E255" s="35">
        <v>30040933</v>
      </c>
      <c r="F255" s="34" t="s">
        <v>755</v>
      </c>
      <c r="G255" s="39">
        <v>10042502</v>
      </c>
      <c r="H255" s="42">
        <v>30040933</v>
      </c>
      <c r="I255" s="34" t="s">
        <v>280</v>
      </c>
      <c r="J255" s="34" t="s">
        <v>1443</v>
      </c>
      <c r="K255" s="36">
        <v>40408</v>
      </c>
      <c r="L255" s="34" t="s">
        <v>1444</v>
      </c>
      <c r="M255" s="34" t="s">
        <v>1445</v>
      </c>
      <c r="N255" s="34" t="s">
        <v>717</v>
      </c>
      <c r="O255" s="34" t="s">
        <v>717</v>
      </c>
      <c r="P255" s="34" t="s">
        <v>1468</v>
      </c>
      <c r="Q255" s="34" t="s">
        <v>1468</v>
      </c>
      <c r="R255" s="34" t="s">
        <v>1469</v>
      </c>
      <c r="S255" s="34" t="s">
        <v>1469</v>
      </c>
      <c r="T255" s="34" t="s">
        <v>755</v>
      </c>
      <c r="U255" s="34" t="s">
        <v>755</v>
      </c>
      <c r="V255" s="37">
        <v>11.43</v>
      </c>
      <c r="W255" s="45">
        <v>2551.27</v>
      </c>
      <c r="X255" s="37">
        <v>22220.82</v>
      </c>
      <c r="Y255" s="36">
        <v>43864</v>
      </c>
      <c r="Z255" s="34" t="s">
        <v>1448</v>
      </c>
    </row>
    <row r="256" spans="1:26" x14ac:dyDescent="0.25">
      <c r="A256" s="34" t="s">
        <v>1441</v>
      </c>
      <c r="B256" s="34" t="s">
        <v>1442</v>
      </c>
      <c r="C256" s="34" t="s">
        <v>16</v>
      </c>
      <c r="D256" s="34" t="s">
        <v>15</v>
      </c>
      <c r="E256" s="35">
        <v>30040934</v>
      </c>
      <c r="F256" s="34" t="s">
        <v>751</v>
      </c>
      <c r="G256" s="39">
        <v>10042513</v>
      </c>
      <c r="H256" s="42">
        <v>30040934</v>
      </c>
      <c r="I256" s="34" t="s">
        <v>281</v>
      </c>
      <c r="J256" s="34" t="s">
        <v>1443</v>
      </c>
      <c r="K256" s="36">
        <v>40413</v>
      </c>
      <c r="L256" s="34" t="s">
        <v>1444</v>
      </c>
      <c r="M256" s="34" t="s">
        <v>1445</v>
      </c>
      <c r="N256" s="34" t="s">
        <v>717</v>
      </c>
      <c r="O256" s="34" t="s">
        <v>717</v>
      </c>
      <c r="P256" s="34" t="s">
        <v>1446</v>
      </c>
      <c r="Q256" s="34" t="s">
        <v>1446</v>
      </c>
      <c r="R256" s="34" t="s">
        <v>1447</v>
      </c>
      <c r="S256" s="34" t="s">
        <v>1447</v>
      </c>
      <c r="T256" s="34" t="s">
        <v>751</v>
      </c>
      <c r="U256" s="34" t="s">
        <v>751</v>
      </c>
      <c r="V256" s="37">
        <v>17.73</v>
      </c>
      <c r="W256" s="45">
        <v>3957.48</v>
      </c>
      <c r="X256" s="37">
        <v>22220.81</v>
      </c>
      <c r="Y256" s="36">
        <v>43864</v>
      </c>
      <c r="Z256" s="34" t="s">
        <v>1448</v>
      </c>
    </row>
    <row r="257" spans="1:26" x14ac:dyDescent="0.25">
      <c r="A257" s="34" t="s">
        <v>1441</v>
      </c>
      <c r="B257" s="34" t="s">
        <v>1442</v>
      </c>
      <c r="C257" s="34" t="s">
        <v>16</v>
      </c>
      <c r="D257" s="34" t="s">
        <v>15</v>
      </c>
      <c r="E257" s="35">
        <v>30040935</v>
      </c>
      <c r="F257" s="34" t="s">
        <v>756</v>
      </c>
      <c r="G257" s="39">
        <v>10042514</v>
      </c>
      <c r="H257" s="42">
        <v>30040935</v>
      </c>
      <c r="I257" s="34" t="s">
        <v>282</v>
      </c>
      <c r="J257" s="34" t="s">
        <v>1443</v>
      </c>
      <c r="K257" s="36">
        <v>40413</v>
      </c>
      <c r="L257" s="34" t="s">
        <v>1444</v>
      </c>
      <c r="M257" s="34" t="s">
        <v>1445</v>
      </c>
      <c r="N257" s="34" t="s">
        <v>717</v>
      </c>
      <c r="O257" s="34" t="s">
        <v>717</v>
      </c>
      <c r="P257" s="34" t="s">
        <v>1470</v>
      </c>
      <c r="Q257" s="34" t="s">
        <v>1470</v>
      </c>
      <c r="R257" s="34" t="s">
        <v>1471</v>
      </c>
      <c r="S257" s="34" t="s">
        <v>1471</v>
      </c>
      <c r="T257" s="34" t="s">
        <v>756</v>
      </c>
      <c r="U257" s="34" t="s">
        <v>756</v>
      </c>
      <c r="V257" s="37">
        <v>14.04</v>
      </c>
      <c r="W257" s="45">
        <v>3133.85</v>
      </c>
      <c r="X257" s="37">
        <v>22220.87</v>
      </c>
      <c r="Y257" s="36">
        <v>43864</v>
      </c>
      <c r="Z257" s="34" t="s">
        <v>1448</v>
      </c>
    </row>
    <row r="258" spans="1:26" x14ac:dyDescent="0.25">
      <c r="A258" s="34" t="s">
        <v>1441</v>
      </c>
      <c r="B258" s="34" t="s">
        <v>1442</v>
      </c>
      <c r="C258" s="34" t="s">
        <v>16</v>
      </c>
      <c r="D258" s="34" t="s">
        <v>15</v>
      </c>
      <c r="E258" s="35">
        <v>30040936</v>
      </c>
      <c r="F258" s="34" t="s">
        <v>751</v>
      </c>
      <c r="G258" s="39">
        <v>10042624</v>
      </c>
      <c r="H258" s="42">
        <v>30040936</v>
      </c>
      <c r="I258" s="34" t="s">
        <v>283</v>
      </c>
      <c r="J258" s="34" t="s">
        <v>1443</v>
      </c>
      <c r="K258" s="36">
        <v>40441</v>
      </c>
      <c r="L258" s="34" t="s">
        <v>1444</v>
      </c>
      <c r="M258" s="34" t="s">
        <v>1445</v>
      </c>
      <c r="N258" s="34" t="s">
        <v>717</v>
      </c>
      <c r="O258" s="34" t="s">
        <v>717</v>
      </c>
      <c r="P258" s="34" t="s">
        <v>1486</v>
      </c>
      <c r="Q258" s="34" t="s">
        <v>1486</v>
      </c>
      <c r="R258" s="34" t="s">
        <v>1487</v>
      </c>
      <c r="S258" s="34" t="s">
        <v>1487</v>
      </c>
      <c r="T258" s="34" t="s">
        <v>751</v>
      </c>
      <c r="U258" s="34" t="s">
        <v>751</v>
      </c>
      <c r="V258" s="37">
        <v>13.14</v>
      </c>
      <c r="W258" s="45">
        <v>2932.96</v>
      </c>
      <c r="X258" s="37">
        <v>22220.85</v>
      </c>
      <c r="Y258" s="36">
        <v>43864</v>
      </c>
      <c r="Z258" s="34" t="s">
        <v>1448</v>
      </c>
    </row>
    <row r="259" spans="1:26" x14ac:dyDescent="0.25">
      <c r="A259" s="34" t="s">
        <v>1441</v>
      </c>
      <c r="B259" s="34" t="s">
        <v>1442</v>
      </c>
      <c r="C259" s="34" t="s">
        <v>16</v>
      </c>
      <c r="D259" s="34" t="s">
        <v>15</v>
      </c>
      <c r="E259" s="35">
        <v>30040937</v>
      </c>
      <c r="F259" s="34" t="s">
        <v>751</v>
      </c>
      <c r="G259" s="39">
        <v>10042747</v>
      </c>
      <c r="H259" s="42">
        <v>30040937</v>
      </c>
      <c r="I259" s="34" t="s">
        <v>284</v>
      </c>
      <c r="J259" s="34" t="s">
        <v>1443</v>
      </c>
      <c r="K259" s="36">
        <v>40455</v>
      </c>
      <c r="L259" s="34" t="s">
        <v>1444</v>
      </c>
      <c r="M259" s="34" t="s">
        <v>1445</v>
      </c>
      <c r="N259" s="34" t="s">
        <v>717</v>
      </c>
      <c r="O259" s="34" t="s">
        <v>717</v>
      </c>
      <c r="P259" s="34" t="s">
        <v>1456</v>
      </c>
      <c r="Q259" s="34" t="s">
        <v>1456</v>
      </c>
      <c r="R259" s="34" t="s">
        <v>1457</v>
      </c>
      <c r="S259" s="34" t="s">
        <v>1457</v>
      </c>
      <c r="T259" s="34" t="s">
        <v>751</v>
      </c>
      <c r="U259" s="34" t="s">
        <v>751</v>
      </c>
      <c r="V259" s="37">
        <v>15</v>
      </c>
      <c r="W259" s="45">
        <v>3348.13</v>
      </c>
      <c r="X259" s="37">
        <v>22220.87</v>
      </c>
      <c r="Y259" s="36">
        <v>43864</v>
      </c>
      <c r="Z259" s="34" t="s">
        <v>1448</v>
      </c>
    </row>
    <row r="260" spans="1:26" x14ac:dyDescent="0.25">
      <c r="A260" s="34" t="s">
        <v>1441</v>
      </c>
      <c r="B260" s="34" t="s">
        <v>1442</v>
      </c>
      <c r="C260" s="34" t="s">
        <v>16</v>
      </c>
      <c r="D260" s="34" t="s">
        <v>15</v>
      </c>
      <c r="E260" s="35">
        <v>30040938</v>
      </c>
      <c r="F260" s="34" t="s">
        <v>751</v>
      </c>
      <c r="G260" s="39">
        <v>10043020</v>
      </c>
      <c r="H260" s="42">
        <v>30040938</v>
      </c>
      <c r="I260" s="34" t="s">
        <v>285</v>
      </c>
      <c r="J260" s="34" t="s">
        <v>1443</v>
      </c>
      <c r="K260" s="36">
        <v>40504</v>
      </c>
      <c r="L260" s="34" t="s">
        <v>1444</v>
      </c>
      <c r="M260" s="34" t="s">
        <v>1445</v>
      </c>
      <c r="N260" s="34" t="s">
        <v>717</v>
      </c>
      <c r="O260" s="34" t="s">
        <v>717</v>
      </c>
      <c r="P260" s="34" t="s">
        <v>1446</v>
      </c>
      <c r="Q260" s="34" t="s">
        <v>1446</v>
      </c>
      <c r="R260" s="34" t="s">
        <v>1451</v>
      </c>
      <c r="S260" s="34" t="s">
        <v>1451</v>
      </c>
      <c r="T260" s="34" t="s">
        <v>751</v>
      </c>
      <c r="U260" s="34" t="s">
        <v>751</v>
      </c>
      <c r="V260" s="37">
        <v>17.73</v>
      </c>
      <c r="W260" s="45">
        <v>3957.48</v>
      </c>
      <c r="X260" s="37">
        <v>22220.81</v>
      </c>
      <c r="Y260" s="36">
        <v>43864</v>
      </c>
      <c r="Z260" s="34" t="s">
        <v>1448</v>
      </c>
    </row>
    <row r="261" spans="1:26" x14ac:dyDescent="0.25">
      <c r="A261" s="34" t="s">
        <v>1441</v>
      </c>
      <c r="B261" s="34" t="s">
        <v>1442</v>
      </c>
      <c r="C261" s="34" t="s">
        <v>6</v>
      </c>
      <c r="D261" s="34" t="s">
        <v>15</v>
      </c>
      <c r="E261" s="35">
        <v>30040939</v>
      </c>
      <c r="F261" s="34" t="s">
        <v>767</v>
      </c>
      <c r="G261" s="39">
        <v>10043076</v>
      </c>
      <c r="H261" s="42">
        <v>30040939</v>
      </c>
      <c r="I261" s="34" t="s">
        <v>286</v>
      </c>
      <c r="J261" s="34" t="s">
        <v>1443</v>
      </c>
      <c r="K261" s="36">
        <v>40518</v>
      </c>
      <c r="L261" s="34" t="s">
        <v>1444</v>
      </c>
      <c r="M261" s="34" t="s">
        <v>1445</v>
      </c>
      <c r="N261" s="34" t="s">
        <v>717</v>
      </c>
      <c r="O261" s="34" t="s">
        <v>717</v>
      </c>
      <c r="P261" s="34" t="s">
        <v>1479</v>
      </c>
      <c r="Q261" s="34" t="s">
        <v>1479</v>
      </c>
      <c r="R261" s="34" t="s">
        <v>1480</v>
      </c>
      <c r="S261" s="34" t="s">
        <v>1480</v>
      </c>
      <c r="T261" s="34" t="s">
        <v>767</v>
      </c>
      <c r="U261" s="34" t="s">
        <v>767</v>
      </c>
      <c r="V261" s="37">
        <v>11.71</v>
      </c>
      <c r="W261" s="45">
        <v>2613.77</v>
      </c>
      <c r="X261" s="37">
        <v>22220.84</v>
      </c>
      <c r="Y261" s="36">
        <v>43864</v>
      </c>
      <c r="Z261" s="34" t="s">
        <v>1448</v>
      </c>
    </row>
    <row r="262" spans="1:26" x14ac:dyDescent="0.25">
      <c r="A262" s="34" t="s">
        <v>1441</v>
      </c>
      <c r="B262" s="34" t="s">
        <v>1442</v>
      </c>
      <c r="C262" s="34" t="s">
        <v>6</v>
      </c>
      <c r="D262" s="34" t="s">
        <v>15</v>
      </c>
      <c r="E262" s="35">
        <v>30040940</v>
      </c>
      <c r="F262" s="34" t="s">
        <v>764</v>
      </c>
      <c r="G262" s="39">
        <v>10043191</v>
      </c>
      <c r="H262" s="42">
        <v>30040940</v>
      </c>
      <c r="I262" s="34" t="s">
        <v>287</v>
      </c>
      <c r="J262" s="34" t="s">
        <v>1443</v>
      </c>
      <c r="K262" s="36">
        <v>40532</v>
      </c>
      <c r="L262" s="34" t="s">
        <v>1444</v>
      </c>
      <c r="M262" s="34" t="s">
        <v>1445</v>
      </c>
      <c r="N262" s="34" t="s">
        <v>717</v>
      </c>
      <c r="O262" s="34" t="s">
        <v>717</v>
      </c>
      <c r="P262" s="34" t="s">
        <v>1495</v>
      </c>
      <c r="Q262" s="34" t="s">
        <v>1495</v>
      </c>
      <c r="R262" s="34" t="s">
        <v>1496</v>
      </c>
      <c r="S262" s="34" t="s">
        <v>1496</v>
      </c>
      <c r="T262" s="34" t="s">
        <v>764</v>
      </c>
      <c r="U262" s="34" t="s">
        <v>764</v>
      </c>
      <c r="V262" s="37">
        <v>23.45</v>
      </c>
      <c r="W262" s="45">
        <v>5234.24</v>
      </c>
      <c r="X262" s="37">
        <v>22220.85</v>
      </c>
      <c r="Y262" s="36">
        <v>43864</v>
      </c>
      <c r="Z262" s="34" t="s">
        <v>1448</v>
      </c>
    </row>
    <row r="263" spans="1:26" x14ac:dyDescent="0.25">
      <c r="A263" s="34" t="s">
        <v>1441</v>
      </c>
      <c r="B263" s="34" t="s">
        <v>1442</v>
      </c>
      <c r="C263" s="34" t="s">
        <v>16</v>
      </c>
      <c r="D263" s="34" t="s">
        <v>15</v>
      </c>
      <c r="E263" s="35">
        <v>30040941</v>
      </c>
      <c r="F263" s="34" t="s">
        <v>768</v>
      </c>
      <c r="G263" s="39">
        <v>10043249</v>
      </c>
      <c r="H263" s="42">
        <v>30040941</v>
      </c>
      <c r="I263" s="34" t="s">
        <v>288</v>
      </c>
      <c r="J263" s="34" t="s">
        <v>1443</v>
      </c>
      <c r="K263" s="36">
        <v>40548</v>
      </c>
      <c r="L263" s="34" t="s">
        <v>1444</v>
      </c>
      <c r="M263" s="34" t="s">
        <v>1445</v>
      </c>
      <c r="N263" s="34" t="s">
        <v>717</v>
      </c>
      <c r="O263" s="34" t="s">
        <v>717</v>
      </c>
      <c r="P263" s="34" t="s">
        <v>1490</v>
      </c>
      <c r="Q263" s="34" t="s">
        <v>1490</v>
      </c>
      <c r="R263" s="34" t="s">
        <v>1491</v>
      </c>
      <c r="S263" s="34" t="s">
        <v>1491</v>
      </c>
      <c r="T263" s="34" t="s">
        <v>768</v>
      </c>
      <c r="U263" s="34" t="s">
        <v>768</v>
      </c>
      <c r="V263" s="37">
        <v>12.83</v>
      </c>
      <c r="W263" s="45">
        <v>2863.76</v>
      </c>
      <c r="X263" s="37">
        <v>22220.81</v>
      </c>
      <c r="Y263" s="36">
        <v>43864</v>
      </c>
      <c r="Z263" s="34" t="s">
        <v>1448</v>
      </c>
    </row>
    <row r="264" spans="1:26" x14ac:dyDescent="0.25">
      <c r="A264" s="34" t="s">
        <v>1441</v>
      </c>
      <c r="B264" s="34" t="s">
        <v>1442</v>
      </c>
      <c r="C264" s="34" t="s">
        <v>16</v>
      </c>
      <c r="D264" s="34" t="s">
        <v>15</v>
      </c>
      <c r="E264" s="35">
        <v>30040942</v>
      </c>
      <c r="F264" s="34" t="s">
        <v>759</v>
      </c>
      <c r="G264" s="39">
        <v>10043327</v>
      </c>
      <c r="H264" s="42">
        <v>30040942</v>
      </c>
      <c r="I264" s="34" t="s">
        <v>289</v>
      </c>
      <c r="J264" s="34" t="s">
        <v>1443</v>
      </c>
      <c r="K264" s="36">
        <v>40555</v>
      </c>
      <c r="L264" s="34" t="s">
        <v>1444</v>
      </c>
      <c r="M264" s="34" t="s">
        <v>1445</v>
      </c>
      <c r="N264" s="34" t="s">
        <v>717</v>
      </c>
      <c r="O264" s="34" t="s">
        <v>717</v>
      </c>
      <c r="P264" s="34" t="s">
        <v>1466</v>
      </c>
      <c r="Q264" s="34" t="s">
        <v>1466</v>
      </c>
      <c r="R264" s="34" t="s">
        <v>1467</v>
      </c>
      <c r="S264" s="34" t="s">
        <v>1467</v>
      </c>
      <c r="T264" s="34" t="s">
        <v>759</v>
      </c>
      <c r="U264" s="34" t="s">
        <v>759</v>
      </c>
      <c r="V264" s="37">
        <v>14.04</v>
      </c>
      <c r="W264" s="45">
        <v>3133.85</v>
      </c>
      <c r="X264" s="37">
        <v>22220.87</v>
      </c>
      <c r="Y264" s="36">
        <v>43864</v>
      </c>
      <c r="Z264" s="34" t="s">
        <v>1448</v>
      </c>
    </row>
    <row r="265" spans="1:26" x14ac:dyDescent="0.25">
      <c r="A265" s="34" t="s">
        <v>1441</v>
      </c>
      <c r="B265" s="34" t="s">
        <v>1442</v>
      </c>
      <c r="C265" s="34" t="s">
        <v>6</v>
      </c>
      <c r="D265" s="34" t="s">
        <v>15</v>
      </c>
      <c r="E265" s="35">
        <v>30040943</v>
      </c>
      <c r="F265" s="34" t="s">
        <v>764</v>
      </c>
      <c r="G265" s="39">
        <v>10043434</v>
      </c>
      <c r="H265" s="42">
        <v>30040943</v>
      </c>
      <c r="I265" s="34" t="s">
        <v>290</v>
      </c>
      <c r="J265" s="34" t="s">
        <v>1443</v>
      </c>
      <c r="K265" s="36">
        <v>40562</v>
      </c>
      <c r="L265" s="34" t="s">
        <v>1444</v>
      </c>
      <c r="M265" s="34" t="s">
        <v>1445</v>
      </c>
      <c r="N265" s="34" t="s">
        <v>717</v>
      </c>
      <c r="O265" s="34" t="s">
        <v>717</v>
      </c>
      <c r="P265" s="34" t="s">
        <v>1495</v>
      </c>
      <c r="Q265" s="34" t="s">
        <v>1495</v>
      </c>
      <c r="R265" s="34" t="s">
        <v>1496</v>
      </c>
      <c r="S265" s="34" t="s">
        <v>1496</v>
      </c>
      <c r="T265" s="34" t="s">
        <v>764</v>
      </c>
      <c r="U265" s="34" t="s">
        <v>764</v>
      </c>
      <c r="V265" s="37">
        <v>22.11</v>
      </c>
      <c r="W265" s="45">
        <v>4935.1400000000003</v>
      </c>
      <c r="X265" s="37">
        <v>22220.85</v>
      </c>
      <c r="Y265" s="36">
        <v>43864</v>
      </c>
      <c r="Z265" s="34" t="s">
        <v>1448</v>
      </c>
    </row>
    <row r="266" spans="1:26" x14ac:dyDescent="0.25">
      <c r="A266" s="34" t="s">
        <v>1441</v>
      </c>
      <c r="B266" s="34" t="s">
        <v>1442</v>
      </c>
      <c r="C266" s="34" t="s">
        <v>16</v>
      </c>
      <c r="D266" s="34" t="s">
        <v>15</v>
      </c>
      <c r="E266" s="35">
        <v>30040944</v>
      </c>
      <c r="F266" s="34" t="s">
        <v>19</v>
      </c>
      <c r="G266" s="39">
        <v>10043436</v>
      </c>
      <c r="H266" s="42">
        <v>30040944</v>
      </c>
      <c r="I266" s="34" t="s">
        <v>291</v>
      </c>
      <c r="J266" s="34" t="s">
        <v>1443</v>
      </c>
      <c r="K266" s="36">
        <v>40562</v>
      </c>
      <c r="L266" s="34" t="s">
        <v>1444</v>
      </c>
      <c r="M266" s="34" t="s">
        <v>1445</v>
      </c>
      <c r="N266" s="34" t="s">
        <v>717</v>
      </c>
      <c r="O266" s="34" t="s">
        <v>717</v>
      </c>
      <c r="P266" s="34" t="s">
        <v>1466</v>
      </c>
      <c r="Q266" s="34" t="s">
        <v>1466</v>
      </c>
      <c r="R266" s="34" t="s">
        <v>1467</v>
      </c>
      <c r="S266" s="34" t="s">
        <v>1467</v>
      </c>
      <c r="T266" s="34" t="s">
        <v>19</v>
      </c>
      <c r="U266" s="34" t="s">
        <v>19</v>
      </c>
      <c r="V266" s="37">
        <v>10.26</v>
      </c>
      <c r="W266" s="45">
        <v>2290.12</v>
      </c>
      <c r="X266" s="37">
        <v>22220.86</v>
      </c>
      <c r="Y266" s="36">
        <v>43864</v>
      </c>
      <c r="Z266" s="34" t="s">
        <v>1448</v>
      </c>
    </row>
    <row r="267" spans="1:26" x14ac:dyDescent="0.25">
      <c r="A267" s="34" t="s">
        <v>1441</v>
      </c>
      <c r="B267" s="34" t="s">
        <v>1442</v>
      </c>
      <c r="C267" s="34" t="s">
        <v>16</v>
      </c>
      <c r="D267" s="34" t="s">
        <v>15</v>
      </c>
      <c r="E267" s="35">
        <v>30040945</v>
      </c>
      <c r="F267" s="34" t="s">
        <v>21</v>
      </c>
      <c r="G267" s="39">
        <v>10043524</v>
      </c>
      <c r="H267" s="42">
        <v>30040945</v>
      </c>
      <c r="I267" s="34" t="s">
        <v>292</v>
      </c>
      <c r="J267" s="34" t="s">
        <v>1443</v>
      </c>
      <c r="K267" s="36">
        <v>40576</v>
      </c>
      <c r="L267" s="34" t="s">
        <v>1444</v>
      </c>
      <c r="M267" s="34" t="s">
        <v>1445</v>
      </c>
      <c r="N267" s="34" t="s">
        <v>717</v>
      </c>
      <c r="O267" s="34" t="s">
        <v>717</v>
      </c>
      <c r="P267" s="34" t="s">
        <v>1462</v>
      </c>
      <c r="Q267" s="34" t="s">
        <v>1462</v>
      </c>
      <c r="R267" s="34" t="s">
        <v>1494</v>
      </c>
      <c r="S267" s="34" t="s">
        <v>1494</v>
      </c>
      <c r="T267" s="34" t="s">
        <v>21</v>
      </c>
      <c r="U267" s="34" t="s">
        <v>21</v>
      </c>
      <c r="V267" s="37">
        <v>11.71</v>
      </c>
      <c r="W267" s="45">
        <v>2613.77</v>
      </c>
      <c r="X267" s="37">
        <v>22220.84</v>
      </c>
      <c r="Y267" s="36">
        <v>43864</v>
      </c>
      <c r="Z267" s="34" t="s">
        <v>1448</v>
      </c>
    </row>
    <row r="268" spans="1:26" x14ac:dyDescent="0.25">
      <c r="A268" s="34" t="s">
        <v>1441</v>
      </c>
      <c r="B268" s="34" t="s">
        <v>1442</v>
      </c>
      <c r="C268" s="34" t="s">
        <v>16</v>
      </c>
      <c r="D268" s="34" t="s">
        <v>15</v>
      </c>
      <c r="E268" s="35">
        <v>30040946</v>
      </c>
      <c r="F268" s="34" t="s">
        <v>765</v>
      </c>
      <c r="G268" s="39">
        <v>10043533</v>
      </c>
      <c r="H268" s="42">
        <v>30040946</v>
      </c>
      <c r="I268" s="34" t="s">
        <v>293</v>
      </c>
      <c r="J268" s="34" t="s">
        <v>1443</v>
      </c>
      <c r="K268" s="36">
        <v>40576</v>
      </c>
      <c r="L268" s="34" t="s">
        <v>1444</v>
      </c>
      <c r="M268" s="34" t="s">
        <v>1445</v>
      </c>
      <c r="N268" s="34" t="s">
        <v>717</v>
      </c>
      <c r="O268" s="34" t="s">
        <v>717</v>
      </c>
      <c r="P268" s="34" t="s">
        <v>1499</v>
      </c>
      <c r="Q268" s="34" t="s">
        <v>1499</v>
      </c>
      <c r="R268" s="34" t="s">
        <v>1500</v>
      </c>
      <c r="S268" s="34" t="s">
        <v>1500</v>
      </c>
      <c r="T268" s="34" t="s">
        <v>765</v>
      </c>
      <c r="U268" s="34" t="s">
        <v>765</v>
      </c>
      <c r="V268" s="37">
        <v>8.59</v>
      </c>
      <c r="W268" s="45">
        <v>1917.36</v>
      </c>
      <c r="X268" s="37">
        <v>22220.84</v>
      </c>
      <c r="Y268" s="36">
        <v>43864</v>
      </c>
      <c r="Z268" s="34" t="s">
        <v>1448</v>
      </c>
    </row>
    <row r="269" spans="1:26" x14ac:dyDescent="0.25">
      <c r="A269" s="34" t="s">
        <v>1441</v>
      </c>
      <c r="B269" s="34" t="s">
        <v>1442</v>
      </c>
      <c r="C269" s="34" t="s">
        <v>16</v>
      </c>
      <c r="D269" s="34" t="s">
        <v>15</v>
      </c>
      <c r="E269" s="35">
        <v>30040947</v>
      </c>
      <c r="F269" s="34" t="s">
        <v>755</v>
      </c>
      <c r="G269" s="39">
        <v>10043616</v>
      </c>
      <c r="H269" s="42">
        <v>30040947</v>
      </c>
      <c r="I269" s="34" t="s">
        <v>294</v>
      </c>
      <c r="J269" s="34" t="s">
        <v>1443</v>
      </c>
      <c r="K269" s="36">
        <v>40583</v>
      </c>
      <c r="L269" s="34" t="s">
        <v>1444</v>
      </c>
      <c r="M269" s="34" t="s">
        <v>1445</v>
      </c>
      <c r="N269" s="34" t="s">
        <v>717</v>
      </c>
      <c r="O269" s="34" t="s">
        <v>717</v>
      </c>
      <c r="P269" s="34" t="s">
        <v>1468</v>
      </c>
      <c r="Q269" s="34" t="s">
        <v>1468</v>
      </c>
      <c r="R269" s="34" t="s">
        <v>1469</v>
      </c>
      <c r="S269" s="34" t="s">
        <v>1469</v>
      </c>
      <c r="T269" s="34" t="s">
        <v>755</v>
      </c>
      <c r="U269" s="34" t="s">
        <v>755</v>
      </c>
      <c r="V269" s="37">
        <v>11.43</v>
      </c>
      <c r="W269" s="45">
        <v>2551.27</v>
      </c>
      <c r="X269" s="37">
        <v>22220.82</v>
      </c>
      <c r="Y269" s="36">
        <v>43864</v>
      </c>
      <c r="Z269" s="34" t="s">
        <v>1448</v>
      </c>
    </row>
    <row r="270" spans="1:26" x14ac:dyDescent="0.25">
      <c r="A270" s="34" t="s">
        <v>1441</v>
      </c>
      <c r="B270" s="34" t="s">
        <v>1442</v>
      </c>
      <c r="C270" s="34" t="s">
        <v>16</v>
      </c>
      <c r="D270" s="34" t="s">
        <v>15</v>
      </c>
      <c r="E270" s="35">
        <v>30040948</v>
      </c>
      <c r="F270" s="34" t="s">
        <v>21</v>
      </c>
      <c r="G270" s="39">
        <v>10043700</v>
      </c>
      <c r="H270" s="42">
        <v>30040948</v>
      </c>
      <c r="I270" s="34" t="s">
        <v>295</v>
      </c>
      <c r="J270" s="34" t="s">
        <v>1443</v>
      </c>
      <c r="K270" s="36">
        <v>40590</v>
      </c>
      <c r="L270" s="34" t="s">
        <v>1444</v>
      </c>
      <c r="M270" s="34" t="s">
        <v>1445</v>
      </c>
      <c r="N270" s="34" t="s">
        <v>717</v>
      </c>
      <c r="O270" s="34" t="s">
        <v>717</v>
      </c>
      <c r="P270" s="34" t="s">
        <v>1501</v>
      </c>
      <c r="Q270" s="34" t="s">
        <v>1501</v>
      </c>
      <c r="R270" s="34" t="s">
        <v>1502</v>
      </c>
      <c r="S270" s="34" t="s">
        <v>1502</v>
      </c>
      <c r="T270" s="34" t="s">
        <v>21</v>
      </c>
      <c r="U270" s="34" t="s">
        <v>21</v>
      </c>
      <c r="V270" s="37">
        <v>11.71</v>
      </c>
      <c r="W270" s="45">
        <v>2613.77</v>
      </c>
      <c r="X270" s="37">
        <v>22220.84</v>
      </c>
      <c r="Y270" s="36">
        <v>43864</v>
      </c>
      <c r="Z270" s="34" t="s">
        <v>1448</v>
      </c>
    </row>
    <row r="271" spans="1:26" x14ac:dyDescent="0.25">
      <c r="A271" s="34" t="s">
        <v>1441</v>
      </c>
      <c r="B271" s="34" t="s">
        <v>1442</v>
      </c>
      <c r="C271" s="34" t="s">
        <v>16</v>
      </c>
      <c r="D271" s="34" t="s">
        <v>15</v>
      </c>
      <c r="E271" s="35">
        <v>30040949</v>
      </c>
      <c r="F271" s="34" t="s">
        <v>751</v>
      </c>
      <c r="G271" s="39">
        <v>10043728</v>
      </c>
      <c r="H271" s="42">
        <v>30040949</v>
      </c>
      <c r="I271" s="34" t="s">
        <v>296</v>
      </c>
      <c r="J271" s="34" t="s">
        <v>1443</v>
      </c>
      <c r="K271" s="36">
        <v>40590</v>
      </c>
      <c r="L271" s="34" t="s">
        <v>1444</v>
      </c>
      <c r="M271" s="34" t="s">
        <v>1445</v>
      </c>
      <c r="N271" s="34" t="s">
        <v>717</v>
      </c>
      <c r="O271" s="34" t="s">
        <v>717</v>
      </c>
      <c r="P271" s="34" t="s">
        <v>1446</v>
      </c>
      <c r="Q271" s="34" t="s">
        <v>1446</v>
      </c>
      <c r="R271" s="34" t="s">
        <v>1451</v>
      </c>
      <c r="S271" s="34" t="s">
        <v>1451</v>
      </c>
      <c r="T271" s="34" t="s">
        <v>751</v>
      </c>
      <c r="U271" s="34" t="s">
        <v>751</v>
      </c>
      <c r="V271" s="37">
        <v>15</v>
      </c>
      <c r="W271" s="45">
        <v>3348.13</v>
      </c>
      <c r="X271" s="37">
        <v>22220.87</v>
      </c>
      <c r="Y271" s="36">
        <v>43864</v>
      </c>
      <c r="Z271" s="34" t="s">
        <v>1448</v>
      </c>
    </row>
    <row r="272" spans="1:26" x14ac:dyDescent="0.25">
      <c r="A272" s="34" t="s">
        <v>1441</v>
      </c>
      <c r="B272" s="34" t="s">
        <v>1442</v>
      </c>
      <c r="C272" s="34" t="s">
        <v>16</v>
      </c>
      <c r="D272" s="34" t="s">
        <v>15</v>
      </c>
      <c r="E272" s="35">
        <v>30040950</v>
      </c>
      <c r="F272" s="34" t="s">
        <v>759</v>
      </c>
      <c r="G272" s="39">
        <v>10043729</v>
      </c>
      <c r="H272" s="42">
        <v>30040950</v>
      </c>
      <c r="I272" s="34" t="s">
        <v>297</v>
      </c>
      <c r="J272" s="34" t="s">
        <v>1443</v>
      </c>
      <c r="K272" s="36">
        <v>40590</v>
      </c>
      <c r="L272" s="34" t="s">
        <v>1444</v>
      </c>
      <c r="M272" s="34" t="s">
        <v>1445</v>
      </c>
      <c r="N272" s="34" t="s">
        <v>717</v>
      </c>
      <c r="O272" s="34" t="s">
        <v>717</v>
      </c>
      <c r="P272" s="34" t="s">
        <v>1466</v>
      </c>
      <c r="Q272" s="34" t="s">
        <v>1466</v>
      </c>
      <c r="R272" s="34" t="s">
        <v>1467</v>
      </c>
      <c r="S272" s="34" t="s">
        <v>1467</v>
      </c>
      <c r="T272" s="34" t="s">
        <v>759</v>
      </c>
      <c r="U272" s="34" t="s">
        <v>759</v>
      </c>
      <c r="V272" s="37">
        <v>14.04</v>
      </c>
      <c r="W272" s="45">
        <v>3133.85</v>
      </c>
      <c r="X272" s="37">
        <v>22220.87</v>
      </c>
      <c r="Y272" s="36">
        <v>43864</v>
      </c>
      <c r="Z272" s="34" t="s">
        <v>1448</v>
      </c>
    </row>
    <row r="273" spans="1:26" x14ac:dyDescent="0.25">
      <c r="A273" s="34" t="s">
        <v>1441</v>
      </c>
      <c r="B273" s="34" t="s">
        <v>1442</v>
      </c>
      <c r="C273" s="34" t="s">
        <v>16</v>
      </c>
      <c r="D273" s="34" t="s">
        <v>15</v>
      </c>
      <c r="E273" s="35">
        <v>30040951</v>
      </c>
      <c r="F273" s="34" t="s">
        <v>765</v>
      </c>
      <c r="G273" s="39">
        <v>10043822</v>
      </c>
      <c r="H273" s="42">
        <v>30040951</v>
      </c>
      <c r="I273" s="34" t="s">
        <v>298</v>
      </c>
      <c r="J273" s="34" t="s">
        <v>1443</v>
      </c>
      <c r="K273" s="36">
        <v>40604</v>
      </c>
      <c r="L273" s="34" t="s">
        <v>1444</v>
      </c>
      <c r="M273" s="34" t="s">
        <v>1445</v>
      </c>
      <c r="N273" s="34" t="s">
        <v>717</v>
      </c>
      <c r="O273" s="34" t="s">
        <v>717</v>
      </c>
      <c r="P273" s="34" t="s">
        <v>1490</v>
      </c>
      <c r="Q273" s="34" t="s">
        <v>1490</v>
      </c>
      <c r="R273" s="34" t="s">
        <v>1491</v>
      </c>
      <c r="S273" s="34" t="s">
        <v>1491</v>
      </c>
      <c r="T273" s="34" t="s">
        <v>765</v>
      </c>
      <c r="U273" s="34" t="s">
        <v>765</v>
      </c>
      <c r="V273" s="37">
        <v>8.59</v>
      </c>
      <c r="W273" s="45">
        <v>1917.36</v>
      </c>
      <c r="X273" s="37">
        <v>22220.84</v>
      </c>
      <c r="Y273" s="36">
        <v>43864</v>
      </c>
      <c r="Z273" s="34" t="s">
        <v>1448</v>
      </c>
    </row>
    <row r="274" spans="1:26" x14ac:dyDescent="0.25">
      <c r="A274" s="34" t="s">
        <v>1441</v>
      </c>
      <c r="B274" s="34" t="s">
        <v>1442</v>
      </c>
      <c r="C274" s="34" t="s">
        <v>16</v>
      </c>
      <c r="D274" s="34" t="s">
        <v>15</v>
      </c>
      <c r="E274" s="35">
        <v>30040952</v>
      </c>
      <c r="F274" s="34" t="s">
        <v>755</v>
      </c>
      <c r="G274" s="39">
        <v>10044166</v>
      </c>
      <c r="H274" s="42">
        <v>30040952</v>
      </c>
      <c r="I274" s="34" t="s">
        <v>299</v>
      </c>
      <c r="J274" s="34" t="s">
        <v>1443</v>
      </c>
      <c r="K274" s="36">
        <v>40644</v>
      </c>
      <c r="L274" s="34" t="s">
        <v>1444</v>
      </c>
      <c r="M274" s="34" t="s">
        <v>1445</v>
      </c>
      <c r="N274" s="34" t="s">
        <v>717</v>
      </c>
      <c r="O274" s="34" t="s">
        <v>717</v>
      </c>
      <c r="P274" s="34" t="s">
        <v>1468</v>
      </c>
      <c r="Q274" s="34" t="s">
        <v>1468</v>
      </c>
      <c r="R274" s="34" t="s">
        <v>1469</v>
      </c>
      <c r="S274" s="34" t="s">
        <v>1469</v>
      </c>
      <c r="T274" s="34" t="s">
        <v>755</v>
      </c>
      <c r="U274" s="34" t="s">
        <v>755</v>
      </c>
      <c r="V274" s="37">
        <v>10.02</v>
      </c>
      <c r="W274" s="45">
        <v>2236.5500000000002</v>
      </c>
      <c r="X274" s="37">
        <v>22220.86</v>
      </c>
      <c r="Y274" s="36">
        <v>43864</v>
      </c>
      <c r="Z274" s="34" t="s">
        <v>1448</v>
      </c>
    </row>
    <row r="275" spans="1:26" x14ac:dyDescent="0.25">
      <c r="A275" s="34" t="s">
        <v>1441</v>
      </c>
      <c r="B275" s="34" t="s">
        <v>1442</v>
      </c>
      <c r="C275" s="34" t="s">
        <v>16</v>
      </c>
      <c r="D275" s="34" t="s">
        <v>15</v>
      </c>
      <c r="E275" s="35">
        <v>30040953</v>
      </c>
      <c r="F275" s="34" t="s">
        <v>751</v>
      </c>
      <c r="G275" s="39">
        <v>10044322</v>
      </c>
      <c r="H275" s="42">
        <v>30040953</v>
      </c>
      <c r="I275" s="34" t="s">
        <v>300</v>
      </c>
      <c r="J275" s="34" t="s">
        <v>1443</v>
      </c>
      <c r="K275" s="36">
        <v>40665</v>
      </c>
      <c r="L275" s="34" t="s">
        <v>1444</v>
      </c>
      <c r="M275" s="34" t="s">
        <v>1445</v>
      </c>
      <c r="N275" s="34" t="s">
        <v>717</v>
      </c>
      <c r="O275" s="34" t="s">
        <v>717</v>
      </c>
      <c r="P275" s="34" t="s">
        <v>1456</v>
      </c>
      <c r="Q275" s="34" t="s">
        <v>1456</v>
      </c>
      <c r="R275" s="34" t="s">
        <v>1457</v>
      </c>
      <c r="S275" s="34" t="s">
        <v>1457</v>
      </c>
      <c r="T275" s="34" t="s">
        <v>751</v>
      </c>
      <c r="U275" s="34" t="s">
        <v>751</v>
      </c>
      <c r="V275" s="37">
        <v>15</v>
      </c>
      <c r="W275" s="45">
        <v>3348.13</v>
      </c>
      <c r="X275" s="37">
        <v>22220.87</v>
      </c>
      <c r="Y275" s="36">
        <v>43864</v>
      </c>
      <c r="Z275" s="34" t="s">
        <v>1448</v>
      </c>
    </row>
    <row r="276" spans="1:26" x14ac:dyDescent="0.25">
      <c r="A276" s="34" t="s">
        <v>1441</v>
      </c>
      <c r="B276" s="34" t="s">
        <v>1442</v>
      </c>
      <c r="C276" s="34" t="s">
        <v>16</v>
      </c>
      <c r="D276" s="34" t="s">
        <v>15</v>
      </c>
      <c r="E276" s="35">
        <v>30041333</v>
      </c>
      <c r="F276" s="34" t="s">
        <v>761</v>
      </c>
      <c r="G276" s="39">
        <v>10044323</v>
      </c>
      <c r="H276" s="42">
        <v>30041333</v>
      </c>
      <c r="I276" s="34" t="s">
        <v>301</v>
      </c>
      <c r="J276" s="34" t="s">
        <v>1443</v>
      </c>
      <c r="K276" s="36">
        <v>40665</v>
      </c>
      <c r="L276" s="34" t="s">
        <v>1444</v>
      </c>
      <c r="M276" s="34" t="s">
        <v>1445</v>
      </c>
      <c r="N276" s="34" t="s">
        <v>717</v>
      </c>
      <c r="O276" s="34" t="s">
        <v>717</v>
      </c>
      <c r="P276" s="34" t="s">
        <v>1474</v>
      </c>
      <c r="Q276" s="34" t="s">
        <v>1474</v>
      </c>
      <c r="R276" s="34" t="s">
        <v>1485</v>
      </c>
      <c r="S276" s="34" t="s">
        <v>1485</v>
      </c>
      <c r="T276" s="34" t="s">
        <v>761</v>
      </c>
      <c r="U276" s="34" t="s">
        <v>761</v>
      </c>
      <c r="V276" s="37">
        <v>11.71</v>
      </c>
      <c r="W276" s="45">
        <v>2138.54</v>
      </c>
      <c r="X276" s="37">
        <v>18162.509999999998</v>
      </c>
      <c r="Y276" s="36">
        <v>43864</v>
      </c>
      <c r="Z276" s="34" t="s">
        <v>1448</v>
      </c>
    </row>
    <row r="277" spans="1:26" x14ac:dyDescent="0.25">
      <c r="A277" s="34" t="s">
        <v>1441</v>
      </c>
      <c r="B277" s="34" t="s">
        <v>1442</v>
      </c>
      <c r="C277" s="34" t="s">
        <v>16</v>
      </c>
      <c r="D277" s="34" t="s">
        <v>15</v>
      </c>
      <c r="E277" s="35">
        <v>30040955</v>
      </c>
      <c r="F277" s="34" t="s">
        <v>759</v>
      </c>
      <c r="G277" s="39">
        <v>10044359</v>
      </c>
      <c r="H277" s="42">
        <v>30040955</v>
      </c>
      <c r="I277" s="34" t="s">
        <v>302</v>
      </c>
      <c r="J277" s="34" t="s">
        <v>1443</v>
      </c>
      <c r="K277" s="36">
        <v>40672</v>
      </c>
      <c r="L277" s="34" t="s">
        <v>1444</v>
      </c>
      <c r="M277" s="34" t="s">
        <v>1445</v>
      </c>
      <c r="N277" s="34" t="s">
        <v>717</v>
      </c>
      <c r="O277" s="34" t="s">
        <v>717</v>
      </c>
      <c r="P277" s="34" t="s">
        <v>1476</v>
      </c>
      <c r="Q277" s="34" t="s">
        <v>1476</v>
      </c>
      <c r="R277" s="34" t="s">
        <v>1477</v>
      </c>
      <c r="S277" s="34" t="s">
        <v>1477</v>
      </c>
      <c r="T277" s="34" t="s">
        <v>759</v>
      </c>
      <c r="U277" s="34" t="s">
        <v>759</v>
      </c>
      <c r="V277" s="37">
        <v>14.04</v>
      </c>
      <c r="W277" s="45">
        <v>3133.85</v>
      </c>
      <c r="X277" s="37">
        <v>22220.87</v>
      </c>
      <c r="Y277" s="36">
        <v>43864</v>
      </c>
      <c r="Z277" s="34" t="s">
        <v>1448</v>
      </c>
    </row>
    <row r="278" spans="1:26" x14ac:dyDescent="0.25">
      <c r="A278" s="34" t="s">
        <v>1441</v>
      </c>
      <c r="B278" s="34" t="s">
        <v>1442</v>
      </c>
      <c r="C278" s="34" t="s">
        <v>16</v>
      </c>
      <c r="D278" s="34" t="s">
        <v>15</v>
      </c>
      <c r="E278" s="35">
        <v>30040956</v>
      </c>
      <c r="F278" s="34" t="s">
        <v>759</v>
      </c>
      <c r="G278" s="39">
        <v>10044360</v>
      </c>
      <c r="H278" s="42">
        <v>30040956</v>
      </c>
      <c r="I278" s="34" t="s">
        <v>303</v>
      </c>
      <c r="J278" s="34" t="s">
        <v>1443</v>
      </c>
      <c r="K278" s="36">
        <v>40672</v>
      </c>
      <c r="L278" s="34" t="s">
        <v>1444</v>
      </c>
      <c r="M278" s="34" t="s">
        <v>1445</v>
      </c>
      <c r="N278" s="34" t="s">
        <v>717</v>
      </c>
      <c r="O278" s="34" t="s">
        <v>717</v>
      </c>
      <c r="P278" s="34" t="s">
        <v>1466</v>
      </c>
      <c r="Q278" s="34" t="s">
        <v>1466</v>
      </c>
      <c r="R278" s="34" t="s">
        <v>1467</v>
      </c>
      <c r="S278" s="34" t="s">
        <v>1467</v>
      </c>
      <c r="T278" s="34" t="s">
        <v>759</v>
      </c>
      <c r="U278" s="34" t="s">
        <v>759</v>
      </c>
      <c r="V278" s="37">
        <v>14.04</v>
      </c>
      <c r="W278" s="45">
        <v>3133.85</v>
      </c>
      <c r="X278" s="37">
        <v>22220.87</v>
      </c>
      <c r="Y278" s="36">
        <v>43864</v>
      </c>
      <c r="Z278" s="34" t="s">
        <v>1448</v>
      </c>
    </row>
    <row r="279" spans="1:26" x14ac:dyDescent="0.25">
      <c r="A279" s="34" t="s">
        <v>1441</v>
      </c>
      <c r="B279" s="34" t="s">
        <v>1442</v>
      </c>
      <c r="C279" s="34" t="s">
        <v>16</v>
      </c>
      <c r="D279" s="34" t="s">
        <v>15</v>
      </c>
      <c r="E279" s="35">
        <v>30040957</v>
      </c>
      <c r="F279" s="34" t="s">
        <v>765</v>
      </c>
      <c r="G279" s="39">
        <v>10044456</v>
      </c>
      <c r="H279" s="42">
        <v>30040957</v>
      </c>
      <c r="I279" s="34" t="s">
        <v>304</v>
      </c>
      <c r="J279" s="34" t="s">
        <v>1443</v>
      </c>
      <c r="K279" s="36">
        <v>40681</v>
      </c>
      <c r="L279" s="34" t="s">
        <v>1444</v>
      </c>
      <c r="M279" s="34" t="s">
        <v>1445</v>
      </c>
      <c r="N279" s="34" t="s">
        <v>717</v>
      </c>
      <c r="O279" s="34" t="s">
        <v>717</v>
      </c>
      <c r="P279" s="34" t="s">
        <v>1490</v>
      </c>
      <c r="Q279" s="34" t="s">
        <v>1490</v>
      </c>
      <c r="R279" s="34" t="s">
        <v>1491</v>
      </c>
      <c r="S279" s="34" t="s">
        <v>1491</v>
      </c>
      <c r="T279" s="34" t="s">
        <v>765</v>
      </c>
      <c r="U279" s="34" t="s">
        <v>765</v>
      </c>
      <c r="V279" s="37">
        <v>8.59</v>
      </c>
      <c r="W279" s="45">
        <v>1917.36</v>
      </c>
      <c r="X279" s="37">
        <v>22220.84</v>
      </c>
      <c r="Y279" s="36">
        <v>43864</v>
      </c>
      <c r="Z279" s="34" t="s">
        <v>1448</v>
      </c>
    </row>
    <row r="280" spans="1:26" x14ac:dyDescent="0.25">
      <c r="A280" s="34" t="s">
        <v>1441</v>
      </c>
      <c r="B280" s="34" t="s">
        <v>1442</v>
      </c>
      <c r="C280" s="34" t="s">
        <v>16</v>
      </c>
      <c r="D280" s="34" t="s">
        <v>15</v>
      </c>
      <c r="E280" s="35">
        <v>30040958</v>
      </c>
      <c r="F280" s="34" t="s">
        <v>755</v>
      </c>
      <c r="G280" s="39">
        <v>10044601</v>
      </c>
      <c r="H280" s="42">
        <v>30040958</v>
      </c>
      <c r="I280" s="34" t="s">
        <v>305</v>
      </c>
      <c r="J280" s="34" t="s">
        <v>1443</v>
      </c>
      <c r="K280" s="36">
        <v>40700</v>
      </c>
      <c r="L280" s="34" t="s">
        <v>1444</v>
      </c>
      <c r="M280" s="34" t="s">
        <v>1445</v>
      </c>
      <c r="N280" s="34" t="s">
        <v>717</v>
      </c>
      <c r="O280" s="34" t="s">
        <v>717</v>
      </c>
      <c r="P280" s="34" t="s">
        <v>1468</v>
      </c>
      <c r="Q280" s="34" t="s">
        <v>1468</v>
      </c>
      <c r="R280" s="34" t="s">
        <v>1469</v>
      </c>
      <c r="S280" s="34" t="s">
        <v>1469</v>
      </c>
      <c r="T280" s="34" t="s">
        <v>755</v>
      </c>
      <c r="U280" s="34" t="s">
        <v>755</v>
      </c>
      <c r="V280" s="37">
        <v>11.43</v>
      </c>
      <c r="W280" s="45">
        <v>2551.27</v>
      </c>
      <c r="X280" s="37">
        <v>22220.82</v>
      </c>
      <c r="Y280" s="36">
        <v>43864</v>
      </c>
      <c r="Z280" s="34" t="s">
        <v>1448</v>
      </c>
    </row>
    <row r="281" spans="1:26" x14ac:dyDescent="0.25">
      <c r="A281" s="34" t="s">
        <v>1441</v>
      </c>
      <c r="B281" s="34" t="s">
        <v>1442</v>
      </c>
      <c r="C281" s="34" t="s">
        <v>16</v>
      </c>
      <c r="D281" s="34" t="s">
        <v>15</v>
      </c>
      <c r="E281" s="35">
        <v>30040959</v>
      </c>
      <c r="F281" s="34" t="s">
        <v>755</v>
      </c>
      <c r="G281" s="39">
        <v>10044713</v>
      </c>
      <c r="H281" s="42">
        <v>30040959</v>
      </c>
      <c r="I281" s="34" t="s">
        <v>306</v>
      </c>
      <c r="J281" s="34" t="s">
        <v>1443</v>
      </c>
      <c r="K281" s="36">
        <v>40709</v>
      </c>
      <c r="L281" s="34" t="s">
        <v>1444</v>
      </c>
      <c r="M281" s="34" t="s">
        <v>1445</v>
      </c>
      <c r="N281" s="34" t="s">
        <v>717</v>
      </c>
      <c r="O281" s="34" t="s">
        <v>717</v>
      </c>
      <c r="P281" s="34" t="s">
        <v>1468</v>
      </c>
      <c r="Q281" s="34" t="s">
        <v>1468</v>
      </c>
      <c r="R281" s="34" t="s">
        <v>1469</v>
      </c>
      <c r="S281" s="34" t="s">
        <v>1469</v>
      </c>
      <c r="T281" s="34" t="s">
        <v>755</v>
      </c>
      <c r="U281" s="34" t="s">
        <v>755</v>
      </c>
      <c r="V281" s="37">
        <v>11.43</v>
      </c>
      <c r="W281" s="45">
        <v>2551.27</v>
      </c>
      <c r="X281" s="37">
        <v>22220.82</v>
      </c>
      <c r="Y281" s="36">
        <v>43864</v>
      </c>
      <c r="Z281" s="34" t="s">
        <v>1448</v>
      </c>
    </row>
    <row r="282" spans="1:26" x14ac:dyDescent="0.25">
      <c r="A282" s="34" t="s">
        <v>1441</v>
      </c>
      <c r="B282" s="34" t="s">
        <v>1442</v>
      </c>
      <c r="C282" s="34" t="s">
        <v>16</v>
      </c>
      <c r="D282" s="34" t="s">
        <v>15</v>
      </c>
      <c r="E282" s="35">
        <v>30040960</v>
      </c>
      <c r="F282" s="34" t="s">
        <v>751</v>
      </c>
      <c r="G282" s="39">
        <v>10044715</v>
      </c>
      <c r="H282" s="42">
        <v>30040960</v>
      </c>
      <c r="I282" s="34" t="s">
        <v>307</v>
      </c>
      <c r="J282" s="34" t="s">
        <v>1443</v>
      </c>
      <c r="K282" s="36">
        <v>40709</v>
      </c>
      <c r="L282" s="34" t="s">
        <v>1444</v>
      </c>
      <c r="M282" s="34" t="s">
        <v>1445</v>
      </c>
      <c r="N282" s="34" t="s">
        <v>717</v>
      </c>
      <c r="O282" s="34" t="s">
        <v>717</v>
      </c>
      <c r="P282" s="34" t="s">
        <v>1446</v>
      </c>
      <c r="Q282" s="34" t="s">
        <v>1446</v>
      </c>
      <c r="R282" s="34" t="s">
        <v>1447</v>
      </c>
      <c r="S282" s="34" t="s">
        <v>1447</v>
      </c>
      <c r="T282" s="34" t="s">
        <v>751</v>
      </c>
      <c r="U282" s="34" t="s">
        <v>751</v>
      </c>
      <c r="V282" s="37">
        <v>17.73</v>
      </c>
      <c r="W282" s="45">
        <v>3957.48</v>
      </c>
      <c r="X282" s="37">
        <v>22220.81</v>
      </c>
      <c r="Y282" s="36">
        <v>43864</v>
      </c>
      <c r="Z282" s="34" t="s">
        <v>1448</v>
      </c>
    </row>
    <row r="283" spans="1:26" x14ac:dyDescent="0.25">
      <c r="A283" s="34" t="s">
        <v>1441</v>
      </c>
      <c r="B283" s="34" t="s">
        <v>1442</v>
      </c>
      <c r="C283" s="34" t="s">
        <v>16</v>
      </c>
      <c r="D283" s="34" t="s">
        <v>15</v>
      </c>
      <c r="E283" s="35">
        <v>30040961</v>
      </c>
      <c r="F283" s="34" t="s">
        <v>19</v>
      </c>
      <c r="G283" s="39">
        <v>10044785</v>
      </c>
      <c r="H283" s="42">
        <v>30040961</v>
      </c>
      <c r="I283" s="34" t="s">
        <v>308</v>
      </c>
      <c r="J283" s="34" t="s">
        <v>1443</v>
      </c>
      <c r="K283" s="36">
        <v>40728</v>
      </c>
      <c r="L283" s="34" t="s">
        <v>1444</v>
      </c>
      <c r="M283" s="34" t="s">
        <v>1445</v>
      </c>
      <c r="N283" s="34" t="s">
        <v>717</v>
      </c>
      <c r="O283" s="34" t="s">
        <v>717</v>
      </c>
      <c r="P283" s="34" t="s">
        <v>1464</v>
      </c>
      <c r="Q283" s="34" t="s">
        <v>1464</v>
      </c>
      <c r="R283" s="34" t="s">
        <v>1505</v>
      </c>
      <c r="S283" s="34" t="s">
        <v>1505</v>
      </c>
      <c r="T283" s="34" t="s">
        <v>19</v>
      </c>
      <c r="U283" s="34" t="s">
        <v>19</v>
      </c>
      <c r="V283" s="37">
        <v>10.26</v>
      </c>
      <c r="W283" s="45">
        <v>2290.12</v>
      </c>
      <c r="X283" s="37">
        <v>22220.86</v>
      </c>
      <c r="Y283" s="36">
        <v>43864</v>
      </c>
      <c r="Z283" s="34" t="s">
        <v>1448</v>
      </c>
    </row>
    <row r="284" spans="1:26" x14ac:dyDescent="0.25">
      <c r="A284" s="34" t="s">
        <v>1441</v>
      </c>
      <c r="B284" s="34" t="s">
        <v>1442</v>
      </c>
      <c r="C284" s="34" t="s">
        <v>16</v>
      </c>
      <c r="D284" s="34" t="s">
        <v>15</v>
      </c>
      <c r="E284" s="35">
        <v>30040962</v>
      </c>
      <c r="F284" s="34" t="s">
        <v>21</v>
      </c>
      <c r="G284" s="39">
        <v>10045531</v>
      </c>
      <c r="H284" s="42">
        <v>30040962</v>
      </c>
      <c r="I284" s="34" t="s">
        <v>309</v>
      </c>
      <c r="J284" s="34" t="s">
        <v>1443</v>
      </c>
      <c r="K284" s="36">
        <v>40744</v>
      </c>
      <c r="L284" s="34" t="s">
        <v>1444</v>
      </c>
      <c r="M284" s="34" t="s">
        <v>1445</v>
      </c>
      <c r="N284" s="34" t="s">
        <v>717</v>
      </c>
      <c r="O284" s="34" t="s">
        <v>717</v>
      </c>
      <c r="P284" s="34" t="s">
        <v>1462</v>
      </c>
      <c r="Q284" s="34" t="s">
        <v>1462</v>
      </c>
      <c r="R284" s="34" t="s">
        <v>1478</v>
      </c>
      <c r="S284" s="34" t="s">
        <v>1478</v>
      </c>
      <c r="T284" s="34" t="s">
        <v>21</v>
      </c>
      <c r="U284" s="34" t="s">
        <v>21</v>
      </c>
      <c r="V284" s="37">
        <v>11.71</v>
      </c>
      <c r="W284" s="45">
        <v>2613.77</v>
      </c>
      <c r="X284" s="37">
        <v>22220.84</v>
      </c>
      <c r="Y284" s="36">
        <v>43864</v>
      </c>
      <c r="Z284" s="34" t="s">
        <v>1448</v>
      </c>
    </row>
    <row r="285" spans="1:26" x14ac:dyDescent="0.25">
      <c r="A285" s="34" t="s">
        <v>1441</v>
      </c>
      <c r="B285" s="34" t="s">
        <v>1442</v>
      </c>
      <c r="C285" s="34" t="s">
        <v>16</v>
      </c>
      <c r="D285" s="34" t="s">
        <v>15</v>
      </c>
      <c r="E285" s="35">
        <v>30040963</v>
      </c>
      <c r="F285" s="34" t="s">
        <v>765</v>
      </c>
      <c r="G285" s="39">
        <v>10045776</v>
      </c>
      <c r="H285" s="42">
        <v>30040963</v>
      </c>
      <c r="I285" s="34" t="s">
        <v>310</v>
      </c>
      <c r="J285" s="34" t="s">
        <v>1443</v>
      </c>
      <c r="K285" s="36">
        <v>40777</v>
      </c>
      <c r="L285" s="34" t="s">
        <v>1444</v>
      </c>
      <c r="M285" s="34" t="s">
        <v>1445</v>
      </c>
      <c r="N285" s="34" t="s">
        <v>717</v>
      </c>
      <c r="O285" s="34" t="s">
        <v>717</v>
      </c>
      <c r="P285" s="34" t="s">
        <v>1474</v>
      </c>
      <c r="Q285" s="34" t="s">
        <v>1474</v>
      </c>
      <c r="R285" s="34" t="s">
        <v>1485</v>
      </c>
      <c r="S285" s="34" t="s">
        <v>1485</v>
      </c>
      <c r="T285" s="34" t="s">
        <v>765</v>
      </c>
      <c r="U285" s="34" t="s">
        <v>765</v>
      </c>
      <c r="V285" s="37">
        <v>9.9</v>
      </c>
      <c r="W285" s="45">
        <v>9.9</v>
      </c>
      <c r="X285" s="37">
        <v>0</v>
      </c>
      <c r="Y285" s="36">
        <v>43864</v>
      </c>
      <c r="Z285" s="34" t="s">
        <v>1448</v>
      </c>
    </row>
    <row r="286" spans="1:26" x14ac:dyDescent="0.25">
      <c r="A286" s="34" t="s">
        <v>1441</v>
      </c>
      <c r="B286" s="34" t="s">
        <v>1442</v>
      </c>
      <c r="C286" s="34" t="s">
        <v>16</v>
      </c>
      <c r="D286" s="34" t="s">
        <v>15</v>
      </c>
      <c r="E286" s="35">
        <v>30040964</v>
      </c>
      <c r="F286" s="34" t="s">
        <v>766</v>
      </c>
      <c r="G286" s="39">
        <v>10045818</v>
      </c>
      <c r="H286" s="42">
        <v>30040964</v>
      </c>
      <c r="I286" s="34" t="s">
        <v>311</v>
      </c>
      <c r="J286" s="34" t="s">
        <v>1443</v>
      </c>
      <c r="K286" s="36">
        <v>40777</v>
      </c>
      <c r="L286" s="34" t="s">
        <v>1444</v>
      </c>
      <c r="M286" s="34" t="s">
        <v>1445</v>
      </c>
      <c r="N286" s="34" t="s">
        <v>717</v>
      </c>
      <c r="O286" s="34" t="s">
        <v>717</v>
      </c>
      <c r="P286" s="34" t="s">
        <v>1464</v>
      </c>
      <c r="Q286" s="34" t="s">
        <v>1464</v>
      </c>
      <c r="R286" s="34" t="s">
        <v>1465</v>
      </c>
      <c r="S286" s="34" t="s">
        <v>1465</v>
      </c>
      <c r="T286" s="34" t="s">
        <v>766</v>
      </c>
      <c r="U286" s="34" t="s">
        <v>766</v>
      </c>
      <c r="V286" s="37">
        <v>8.59</v>
      </c>
      <c r="W286" s="45">
        <v>1917.36</v>
      </c>
      <c r="X286" s="37">
        <v>22220.84</v>
      </c>
      <c r="Y286" s="36">
        <v>43864</v>
      </c>
      <c r="Z286" s="34" t="s">
        <v>1448</v>
      </c>
    </row>
    <row r="287" spans="1:26" x14ac:dyDescent="0.25">
      <c r="A287" s="34" t="s">
        <v>1441</v>
      </c>
      <c r="B287" s="34" t="s">
        <v>1442</v>
      </c>
      <c r="C287" s="34" t="s">
        <v>16</v>
      </c>
      <c r="D287" s="34" t="s">
        <v>15</v>
      </c>
      <c r="E287" s="35">
        <v>30040965</v>
      </c>
      <c r="F287" s="34" t="s">
        <v>751</v>
      </c>
      <c r="G287" s="39">
        <v>10045894</v>
      </c>
      <c r="H287" s="42">
        <v>30040965</v>
      </c>
      <c r="I287" s="34" t="s">
        <v>312</v>
      </c>
      <c r="J287" s="34" t="s">
        <v>1443</v>
      </c>
      <c r="K287" s="36">
        <v>40791</v>
      </c>
      <c r="L287" s="34" t="s">
        <v>1444</v>
      </c>
      <c r="M287" s="34" t="s">
        <v>1445</v>
      </c>
      <c r="N287" s="34" t="s">
        <v>717</v>
      </c>
      <c r="O287" s="34" t="s">
        <v>717</v>
      </c>
      <c r="P287" s="34" t="s">
        <v>1446</v>
      </c>
      <c r="Q287" s="34" t="s">
        <v>1446</v>
      </c>
      <c r="R287" s="34" t="s">
        <v>1451</v>
      </c>
      <c r="S287" s="34" t="s">
        <v>1451</v>
      </c>
      <c r="T287" s="34" t="s">
        <v>751</v>
      </c>
      <c r="U287" s="34" t="s">
        <v>751</v>
      </c>
      <c r="V287" s="37">
        <v>17.73</v>
      </c>
      <c r="W287" s="45">
        <v>3957.48</v>
      </c>
      <c r="X287" s="37">
        <v>22220.81</v>
      </c>
      <c r="Y287" s="36">
        <v>43864</v>
      </c>
      <c r="Z287" s="34" t="s">
        <v>1448</v>
      </c>
    </row>
    <row r="288" spans="1:26" x14ac:dyDescent="0.25">
      <c r="A288" s="34" t="s">
        <v>1441</v>
      </c>
      <c r="B288" s="34" t="s">
        <v>1442</v>
      </c>
      <c r="C288" s="34" t="s">
        <v>16</v>
      </c>
      <c r="D288" s="34" t="s">
        <v>15</v>
      </c>
      <c r="E288" s="35">
        <v>30040966</v>
      </c>
      <c r="F288" s="34" t="s">
        <v>20</v>
      </c>
      <c r="G288" s="39">
        <v>10045900</v>
      </c>
      <c r="H288" s="42">
        <v>30040966</v>
      </c>
      <c r="I288" s="34" t="s">
        <v>313</v>
      </c>
      <c r="J288" s="34" t="s">
        <v>1443</v>
      </c>
      <c r="K288" s="36">
        <v>40791</v>
      </c>
      <c r="L288" s="34" t="s">
        <v>1444</v>
      </c>
      <c r="M288" s="34" t="s">
        <v>1445</v>
      </c>
      <c r="N288" s="34" t="s">
        <v>717</v>
      </c>
      <c r="O288" s="34" t="s">
        <v>717</v>
      </c>
      <c r="P288" s="34" t="s">
        <v>1468</v>
      </c>
      <c r="Q288" s="34" t="s">
        <v>1468</v>
      </c>
      <c r="R288" s="34" t="s">
        <v>1469</v>
      </c>
      <c r="S288" s="34" t="s">
        <v>1469</v>
      </c>
      <c r="T288" s="34" t="s">
        <v>20</v>
      </c>
      <c r="U288" s="34" t="s">
        <v>20</v>
      </c>
      <c r="V288" s="37">
        <v>13.17</v>
      </c>
      <c r="W288" s="45">
        <v>2939.65</v>
      </c>
      <c r="X288" s="37">
        <v>22220.799999999999</v>
      </c>
      <c r="Y288" s="36">
        <v>43864</v>
      </c>
      <c r="Z288" s="34" t="s">
        <v>1448</v>
      </c>
    </row>
    <row r="289" spans="1:26" x14ac:dyDescent="0.25">
      <c r="A289" s="34" t="s">
        <v>1441</v>
      </c>
      <c r="B289" s="34" t="s">
        <v>1442</v>
      </c>
      <c r="C289" s="34" t="s">
        <v>16</v>
      </c>
      <c r="D289" s="34" t="s">
        <v>15</v>
      </c>
      <c r="E289" s="35">
        <v>30040967</v>
      </c>
      <c r="F289" s="34" t="s">
        <v>751</v>
      </c>
      <c r="G289" s="39">
        <v>10045902</v>
      </c>
      <c r="H289" s="42">
        <v>30040967</v>
      </c>
      <c r="I289" s="34" t="s">
        <v>314</v>
      </c>
      <c r="J289" s="34" t="s">
        <v>1443</v>
      </c>
      <c r="K289" s="36">
        <v>40791</v>
      </c>
      <c r="L289" s="34" t="s">
        <v>1444</v>
      </c>
      <c r="M289" s="34" t="s">
        <v>1445</v>
      </c>
      <c r="N289" s="34" t="s">
        <v>717</v>
      </c>
      <c r="O289" s="34" t="s">
        <v>717</v>
      </c>
      <c r="P289" s="34" t="s">
        <v>1446</v>
      </c>
      <c r="Q289" s="34" t="s">
        <v>1446</v>
      </c>
      <c r="R289" s="34" t="s">
        <v>1447</v>
      </c>
      <c r="S289" s="34" t="s">
        <v>1447</v>
      </c>
      <c r="T289" s="34" t="s">
        <v>751</v>
      </c>
      <c r="U289" s="34" t="s">
        <v>751</v>
      </c>
      <c r="V289" s="37">
        <v>17.73</v>
      </c>
      <c r="W289" s="45">
        <v>3957.48</v>
      </c>
      <c r="X289" s="37">
        <v>22220.81</v>
      </c>
      <c r="Y289" s="36">
        <v>43864</v>
      </c>
      <c r="Z289" s="34" t="s">
        <v>1448</v>
      </c>
    </row>
    <row r="290" spans="1:26" x14ac:dyDescent="0.25">
      <c r="A290" s="34" t="s">
        <v>1441</v>
      </c>
      <c r="B290" s="34" t="s">
        <v>1442</v>
      </c>
      <c r="C290" s="34" t="s">
        <v>16</v>
      </c>
      <c r="D290" s="34" t="s">
        <v>15</v>
      </c>
      <c r="E290" s="35">
        <v>30041334</v>
      </c>
      <c r="F290" s="34" t="s">
        <v>761</v>
      </c>
      <c r="G290" s="39">
        <v>10045962</v>
      </c>
      <c r="H290" s="42">
        <v>30041334</v>
      </c>
      <c r="I290" s="34" t="s">
        <v>315</v>
      </c>
      <c r="J290" s="34" t="s">
        <v>1443</v>
      </c>
      <c r="K290" s="36">
        <v>40798</v>
      </c>
      <c r="L290" s="34" t="s">
        <v>1444</v>
      </c>
      <c r="M290" s="34" t="s">
        <v>1445</v>
      </c>
      <c r="N290" s="34" t="s">
        <v>717</v>
      </c>
      <c r="O290" s="34" t="s">
        <v>717</v>
      </c>
      <c r="P290" s="34" t="s">
        <v>1474</v>
      </c>
      <c r="Q290" s="34" t="s">
        <v>1474</v>
      </c>
      <c r="R290" s="34" t="s">
        <v>1485</v>
      </c>
      <c r="S290" s="34" t="s">
        <v>1485</v>
      </c>
      <c r="T290" s="34" t="s">
        <v>761</v>
      </c>
      <c r="U290" s="34" t="s">
        <v>761</v>
      </c>
      <c r="V290" s="37">
        <v>11.71</v>
      </c>
      <c r="W290" s="45">
        <v>2138.54</v>
      </c>
      <c r="X290" s="37">
        <v>18162.509999999998</v>
      </c>
      <c r="Y290" s="36">
        <v>43864</v>
      </c>
      <c r="Z290" s="34" t="s">
        <v>1448</v>
      </c>
    </row>
    <row r="291" spans="1:26" x14ac:dyDescent="0.25">
      <c r="A291" s="34" t="s">
        <v>1441</v>
      </c>
      <c r="B291" s="34" t="s">
        <v>1442</v>
      </c>
      <c r="C291" s="34" t="s">
        <v>16</v>
      </c>
      <c r="D291" s="34" t="s">
        <v>15</v>
      </c>
      <c r="E291" s="35">
        <v>30040969</v>
      </c>
      <c r="F291" s="34" t="s">
        <v>755</v>
      </c>
      <c r="G291" s="39">
        <v>10046019</v>
      </c>
      <c r="H291" s="42">
        <v>30040969</v>
      </c>
      <c r="I291" s="34" t="s">
        <v>316</v>
      </c>
      <c r="J291" s="34" t="s">
        <v>1443</v>
      </c>
      <c r="K291" s="36">
        <v>40805</v>
      </c>
      <c r="L291" s="34" t="s">
        <v>1444</v>
      </c>
      <c r="M291" s="34" t="s">
        <v>1445</v>
      </c>
      <c r="N291" s="34" t="s">
        <v>717</v>
      </c>
      <c r="O291" s="34" t="s">
        <v>717</v>
      </c>
      <c r="P291" s="34" t="s">
        <v>1468</v>
      </c>
      <c r="Q291" s="34" t="s">
        <v>1468</v>
      </c>
      <c r="R291" s="34" t="s">
        <v>1469</v>
      </c>
      <c r="S291" s="34" t="s">
        <v>1469</v>
      </c>
      <c r="T291" s="34" t="s">
        <v>755</v>
      </c>
      <c r="U291" s="34" t="s">
        <v>755</v>
      </c>
      <c r="V291" s="37">
        <v>11.43</v>
      </c>
      <c r="W291" s="45">
        <v>2551.27</v>
      </c>
      <c r="X291" s="37">
        <v>22220.82</v>
      </c>
      <c r="Y291" s="36">
        <v>43864</v>
      </c>
      <c r="Z291" s="34" t="s">
        <v>1448</v>
      </c>
    </row>
    <row r="292" spans="1:26" x14ac:dyDescent="0.25">
      <c r="A292" s="34" t="s">
        <v>1441</v>
      </c>
      <c r="B292" s="34" t="s">
        <v>1442</v>
      </c>
      <c r="C292" s="34" t="s">
        <v>6</v>
      </c>
      <c r="D292" s="34" t="s">
        <v>15</v>
      </c>
      <c r="E292" s="35">
        <v>30040970</v>
      </c>
      <c r="F292" s="34" t="s">
        <v>764</v>
      </c>
      <c r="G292" s="39">
        <v>10046021</v>
      </c>
      <c r="H292" s="42">
        <v>30040970</v>
      </c>
      <c r="I292" s="34" t="s">
        <v>317</v>
      </c>
      <c r="J292" s="34" t="s">
        <v>1443</v>
      </c>
      <c r="K292" s="36">
        <v>40805</v>
      </c>
      <c r="L292" s="34" t="s">
        <v>1444</v>
      </c>
      <c r="M292" s="34" t="s">
        <v>1445</v>
      </c>
      <c r="N292" s="34" t="s">
        <v>717</v>
      </c>
      <c r="O292" s="34" t="s">
        <v>717</v>
      </c>
      <c r="P292" s="34" t="s">
        <v>1495</v>
      </c>
      <c r="Q292" s="34" t="s">
        <v>1495</v>
      </c>
      <c r="R292" s="34" t="s">
        <v>1496</v>
      </c>
      <c r="S292" s="34" t="s">
        <v>1496</v>
      </c>
      <c r="T292" s="34" t="s">
        <v>764</v>
      </c>
      <c r="U292" s="34" t="s">
        <v>764</v>
      </c>
      <c r="V292" s="37">
        <v>25.83</v>
      </c>
      <c r="W292" s="45">
        <v>5765.47</v>
      </c>
      <c r="X292" s="37">
        <v>22220.83</v>
      </c>
      <c r="Y292" s="36">
        <v>43864</v>
      </c>
      <c r="Z292" s="34" t="s">
        <v>1448</v>
      </c>
    </row>
    <row r="293" spans="1:26" x14ac:dyDescent="0.25">
      <c r="A293" s="34" t="s">
        <v>1441</v>
      </c>
      <c r="B293" s="34" t="s">
        <v>1442</v>
      </c>
      <c r="C293" s="34" t="s">
        <v>16</v>
      </c>
      <c r="D293" s="34" t="s">
        <v>15</v>
      </c>
      <c r="E293" s="35">
        <v>30040971</v>
      </c>
      <c r="F293" s="34" t="s">
        <v>21</v>
      </c>
      <c r="G293" s="39">
        <v>10046024</v>
      </c>
      <c r="H293" s="42">
        <v>30040971</v>
      </c>
      <c r="I293" s="34" t="s">
        <v>318</v>
      </c>
      <c r="J293" s="34" t="s">
        <v>1443</v>
      </c>
      <c r="K293" s="36">
        <v>40805</v>
      </c>
      <c r="L293" s="34" t="s">
        <v>1444</v>
      </c>
      <c r="M293" s="34" t="s">
        <v>1445</v>
      </c>
      <c r="N293" s="34" t="s">
        <v>717</v>
      </c>
      <c r="O293" s="34" t="s">
        <v>717</v>
      </c>
      <c r="P293" s="34" t="s">
        <v>1462</v>
      </c>
      <c r="Q293" s="34" t="s">
        <v>1462</v>
      </c>
      <c r="R293" s="34" t="s">
        <v>1494</v>
      </c>
      <c r="S293" s="34" t="s">
        <v>1494</v>
      </c>
      <c r="T293" s="34" t="s">
        <v>21</v>
      </c>
      <c r="U293" s="34" t="s">
        <v>21</v>
      </c>
      <c r="V293" s="37">
        <v>11.71</v>
      </c>
      <c r="W293" s="45">
        <v>2613.77</v>
      </c>
      <c r="X293" s="37">
        <v>22220.84</v>
      </c>
      <c r="Y293" s="36">
        <v>43864</v>
      </c>
      <c r="Z293" s="34" t="s">
        <v>1448</v>
      </c>
    </row>
    <row r="294" spans="1:26" x14ac:dyDescent="0.25">
      <c r="A294" s="34" t="s">
        <v>1441</v>
      </c>
      <c r="B294" s="34" t="s">
        <v>1442</v>
      </c>
      <c r="C294" s="34" t="s">
        <v>16</v>
      </c>
      <c r="D294" s="34" t="s">
        <v>15</v>
      </c>
      <c r="E294" s="35">
        <v>30040972</v>
      </c>
      <c r="F294" s="34" t="s">
        <v>751</v>
      </c>
      <c r="G294" s="39">
        <v>10046125</v>
      </c>
      <c r="H294" s="42">
        <v>30040972</v>
      </c>
      <c r="I294" s="34" t="s">
        <v>319</v>
      </c>
      <c r="J294" s="34" t="s">
        <v>1443</v>
      </c>
      <c r="K294" s="36">
        <v>40819</v>
      </c>
      <c r="L294" s="34" t="s">
        <v>1444</v>
      </c>
      <c r="M294" s="34" t="s">
        <v>1445</v>
      </c>
      <c r="N294" s="34" t="s">
        <v>717</v>
      </c>
      <c r="O294" s="34" t="s">
        <v>717</v>
      </c>
      <c r="P294" s="34" t="s">
        <v>1446</v>
      </c>
      <c r="Q294" s="34" t="s">
        <v>1446</v>
      </c>
      <c r="R294" s="34" t="s">
        <v>1451</v>
      </c>
      <c r="S294" s="34" t="s">
        <v>1451</v>
      </c>
      <c r="T294" s="34" t="s">
        <v>751</v>
      </c>
      <c r="U294" s="34" t="s">
        <v>751</v>
      </c>
      <c r="V294" s="37">
        <v>13.14</v>
      </c>
      <c r="W294" s="45">
        <v>2932.96</v>
      </c>
      <c r="X294" s="37">
        <v>22220.85</v>
      </c>
      <c r="Y294" s="36">
        <v>43864</v>
      </c>
      <c r="Z294" s="34" t="s">
        <v>1448</v>
      </c>
    </row>
    <row r="295" spans="1:26" x14ac:dyDescent="0.25">
      <c r="A295" s="34" t="s">
        <v>1441</v>
      </c>
      <c r="B295" s="34" t="s">
        <v>1442</v>
      </c>
      <c r="C295" s="34" t="s">
        <v>16</v>
      </c>
      <c r="D295" s="34" t="s">
        <v>15</v>
      </c>
      <c r="E295" s="35">
        <v>30040973</v>
      </c>
      <c r="F295" s="34" t="s">
        <v>751</v>
      </c>
      <c r="G295" s="39">
        <v>10046206</v>
      </c>
      <c r="H295" s="42">
        <v>30040973</v>
      </c>
      <c r="I295" s="34" t="s">
        <v>320</v>
      </c>
      <c r="J295" s="34" t="s">
        <v>1443</v>
      </c>
      <c r="K295" s="36">
        <v>40833</v>
      </c>
      <c r="L295" s="34" t="s">
        <v>1444</v>
      </c>
      <c r="M295" s="34" t="s">
        <v>1445</v>
      </c>
      <c r="N295" s="34" t="s">
        <v>717</v>
      </c>
      <c r="O295" s="34" t="s">
        <v>717</v>
      </c>
      <c r="P295" s="34" t="s">
        <v>1456</v>
      </c>
      <c r="Q295" s="34" t="s">
        <v>1456</v>
      </c>
      <c r="R295" s="34" t="s">
        <v>1457</v>
      </c>
      <c r="S295" s="34" t="s">
        <v>1457</v>
      </c>
      <c r="T295" s="34" t="s">
        <v>751</v>
      </c>
      <c r="U295" s="34" t="s">
        <v>751</v>
      </c>
      <c r="V295" s="37">
        <v>12.8</v>
      </c>
      <c r="W295" s="45">
        <v>2857.07</v>
      </c>
      <c r="X295" s="37">
        <v>22220.86</v>
      </c>
      <c r="Y295" s="36">
        <v>43864</v>
      </c>
      <c r="Z295" s="34" t="s">
        <v>1448</v>
      </c>
    </row>
    <row r="296" spans="1:26" x14ac:dyDescent="0.25">
      <c r="A296" s="34" t="s">
        <v>1441</v>
      </c>
      <c r="B296" s="34" t="s">
        <v>1442</v>
      </c>
      <c r="C296" s="34" t="s">
        <v>16</v>
      </c>
      <c r="D296" s="34" t="s">
        <v>15</v>
      </c>
      <c r="E296" s="35">
        <v>30040974</v>
      </c>
      <c r="F296" s="34" t="s">
        <v>763</v>
      </c>
      <c r="G296" s="39">
        <v>10046299</v>
      </c>
      <c r="H296" s="42">
        <v>30040974</v>
      </c>
      <c r="I296" s="34" t="s">
        <v>321</v>
      </c>
      <c r="J296" s="34" t="s">
        <v>1443</v>
      </c>
      <c r="K296" s="36">
        <v>40854</v>
      </c>
      <c r="L296" s="34" t="s">
        <v>1444</v>
      </c>
      <c r="M296" s="34" t="s">
        <v>1445</v>
      </c>
      <c r="N296" s="34" t="s">
        <v>717</v>
      </c>
      <c r="O296" s="34" t="s">
        <v>717</v>
      </c>
      <c r="P296" s="34" t="s">
        <v>1490</v>
      </c>
      <c r="Q296" s="34" t="s">
        <v>1490</v>
      </c>
      <c r="R296" s="34" t="s">
        <v>1491</v>
      </c>
      <c r="S296" s="34" t="s">
        <v>1491</v>
      </c>
      <c r="T296" s="34" t="s">
        <v>763</v>
      </c>
      <c r="U296" s="34" t="s">
        <v>763</v>
      </c>
      <c r="V296" s="37">
        <v>10.24</v>
      </c>
      <c r="W296" s="45">
        <v>2285.65</v>
      </c>
      <c r="X296" s="37">
        <v>22220.799999999999</v>
      </c>
      <c r="Y296" s="36">
        <v>43864</v>
      </c>
      <c r="Z296" s="34" t="s">
        <v>1448</v>
      </c>
    </row>
    <row r="297" spans="1:26" x14ac:dyDescent="0.25">
      <c r="A297" s="34" t="s">
        <v>1441</v>
      </c>
      <c r="B297" s="34" t="s">
        <v>1442</v>
      </c>
      <c r="C297" s="34" t="s">
        <v>16</v>
      </c>
      <c r="D297" s="34" t="s">
        <v>15</v>
      </c>
      <c r="E297" s="35">
        <v>30040975</v>
      </c>
      <c r="F297" s="34" t="s">
        <v>765</v>
      </c>
      <c r="G297" s="39">
        <v>10046460</v>
      </c>
      <c r="H297" s="42">
        <v>30040975</v>
      </c>
      <c r="I297" s="34" t="s">
        <v>322</v>
      </c>
      <c r="J297" s="34" t="s">
        <v>1443</v>
      </c>
      <c r="K297" s="36">
        <v>40868</v>
      </c>
      <c r="L297" s="34" t="s">
        <v>1444</v>
      </c>
      <c r="M297" s="34" t="s">
        <v>1445</v>
      </c>
      <c r="N297" s="34" t="s">
        <v>717</v>
      </c>
      <c r="O297" s="34" t="s">
        <v>717</v>
      </c>
      <c r="P297" s="34" t="s">
        <v>1474</v>
      </c>
      <c r="Q297" s="34" t="s">
        <v>1474</v>
      </c>
      <c r="R297" s="34" t="s">
        <v>1485</v>
      </c>
      <c r="S297" s="34" t="s">
        <v>1485</v>
      </c>
      <c r="T297" s="34" t="s">
        <v>765</v>
      </c>
      <c r="U297" s="34" t="s">
        <v>765</v>
      </c>
      <c r="V297" s="37">
        <v>9.9</v>
      </c>
      <c r="W297" s="45">
        <v>9.9</v>
      </c>
      <c r="X297" s="37">
        <v>0</v>
      </c>
      <c r="Y297" s="36">
        <v>43864</v>
      </c>
      <c r="Z297" s="34" t="s">
        <v>1448</v>
      </c>
    </row>
    <row r="298" spans="1:26" x14ac:dyDescent="0.25">
      <c r="A298" s="34" t="s">
        <v>1441</v>
      </c>
      <c r="B298" s="34" t="s">
        <v>1442</v>
      </c>
      <c r="C298" s="34" t="s">
        <v>16</v>
      </c>
      <c r="D298" s="34" t="s">
        <v>15</v>
      </c>
      <c r="E298" s="35">
        <v>30040976</v>
      </c>
      <c r="F298" s="34" t="s">
        <v>751</v>
      </c>
      <c r="G298" s="39">
        <v>10046533</v>
      </c>
      <c r="H298" s="42">
        <v>30040976</v>
      </c>
      <c r="I298" s="34" t="s">
        <v>323</v>
      </c>
      <c r="J298" s="34" t="s">
        <v>1443</v>
      </c>
      <c r="K298" s="36">
        <v>40882</v>
      </c>
      <c r="L298" s="34" t="s">
        <v>1444</v>
      </c>
      <c r="M298" s="34" t="s">
        <v>1445</v>
      </c>
      <c r="N298" s="34" t="s">
        <v>717</v>
      </c>
      <c r="O298" s="34" t="s">
        <v>717</v>
      </c>
      <c r="P298" s="34" t="s">
        <v>1446</v>
      </c>
      <c r="Q298" s="34" t="s">
        <v>1446</v>
      </c>
      <c r="R298" s="34" t="s">
        <v>1451</v>
      </c>
      <c r="S298" s="34" t="s">
        <v>1451</v>
      </c>
      <c r="T298" s="34" t="s">
        <v>751</v>
      </c>
      <c r="U298" s="34" t="s">
        <v>751</v>
      </c>
      <c r="V298" s="37">
        <v>15</v>
      </c>
      <c r="W298" s="45">
        <v>3348.13</v>
      </c>
      <c r="X298" s="37">
        <v>22220.87</v>
      </c>
      <c r="Y298" s="36">
        <v>43864</v>
      </c>
      <c r="Z298" s="34" t="s">
        <v>1448</v>
      </c>
    </row>
    <row r="299" spans="1:26" x14ac:dyDescent="0.25">
      <c r="A299" s="34" t="s">
        <v>1441</v>
      </c>
      <c r="B299" s="34" t="s">
        <v>1442</v>
      </c>
      <c r="C299" s="34" t="s">
        <v>16</v>
      </c>
      <c r="D299" s="34" t="s">
        <v>15</v>
      </c>
      <c r="E299" s="35">
        <v>30040977</v>
      </c>
      <c r="F299" s="34" t="s">
        <v>756</v>
      </c>
      <c r="G299" s="39">
        <v>10046598</v>
      </c>
      <c r="H299" s="42">
        <v>30040977</v>
      </c>
      <c r="I299" s="34" t="s">
        <v>324</v>
      </c>
      <c r="J299" s="34" t="s">
        <v>1443</v>
      </c>
      <c r="K299" s="36">
        <v>40896</v>
      </c>
      <c r="L299" s="34" t="s">
        <v>1444</v>
      </c>
      <c r="M299" s="34" t="s">
        <v>1445</v>
      </c>
      <c r="N299" s="34" t="s">
        <v>717</v>
      </c>
      <c r="O299" s="34" t="s">
        <v>717</v>
      </c>
      <c r="P299" s="34" t="s">
        <v>1470</v>
      </c>
      <c r="Q299" s="34" t="s">
        <v>1470</v>
      </c>
      <c r="R299" s="34" t="s">
        <v>1471</v>
      </c>
      <c r="S299" s="34" t="s">
        <v>1471</v>
      </c>
      <c r="T299" s="34" t="s">
        <v>756</v>
      </c>
      <c r="U299" s="34" t="s">
        <v>756</v>
      </c>
      <c r="V299" s="37">
        <v>14.04</v>
      </c>
      <c r="W299" s="45">
        <v>3133.85</v>
      </c>
      <c r="X299" s="37">
        <v>22220.87</v>
      </c>
      <c r="Y299" s="36">
        <v>43864</v>
      </c>
      <c r="Z299" s="34" t="s">
        <v>1448</v>
      </c>
    </row>
    <row r="300" spans="1:26" x14ac:dyDescent="0.25">
      <c r="A300" s="34" t="s">
        <v>1441</v>
      </c>
      <c r="B300" s="34" t="s">
        <v>1442</v>
      </c>
      <c r="C300" s="34" t="s">
        <v>16</v>
      </c>
      <c r="D300" s="34" t="s">
        <v>15</v>
      </c>
      <c r="E300" s="35">
        <v>30040978</v>
      </c>
      <c r="F300" s="34" t="s">
        <v>765</v>
      </c>
      <c r="G300" s="39">
        <v>10046615</v>
      </c>
      <c r="H300" s="42">
        <v>30040978</v>
      </c>
      <c r="I300" s="34" t="s">
        <v>325</v>
      </c>
      <c r="J300" s="34" t="s">
        <v>1443</v>
      </c>
      <c r="K300" s="36">
        <v>40896</v>
      </c>
      <c r="L300" s="34" t="s">
        <v>1444</v>
      </c>
      <c r="M300" s="34" t="s">
        <v>1445</v>
      </c>
      <c r="N300" s="34" t="s">
        <v>717</v>
      </c>
      <c r="O300" s="34" t="s">
        <v>717</v>
      </c>
      <c r="P300" s="34" t="s">
        <v>1490</v>
      </c>
      <c r="Q300" s="34" t="s">
        <v>1490</v>
      </c>
      <c r="R300" s="34" t="s">
        <v>1491</v>
      </c>
      <c r="S300" s="34" t="s">
        <v>1491</v>
      </c>
      <c r="T300" s="34" t="s">
        <v>765</v>
      </c>
      <c r="U300" s="34" t="s">
        <v>765</v>
      </c>
      <c r="V300" s="37">
        <v>8.59</v>
      </c>
      <c r="W300" s="45">
        <v>1917.36</v>
      </c>
      <c r="X300" s="37">
        <v>22220.84</v>
      </c>
      <c r="Y300" s="36">
        <v>43864</v>
      </c>
      <c r="Z300" s="34" t="s">
        <v>1448</v>
      </c>
    </row>
    <row r="301" spans="1:26" x14ac:dyDescent="0.25">
      <c r="A301" s="34" t="s">
        <v>1441</v>
      </c>
      <c r="B301" s="34" t="s">
        <v>1442</v>
      </c>
      <c r="C301" s="34" t="s">
        <v>16</v>
      </c>
      <c r="D301" s="34" t="s">
        <v>15</v>
      </c>
      <c r="E301" s="35">
        <v>30040979</v>
      </c>
      <c r="F301" s="34" t="s">
        <v>751</v>
      </c>
      <c r="G301" s="39">
        <v>10046820</v>
      </c>
      <c r="H301" s="42">
        <v>30040979</v>
      </c>
      <c r="I301" s="34" t="s">
        <v>326</v>
      </c>
      <c r="J301" s="34" t="s">
        <v>1443</v>
      </c>
      <c r="K301" s="36">
        <v>40926</v>
      </c>
      <c r="L301" s="34" t="s">
        <v>1444</v>
      </c>
      <c r="M301" s="34" t="s">
        <v>1445</v>
      </c>
      <c r="N301" s="34" t="s">
        <v>717</v>
      </c>
      <c r="O301" s="34" t="s">
        <v>717</v>
      </c>
      <c r="P301" s="34" t="s">
        <v>1446</v>
      </c>
      <c r="Q301" s="34" t="s">
        <v>1446</v>
      </c>
      <c r="R301" s="34" t="s">
        <v>1447</v>
      </c>
      <c r="S301" s="34" t="s">
        <v>1447</v>
      </c>
      <c r="T301" s="34" t="s">
        <v>751</v>
      </c>
      <c r="U301" s="34" t="s">
        <v>751</v>
      </c>
      <c r="V301" s="37">
        <v>17.73</v>
      </c>
      <c r="W301" s="45">
        <v>3957.48</v>
      </c>
      <c r="X301" s="37">
        <v>22220.81</v>
      </c>
      <c r="Y301" s="36">
        <v>43864</v>
      </c>
      <c r="Z301" s="34" t="s">
        <v>1448</v>
      </c>
    </row>
    <row r="302" spans="1:26" x14ac:dyDescent="0.25">
      <c r="A302" s="34" t="s">
        <v>1441</v>
      </c>
      <c r="B302" s="34" t="s">
        <v>1442</v>
      </c>
      <c r="C302" s="34" t="s">
        <v>16</v>
      </c>
      <c r="D302" s="34" t="s">
        <v>15</v>
      </c>
      <c r="E302" s="35">
        <v>30040980</v>
      </c>
      <c r="F302" s="34" t="s">
        <v>751</v>
      </c>
      <c r="G302" s="39">
        <v>10046838</v>
      </c>
      <c r="H302" s="42">
        <v>30040980</v>
      </c>
      <c r="I302" s="34" t="s">
        <v>327</v>
      </c>
      <c r="J302" s="34" t="s">
        <v>1443</v>
      </c>
      <c r="K302" s="36">
        <v>40926</v>
      </c>
      <c r="L302" s="34" t="s">
        <v>1444</v>
      </c>
      <c r="M302" s="34" t="s">
        <v>1445</v>
      </c>
      <c r="N302" s="34" t="s">
        <v>717</v>
      </c>
      <c r="O302" s="34" t="s">
        <v>717</v>
      </c>
      <c r="P302" s="34" t="s">
        <v>1486</v>
      </c>
      <c r="Q302" s="34" t="s">
        <v>1486</v>
      </c>
      <c r="R302" s="34" t="s">
        <v>1487</v>
      </c>
      <c r="S302" s="34" t="s">
        <v>1487</v>
      </c>
      <c r="T302" s="34" t="s">
        <v>751</v>
      </c>
      <c r="U302" s="34" t="s">
        <v>751</v>
      </c>
      <c r="V302" s="37">
        <v>13.14</v>
      </c>
      <c r="W302" s="45">
        <v>2932.96</v>
      </c>
      <c r="X302" s="37">
        <v>22220.85</v>
      </c>
      <c r="Y302" s="36">
        <v>43864</v>
      </c>
      <c r="Z302" s="34" t="s">
        <v>1448</v>
      </c>
    </row>
    <row r="303" spans="1:26" x14ac:dyDescent="0.25">
      <c r="A303" s="34" t="s">
        <v>1441</v>
      </c>
      <c r="B303" s="34" t="s">
        <v>1442</v>
      </c>
      <c r="C303" s="34" t="s">
        <v>16</v>
      </c>
      <c r="D303" s="34" t="s">
        <v>15</v>
      </c>
      <c r="E303" s="35">
        <v>30040981</v>
      </c>
      <c r="F303" s="34" t="s">
        <v>751</v>
      </c>
      <c r="G303" s="39">
        <v>10046841</v>
      </c>
      <c r="H303" s="42">
        <v>30040981</v>
      </c>
      <c r="I303" s="34" t="s">
        <v>328</v>
      </c>
      <c r="J303" s="34" t="s">
        <v>1443</v>
      </c>
      <c r="K303" s="36">
        <v>40926</v>
      </c>
      <c r="L303" s="34" t="s">
        <v>1444</v>
      </c>
      <c r="M303" s="34" t="s">
        <v>1445</v>
      </c>
      <c r="N303" s="34" t="s">
        <v>717</v>
      </c>
      <c r="O303" s="34" t="s">
        <v>717</v>
      </c>
      <c r="P303" s="34" t="s">
        <v>1446</v>
      </c>
      <c r="Q303" s="34" t="s">
        <v>1446</v>
      </c>
      <c r="R303" s="34" t="s">
        <v>1451</v>
      </c>
      <c r="S303" s="34" t="s">
        <v>1451</v>
      </c>
      <c r="T303" s="34" t="s">
        <v>751</v>
      </c>
      <c r="U303" s="34" t="s">
        <v>751</v>
      </c>
      <c r="V303" s="37">
        <v>17.73</v>
      </c>
      <c r="W303" s="45">
        <v>3957.48</v>
      </c>
      <c r="X303" s="37">
        <v>22220.81</v>
      </c>
      <c r="Y303" s="36">
        <v>43864</v>
      </c>
      <c r="Z303" s="34" t="s">
        <v>1448</v>
      </c>
    </row>
    <row r="304" spans="1:26" x14ac:dyDescent="0.25">
      <c r="A304" s="34" t="s">
        <v>1441</v>
      </c>
      <c r="B304" s="34" t="s">
        <v>1442</v>
      </c>
      <c r="C304" s="34" t="s">
        <v>16</v>
      </c>
      <c r="D304" s="34" t="s">
        <v>15</v>
      </c>
      <c r="E304" s="35">
        <v>30040982</v>
      </c>
      <c r="F304" s="34" t="s">
        <v>755</v>
      </c>
      <c r="G304" s="39">
        <v>10046901</v>
      </c>
      <c r="H304" s="42">
        <v>30040982</v>
      </c>
      <c r="I304" s="34" t="s">
        <v>329</v>
      </c>
      <c r="J304" s="34" t="s">
        <v>1443</v>
      </c>
      <c r="K304" s="36">
        <v>40940</v>
      </c>
      <c r="L304" s="34" t="s">
        <v>1444</v>
      </c>
      <c r="M304" s="34" t="s">
        <v>1445</v>
      </c>
      <c r="N304" s="34" t="s">
        <v>717</v>
      </c>
      <c r="O304" s="34" t="s">
        <v>717</v>
      </c>
      <c r="P304" s="34" t="s">
        <v>1468</v>
      </c>
      <c r="Q304" s="34" t="s">
        <v>1468</v>
      </c>
      <c r="R304" s="34" t="s">
        <v>1469</v>
      </c>
      <c r="S304" s="34" t="s">
        <v>1469</v>
      </c>
      <c r="T304" s="34" t="s">
        <v>755</v>
      </c>
      <c r="U304" s="34" t="s">
        <v>755</v>
      </c>
      <c r="V304" s="37">
        <v>11.43</v>
      </c>
      <c r="W304" s="45">
        <v>2551.27</v>
      </c>
      <c r="X304" s="37">
        <v>22220.82</v>
      </c>
      <c r="Y304" s="36">
        <v>43864</v>
      </c>
      <c r="Z304" s="34" t="s">
        <v>1448</v>
      </c>
    </row>
    <row r="305" spans="1:26" x14ac:dyDescent="0.25">
      <c r="A305" s="34" t="s">
        <v>1441</v>
      </c>
      <c r="B305" s="34" t="s">
        <v>1442</v>
      </c>
      <c r="C305" s="34" t="s">
        <v>16</v>
      </c>
      <c r="D305" s="34" t="s">
        <v>15</v>
      </c>
      <c r="E305" s="35">
        <v>30040983</v>
      </c>
      <c r="F305" s="34" t="s">
        <v>751</v>
      </c>
      <c r="G305" s="39">
        <v>10047084</v>
      </c>
      <c r="H305" s="42">
        <v>30040983</v>
      </c>
      <c r="I305" s="34" t="s">
        <v>330</v>
      </c>
      <c r="J305" s="34" t="s">
        <v>1443</v>
      </c>
      <c r="K305" s="36">
        <v>40954</v>
      </c>
      <c r="L305" s="34" t="s">
        <v>1444</v>
      </c>
      <c r="M305" s="34" t="s">
        <v>1445</v>
      </c>
      <c r="N305" s="34" t="s">
        <v>717</v>
      </c>
      <c r="O305" s="34" t="s">
        <v>717</v>
      </c>
      <c r="P305" s="34" t="s">
        <v>1446</v>
      </c>
      <c r="Q305" s="34" t="s">
        <v>1446</v>
      </c>
      <c r="R305" s="34" t="s">
        <v>1451</v>
      </c>
      <c r="S305" s="34" t="s">
        <v>1451</v>
      </c>
      <c r="T305" s="34" t="s">
        <v>751</v>
      </c>
      <c r="U305" s="34" t="s">
        <v>751</v>
      </c>
      <c r="V305" s="37">
        <v>13.14</v>
      </c>
      <c r="W305" s="45">
        <v>2932.96</v>
      </c>
      <c r="X305" s="37">
        <v>22220.85</v>
      </c>
      <c r="Y305" s="36">
        <v>43864</v>
      </c>
      <c r="Z305" s="34" t="s">
        <v>1448</v>
      </c>
    </row>
    <row r="306" spans="1:26" x14ac:dyDescent="0.25">
      <c r="A306" s="34" t="s">
        <v>1441</v>
      </c>
      <c r="B306" s="34" t="s">
        <v>1442</v>
      </c>
      <c r="C306" s="34" t="s">
        <v>16</v>
      </c>
      <c r="D306" s="34" t="s">
        <v>15</v>
      </c>
      <c r="E306" s="35">
        <v>30040984</v>
      </c>
      <c r="F306" s="34" t="s">
        <v>21</v>
      </c>
      <c r="G306" s="39">
        <v>10047156</v>
      </c>
      <c r="H306" s="42">
        <v>30040984</v>
      </c>
      <c r="I306" s="34" t="s">
        <v>331</v>
      </c>
      <c r="J306" s="34" t="s">
        <v>1443</v>
      </c>
      <c r="K306" s="36">
        <v>40973</v>
      </c>
      <c r="L306" s="34" t="s">
        <v>1444</v>
      </c>
      <c r="M306" s="34" t="s">
        <v>1445</v>
      </c>
      <c r="N306" s="34" t="s">
        <v>717</v>
      </c>
      <c r="O306" s="34" t="s">
        <v>717</v>
      </c>
      <c r="P306" s="34" t="s">
        <v>1462</v>
      </c>
      <c r="Q306" s="34" t="s">
        <v>1462</v>
      </c>
      <c r="R306" s="34" t="s">
        <v>1478</v>
      </c>
      <c r="S306" s="34" t="s">
        <v>1478</v>
      </c>
      <c r="T306" s="34" t="s">
        <v>21</v>
      </c>
      <c r="U306" s="34" t="s">
        <v>21</v>
      </c>
      <c r="V306" s="37">
        <v>11.71</v>
      </c>
      <c r="W306" s="45">
        <v>2613.77</v>
      </c>
      <c r="X306" s="37">
        <v>22220.84</v>
      </c>
      <c r="Y306" s="36">
        <v>43864</v>
      </c>
      <c r="Z306" s="34" t="s">
        <v>1448</v>
      </c>
    </row>
    <row r="307" spans="1:26" x14ac:dyDescent="0.25">
      <c r="A307" s="34" t="s">
        <v>1441</v>
      </c>
      <c r="B307" s="34" t="s">
        <v>1442</v>
      </c>
      <c r="C307" s="34" t="s">
        <v>16</v>
      </c>
      <c r="D307" s="34" t="s">
        <v>15</v>
      </c>
      <c r="E307" s="35">
        <v>30040985</v>
      </c>
      <c r="F307" s="34" t="s">
        <v>755</v>
      </c>
      <c r="G307" s="39">
        <v>10047169</v>
      </c>
      <c r="H307" s="42">
        <v>30040985</v>
      </c>
      <c r="I307" s="34" t="s">
        <v>332</v>
      </c>
      <c r="J307" s="34" t="s">
        <v>1443</v>
      </c>
      <c r="K307" s="36">
        <v>40973</v>
      </c>
      <c r="L307" s="34" t="s">
        <v>1444</v>
      </c>
      <c r="M307" s="34" t="s">
        <v>1445</v>
      </c>
      <c r="N307" s="34" t="s">
        <v>717</v>
      </c>
      <c r="O307" s="34" t="s">
        <v>717</v>
      </c>
      <c r="P307" s="34" t="s">
        <v>1468</v>
      </c>
      <c r="Q307" s="34" t="s">
        <v>1468</v>
      </c>
      <c r="R307" s="34" t="s">
        <v>1469</v>
      </c>
      <c r="S307" s="34" t="s">
        <v>1469</v>
      </c>
      <c r="T307" s="34" t="s">
        <v>755</v>
      </c>
      <c r="U307" s="34" t="s">
        <v>755</v>
      </c>
      <c r="V307" s="37">
        <v>11.43</v>
      </c>
      <c r="W307" s="45">
        <v>2551.27</v>
      </c>
      <c r="X307" s="37">
        <v>22220.82</v>
      </c>
      <c r="Y307" s="36">
        <v>43864</v>
      </c>
      <c r="Z307" s="34" t="s">
        <v>1448</v>
      </c>
    </row>
    <row r="308" spans="1:26" x14ac:dyDescent="0.25">
      <c r="A308" s="34" t="s">
        <v>1441</v>
      </c>
      <c r="B308" s="34" t="s">
        <v>1442</v>
      </c>
      <c r="C308" s="34" t="s">
        <v>16</v>
      </c>
      <c r="D308" s="34" t="s">
        <v>15</v>
      </c>
      <c r="E308" s="35">
        <v>30040986</v>
      </c>
      <c r="F308" s="34" t="s">
        <v>759</v>
      </c>
      <c r="G308" s="39">
        <v>10047433</v>
      </c>
      <c r="H308" s="42">
        <v>30040986</v>
      </c>
      <c r="I308" s="34" t="s">
        <v>333</v>
      </c>
      <c r="J308" s="34" t="s">
        <v>1443</v>
      </c>
      <c r="K308" s="36">
        <v>41001</v>
      </c>
      <c r="L308" s="34" t="s">
        <v>1444</v>
      </c>
      <c r="M308" s="34" t="s">
        <v>1445</v>
      </c>
      <c r="N308" s="34" t="s">
        <v>717</v>
      </c>
      <c r="O308" s="34" t="s">
        <v>717</v>
      </c>
      <c r="P308" s="34" t="s">
        <v>1466</v>
      </c>
      <c r="Q308" s="34" t="s">
        <v>1466</v>
      </c>
      <c r="R308" s="34" t="s">
        <v>1467</v>
      </c>
      <c r="S308" s="34" t="s">
        <v>1467</v>
      </c>
      <c r="T308" s="34" t="s">
        <v>759</v>
      </c>
      <c r="U308" s="34" t="s">
        <v>759</v>
      </c>
      <c r="V308" s="37">
        <v>13.31</v>
      </c>
      <c r="W308" s="45">
        <v>2970.9</v>
      </c>
      <c r="X308" s="37">
        <v>22220.81</v>
      </c>
      <c r="Y308" s="36">
        <v>43864</v>
      </c>
      <c r="Z308" s="34" t="s">
        <v>1448</v>
      </c>
    </row>
    <row r="309" spans="1:26" x14ac:dyDescent="0.25">
      <c r="A309" s="34" t="s">
        <v>1441</v>
      </c>
      <c r="B309" s="34" t="s">
        <v>1442</v>
      </c>
      <c r="C309" s="34" t="s">
        <v>16</v>
      </c>
      <c r="D309" s="34" t="s">
        <v>15</v>
      </c>
      <c r="E309" s="35">
        <v>30040987</v>
      </c>
      <c r="F309" s="34" t="s">
        <v>759</v>
      </c>
      <c r="G309" s="39">
        <v>10047527</v>
      </c>
      <c r="H309" s="42">
        <v>30040987</v>
      </c>
      <c r="I309" s="34" t="s">
        <v>334</v>
      </c>
      <c r="J309" s="34" t="s">
        <v>1443</v>
      </c>
      <c r="K309" s="36">
        <v>41017</v>
      </c>
      <c r="L309" s="34" t="s">
        <v>1444</v>
      </c>
      <c r="M309" s="34" t="s">
        <v>1445</v>
      </c>
      <c r="N309" s="34" t="s">
        <v>717</v>
      </c>
      <c r="O309" s="34" t="s">
        <v>717</v>
      </c>
      <c r="P309" s="34" t="s">
        <v>1466</v>
      </c>
      <c r="Q309" s="34" t="s">
        <v>1466</v>
      </c>
      <c r="R309" s="34" t="s">
        <v>1467</v>
      </c>
      <c r="S309" s="34" t="s">
        <v>1467</v>
      </c>
      <c r="T309" s="34" t="s">
        <v>759</v>
      </c>
      <c r="U309" s="34" t="s">
        <v>759</v>
      </c>
      <c r="V309" s="37">
        <v>14.04</v>
      </c>
      <c r="W309" s="45">
        <v>3133.85</v>
      </c>
      <c r="X309" s="37">
        <v>22220.87</v>
      </c>
      <c r="Y309" s="36">
        <v>43864</v>
      </c>
      <c r="Z309" s="34" t="s">
        <v>1448</v>
      </c>
    </row>
    <row r="310" spans="1:26" x14ac:dyDescent="0.25">
      <c r="A310" s="34" t="s">
        <v>1441</v>
      </c>
      <c r="B310" s="34" t="s">
        <v>1442</v>
      </c>
      <c r="C310" s="34" t="s">
        <v>16</v>
      </c>
      <c r="D310" s="34" t="s">
        <v>15</v>
      </c>
      <c r="E310" s="35">
        <v>30040988</v>
      </c>
      <c r="F310" s="34" t="s">
        <v>758</v>
      </c>
      <c r="G310" s="39">
        <v>10047610</v>
      </c>
      <c r="H310" s="42">
        <v>30040988</v>
      </c>
      <c r="I310" s="34" t="s">
        <v>335</v>
      </c>
      <c r="J310" s="34" t="s">
        <v>1443</v>
      </c>
      <c r="K310" s="36">
        <v>41036</v>
      </c>
      <c r="L310" s="34" t="s">
        <v>1444</v>
      </c>
      <c r="M310" s="34" t="s">
        <v>1445</v>
      </c>
      <c r="N310" s="34" t="s">
        <v>717</v>
      </c>
      <c r="O310" s="34" t="s">
        <v>717</v>
      </c>
      <c r="P310" s="34" t="s">
        <v>1449</v>
      </c>
      <c r="Q310" s="34" t="s">
        <v>1449</v>
      </c>
      <c r="R310" s="34" t="s">
        <v>1450</v>
      </c>
      <c r="S310" s="34" t="s">
        <v>1450</v>
      </c>
      <c r="T310" s="34" t="s">
        <v>758</v>
      </c>
      <c r="U310" s="34" t="s">
        <v>758</v>
      </c>
      <c r="V310" s="37">
        <v>14.48</v>
      </c>
      <c r="W310" s="45">
        <v>3232.06</v>
      </c>
      <c r="X310" s="37">
        <v>22220.86</v>
      </c>
      <c r="Y310" s="36">
        <v>43864</v>
      </c>
      <c r="Z310" s="34" t="s">
        <v>1448</v>
      </c>
    </row>
    <row r="311" spans="1:26" x14ac:dyDescent="0.25">
      <c r="A311" s="34" t="s">
        <v>1441</v>
      </c>
      <c r="B311" s="34" t="s">
        <v>1442</v>
      </c>
      <c r="C311" s="34" t="s">
        <v>16</v>
      </c>
      <c r="D311" s="34" t="s">
        <v>15</v>
      </c>
      <c r="E311" s="35">
        <v>30040989</v>
      </c>
      <c r="F311" s="34" t="s">
        <v>19</v>
      </c>
      <c r="G311" s="39">
        <v>10047732</v>
      </c>
      <c r="H311" s="42">
        <v>30040989</v>
      </c>
      <c r="I311" s="34" t="s">
        <v>336</v>
      </c>
      <c r="J311" s="34" t="s">
        <v>1443</v>
      </c>
      <c r="K311" s="36">
        <v>41050</v>
      </c>
      <c r="L311" s="34" t="s">
        <v>1444</v>
      </c>
      <c r="M311" s="34" t="s">
        <v>1445</v>
      </c>
      <c r="N311" s="34" t="s">
        <v>717</v>
      </c>
      <c r="O311" s="34" t="s">
        <v>717</v>
      </c>
      <c r="P311" s="34" t="s">
        <v>1492</v>
      </c>
      <c r="Q311" s="34" t="s">
        <v>1492</v>
      </c>
      <c r="R311" s="34" t="s">
        <v>1493</v>
      </c>
      <c r="S311" s="34" t="s">
        <v>1493</v>
      </c>
      <c r="T311" s="34" t="s">
        <v>19</v>
      </c>
      <c r="U311" s="34" t="s">
        <v>19</v>
      </c>
      <c r="V311" s="37">
        <v>10.26</v>
      </c>
      <c r="W311" s="45">
        <v>2290.12</v>
      </c>
      <c r="X311" s="37">
        <v>22220.86</v>
      </c>
      <c r="Y311" s="36">
        <v>43864</v>
      </c>
      <c r="Z311" s="34" t="s">
        <v>1448</v>
      </c>
    </row>
    <row r="312" spans="1:26" x14ac:dyDescent="0.25">
      <c r="A312" s="34" t="s">
        <v>1441</v>
      </c>
      <c r="B312" s="34" t="s">
        <v>1442</v>
      </c>
      <c r="C312" s="34" t="s">
        <v>16</v>
      </c>
      <c r="D312" s="34" t="s">
        <v>15</v>
      </c>
      <c r="E312" s="35">
        <v>30040990</v>
      </c>
      <c r="F312" s="34" t="s">
        <v>21</v>
      </c>
      <c r="G312" s="39">
        <v>10047737</v>
      </c>
      <c r="H312" s="42">
        <v>30040990</v>
      </c>
      <c r="I312" s="34" t="s">
        <v>337</v>
      </c>
      <c r="J312" s="34" t="s">
        <v>1443</v>
      </c>
      <c r="K312" s="36">
        <v>41050</v>
      </c>
      <c r="L312" s="34" t="s">
        <v>1444</v>
      </c>
      <c r="M312" s="34" t="s">
        <v>1445</v>
      </c>
      <c r="N312" s="34" t="s">
        <v>717</v>
      </c>
      <c r="O312" s="34" t="s">
        <v>717</v>
      </c>
      <c r="P312" s="34" t="s">
        <v>1462</v>
      </c>
      <c r="Q312" s="34" t="s">
        <v>1462</v>
      </c>
      <c r="R312" s="34" t="s">
        <v>1478</v>
      </c>
      <c r="S312" s="34" t="s">
        <v>1478</v>
      </c>
      <c r="T312" s="34" t="s">
        <v>21</v>
      </c>
      <c r="U312" s="34" t="s">
        <v>21</v>
      </c>
      <c r="V312" s="37">
        <v>11.71</v>
      </c>
      <c r="W312" s="45">
        <v>2613.77</v>
      </c>
      <c r="X312" s="37">
        <v>22220.84</v>
      </c>
      <c r="Y312" s="36">
        <v>43864</v>
      </c>
      <c r="Z312" s="34" t="s">
        <v>1448</v>
      </c>
    </row>
    <row r="313" spans="1:26" x14ac:dyDescent="0.25">
      <c r="A313" s="34" t="s">
        <v>1441</v>
      </c>
      <c r="B313" s="34" t="s">
        <v>1442</v>
      </c>
      <c r="C313" s="34" t="s">
        <v>16</v>
      </c>
      <c r="D313" s="34" t="s">
        <v>15</v>
      </c>
      <c r="E313" s="35">
        <v>30040991</v>
      </c>
      <c r="F313" s="34" t="s">
        <v>763</v>
      </c>
      <c r="G313" s="39">
        <v>10047742</v>
      </c>
      <c r="H313" s="42">
        <v>30040991</v>
      </c>
      <c r="I313" s="34" t="s">
        <v>338</v>
      </c>
      <c r="J313" s="34" t="s">
        <v>1443</v>
      </c>
      <c r="K313" s="36">
        <v>41050</v>
      </c>
      <c r="L313" s="34" t="s">
        <v>1444</v>
      </c>
      <c r="M313" s="34" t="s">
        <v>1445</v>
      </c>
      <c r="N313" s="34" t="s">
        <v>717</v>
      </c>
      <c r="O313" s="34" t="s">
        <v>717</v>
      </c>
      <c r="P313" s="34" t="s">
        <v>1490</v>
      </c>
      <c r="Q313" s="34" t="s">
        <v>1490</v>
      </c>
      <c r="R313" s="34" t="s">
        <v>1491</v>
      </c>
      <c r="S313" s="34" t="s">
        <v>1491</v>
      </c>
      <c r="T313" s="34" t="s">
        <v>763</v>
      </c>
      <c r="U313" s="34" t="s">
        <v>763</v>
      </c>
      <c r="V313" s="37">
        <v>10.24</v>
      </c>
      <c r="W313" s="45">
        <v>2285.65</v>
      </c>
      <c r="X313" s="37">
        <v>22220.799999999999</v>
      </c>
      <c r="Y313" s="36">
        <v>43864</v>
      </c>
      <c r="Z313" s="34" t="s">
        <v>1448</v>
      </c>
    </row>
    <row r="314" spans="1:26" x14ac:dyDescent="0.25">
      <c r="A314" s="34" t="s">
        <v>1441</v>
      </c>
      <c r="B314" s="34" t="s">
        <v>1442</v>
      </c>
      <c r="C314" s="34" t="s">
        <v>16</v>
      </c>
      <c r="D314" s="34" t="s">
        <v>15</v>
      </c>
      <c r="E314" s="35">
        <v>30040992</v>
      </c>
      <c r="F314" s="34" t="s">
        <v>756</v>
      </c>
      <c r="G314" s="39">
        <v>10047839</v>
      </c>
      <c r="H314" s="42">
        <v>30040992</v>
      </c>
      <c r="I314" s="34" t="s">
        <v>339</v>
      </c>
      <c r="J314" s="34" t="s">
        <v>1443</v>
      </c>
      <c r="K314" s="36">
        <v>41064</v>
      </c>
      <c r="L314" s="34" t="s">
        <v>1444</v>
      </c>
      <c r="M314" s="34" t="s">
        <v>1445</v>
      </c>
      <c r="N314" s="34" t="s">
        <v>717</v>
      </c>
      <c r="O314" s="34" t="s">
        <v>717</v>
      </c>
      <c r="P314" s="34" t="s">
        <v>1470</v>
      </c>
      <c r="Q314" s="34" t="s">
        <v>1470</v>
      </c>
      <c r="R314" s="34" t="s">
        <v>1471</v>
      </c>
      <c r="S314" s="34" t="s">
        <v>1471</v>
      </c>
      <c r="T314" s="34" t="s">
        <v>756</v>
      </c>
      <c r="U314" s="34" t="s">
        <v>756</v>
      </c>
      <c r="V314" s="37">
        <v>12.45</v>
      </c>
      <c r="W314" s="45">
        <v>2778.94</v>
      </c>
      <c r="X314" s="37">
        <v>22220.799999999999</v>
      </c>
      <c r="Y314" s="36">
        <v>43864</v>
      </c>
      <c r="Z314" s="34" t="s">
        <v>1448</v>
      </c>
    </row>
    <row r="315" spans="1:26" x14ac:dyDescent="0.25">
      <c r="A315" s="34" t="s">
        <v>1441</v>
      </c>
      <c r="B315" s="34" t="s">
        <v>1442</v>
      </c>
      <c r="C315" s="34" t="s">
        <v>16</v>
      </c>
      <c r="D315" s="34" t="s">
        <v>15</v>
      </c>
      <c r="E315" s="35">
        <v>30040993</v>
      </c>
      <c r="F315" s="34" t="s">
        <v>21</v>
      </c>
      <c r="G315" s="39">
        <v>10047966</v>
      </c>
      <c r="H315" s="42">
        <v>30040993</v>
      </c>
      <c r="I315" s="34" t="s">
        <v>340</v>
      </c>
      <c r="J315" s="34" t="s">
        <v>1443</v>
      </c>
      <c r="K315" s="36">
        <v>41078</v>
      </c>
      <c r="L315" s="34" t="s">
        <v>1444</v>
      </c>
      <c r="M315" s="34" t="s">
        <v>1445</v>
      </c>
      <c r="N315" s="34" t="s">
        <v>717</v>
      </c>
      <c r="O315" s="34" t="s">
        <v>717</v>
      </c>
      <c r="P315" s="34" t="s">
        <v>1462</v>
      </c>
      <c r="Q315" s="34" t="s">
        <v>1462</v>
      </c>
      <c r="R315" s="34" t="s">
        <v>1463</v>
      </c>
      <c r="S315" s="34" t="s">
        <v>1463</v>
      </c>
      <c r="T315" s="34" t="s">
        <v>21</v>
      </c>
      <c r="U315" s="34" t="s">
        <v>21</v>
      </c>
      <c r="V315" s="37">
        <v>11.71</v>
      </c>
      <c r="W315" s="45">
        <v>2613.77</v>
      </c>
      <c r="X315" s="37">
        <v>22220.84</v>
      </c>
      <c r="Y315" s="36">
        <v>43864</v>
      </c>
      <c r="Z315" s="34" t="s">
        <v>1448</v>
      </c>
    </row>
    <row r="316" spans="1:26" x14ac:dyDescent="0.25">
      <c r="A316" s="34" t="s">
        <v>1441</v>
      </c>
      <c r="B316" s="34" t="s">
        <v>1442</v>
      </c>
      <c r="C316" s="34" t="s">
        <v>16</v>
      </c>
      <c r="D316" s="34" t="s">
        <v>15</v>
      </c>
      <c r="E316" s="35">
        <v>30040994</v>
      </c>
      <c r="F316" s="34" t="s">
        <v>21</v>
      </c>
      <c r="G316" s="39">
        <v>10047969</v>
      </c>
      <c r="H316" s="42">
        <v>30040994</v>
      </c>
      <c r="I316" s="34" t="s">
        <v>341</v>
      </c>
      <c r="J316" s="34" t="s">
        <v>1443</v>
      </c>
      <c r="K316" s="36">
        <v>41078</v>
      </c>
      <c r="L316" s="34" t="s">
        <v>1444</v>
      </c>
      <c r="M316" s="34" t="s">
        <v>1445</v>
      </c>
      <c r="N316" s="34" t="s">
        <v>717</v>
      </c>
      <c r="O316" s="34" t="s">
        <v>717</v>
      </c>
      <c r="P316" s="34" t="s">
        <v>1462</v>
      </c>
      <c r="Q316" s="34" t="s">
        <v>1462</v>
      </c>
      <c r="R316" s="34" t="s">
        <v>1478</v>
      </c>
      <c r="S316" s="34" t="s">
        <v>1478</v>
      </c>
      <c r="T316" s="34" t="s">
        <v>21</v>
      </c>
      <c r="U316" s="34" t="s">
        <v>21</v>
      </c>
      <c r="V316" s="37">
        <v>11.71</v>
      </c>
      <c r="W316" s="45">
        <v>2613.77</v>
      </c>
      <c r="X316" s="37">
        <v>22220.84</v>
      </c>
      <c r="Y316" s="36">
        <v>43864</v>
      </c>
      <c r="Z316" s="34" t="s">
        <v>1448</v>
      </c>
    </row>
    <row r="317" spans="1:26" x14ac:dyDescent="0.25">
      <c r="A317" s="34" t="s">
        <v>1441</v>
      </c>
      <c r="B317" s="34" t="s">
        <v>1442</v>
      </c>
      <c r="C317" s="34" t="s">
        <v>16</v>
      </c>
      <c r="D317" s="34" t="s">
        <v>15</v>
      </c>
      <c r="E317" s="35">
        <v>30040995</v>
      </c>
      <c r="F317" s="34" t="s">
        <v>756</v>
      </c>
      <c r="G317" s="39">
        <v>10048025</v>
      </c>
      <c r="H317" s="42">
        <v>30040995</v>
      </c>
      <c r="I317" s="34" t="s">
        <v>342</v>
      </c>
      <c r="J317" s="34" t="s">
        <v>1443</v>
      </c>
      <c r="K317" s="36">
        <v>41092</v>
      </c>
      <c r="L317" s="34" t="s">
        <v>1444</v>
      </c>
      <c r="M317" s="34" t="s">
        <v>1445</v>
      </c>
      <c r="N317" s="34" t="s">
        <v>717</v>
      </c>
      <c r="O317" s="34" t="s">
        <v>717</v>
      </c>
      <c r="P317" s="34" t="s">
        <v>1470</v>
      </c>
      <c r="Q317" s="34" t="s">
        <v>1470</v>
      </c>
      <c r="R317" s="34" t="s">
        <v>1471</v>
      </c>
      <c r="S317" s="34" t="s">
        <v>1471</v>
      </c>
      <c r="T317" s="34" t="s">
        <v>756</v>
      </c>
      <c r="U317" s="34" t="s">
        <v>756</v>
      </c>
      <c r="V317" s="37">
        <v>11.34</v>
      </c>
      <c r="W317" s="45">
        <v>2531.1799999999998</v>
      </c>
      <c r="X317" s="37">
        <v>22220.81</v>
      </c>
      <c r="Y317" s="36">
        <v>43864</v>
      </c>
      <c r="Z317" s="34" t="s">
        <v>1448</v>
      </c>
    </row>
    <row r="318" spans="1:26" x14ac:dyDescent="0.25">
      <c r="A318" s="34" t="s">
        <v>1441</v>
      </c>
      <c r="B318" s="34" t="s">
        <v>1442</v>
      </c>
      <c r="C318" s="34" t="s">
        <v>16</v>
      </c>
      <c r="D318" s="34" t="s">
        <v>15</v>
      </c>
      <c r="E318" s="35">
        <v>30040996</v>
      </c>
      <c r="F318" s="34" t="s">
        <v>21</v>
      </c>
      <c r="G318" s="39">
        <v>10048028</v>
      </c>
      <c r="H318" s="42">
        <v>30040996</v>
      </c>
      <c r="I318" s="34" t="s">
        <v>343</v>
      </c>
      <c r="J318" s="34" t="s">
        <v>1443</v>
      </c>
      <c r="K318" s="36">
        <v>41092</v>
      </c>
      <c r="L318" s="34" t="s">
        <v>1444</v>
      </c>
      <c r="M318" s="34" t="s">
        <v>1445</v>
      </c>
      <c r="N318" s="34" t="s">
        <v>717</v>
      </c>
      <c r="O318" s="34" t="s">
        <v>717</v>
      </c>
      <c r="P318" s="34" t="s">
        <v>1462</v>
      </c>
      <c r="Q318" s="34" t="s">
        <v>1462</v>
      </c>
      <c r="R318" s="34" t="s">
        <v>1463</v>
      </c>
      <c r="S318" s="34" t="s">
        <v>1463</v>
      </c>
      <c r="T318" s="34" t="s">
        <v>21</v>
      </c>
      <c r="U318" s="34" t="s">
        <v>21</v>
      </c>
      <c r="V318" s="37">
        <v>11.71</v>
      </c>
      <c r="W318" s="45">
        <v>2613.77</v>
      </c>
      <c r="X318" s="37">
        <v>22220.84</v>
      </c>
      <c r="Y318" s="36">
        <v>43864</v>
      </c>
      <c r="Z318" s="34" t="s">
        <v>1448</v>
      </c>
    </row>
    <row r="319" spans="1:26" x14ac:dyDescent="0.25">
      <c r="A319" s="34" t="s">
        <v>1441</v>
      </c>
      <c r="B319" s="34" t="s">
        <v>1442</v>
      </c>
      <c r="C319" s="34" t="s">
        <v>16</v>
      </c>
      <c r="D319" s="34" t="s">
        <v>15</v>
      </c>
      <c r="E319" s="35">
        <v>30040997</v>
      </c>
      <c r="F319" s="34" t="s">
        <v>765</v>
      </c>
      <c r="G319" s="39">
        <v>10048052</v>
      </c>
      <c r="H319" s="42">
        <v>30040997</v>
      </c>
      <c r="I319" s="34" t="s">
        <v>344</v>
      </c>
      <c r="J319" s="34" t="s">
        <v>1443</v>
      </c>
      <c r="K319" s="36">
        <v>41092</v>
      </c>
      <c r="L319" s="34" t="s">
        <v>1444</v>
      </c>
      <c r="M319" s="34" t="s">
        <v>1445</v>
      </c>
      <c r="N319" s="34" t="s">
        <v>717</v>
      </c>
      <c r="O319" s="34" t="s">
        <v>717</v>
      </c>
      <c r="P319" s="34" t="s">
        <v>1474</v>
      </c>
      <c r="Q319" s="34" t="s">
        <v>1474</v>
      </c>
      <c r="R319" s="34" t="s">
        <v>1485</v>
      </c>
      <c r="S319" s="34" t="s">
        <v>1485</v>
      </c>
      <c r="T319" s="34" t="s">
        <v>765</v>
      </c>
      <c r="U319" s="34" t="s">
        <v>765</v>
      </c>
      <c r="V319" s="37">
        <v>9.9</v>
      </c>
      <c r="W319" s="45">
        <v>9.9</v>
      </c>
      <c r="X319" s="37">
        <v>0</v>
      </c>
      <c r="Y319" s="36">
        <v>43864</v>
      </c>
      <c r="Z319" s="34" t="s">
        <v>1448</v>
      </c>
    </row>
    <row r="320" spans="1:26" x14ac:dyDescent="0.25">
      <c r="A320" s="34" t="s">
        <v>1441</v>
      </c>
      <c r="B320" s="34" t="s">
        <v>1442</v>
      </c>
      <c r="C320" s="34" t="s">
        <v>6</v>
      </c>
      <c r="D320" s="34" t="s">
        <v>15</v>
      </c>
      <c r="E320" s="35">
        <v>30040998</v>
      </c>
      <c r="F320" s="34" t="s">
        <v>753</v>
      </c>
      <c r="G320" s="39">
        <v>10048063</v>
      </c>
      <c r="H320" s="42">
        <v>30040998</v>
      </c>
      <c r="I320" s="34" t="s">
        <v>345</v>
      </c>
      <c r="J320" s="34" t="s">
        <v>1443</v>
      </c>
      <c r="K320" s="36">
        <v>41092</v>
      </c>
      <c r="L320" s="34" t="s">
        <v>1444</v>
      </c>
      <c r="M320" s="34" t="s">
        <v>1445</v>
      </c>
      <c r="N320" s="34" t="s">
        <v>717</v>
      </c>
      <c r="O320" s="34" t="s">
        <v>717</v>
      </c>
      <c r="P320" s="34" t="s">
        <v>1454</v>
      </c>
      <c r="Q320" s="34" t="s">
        <v>1454</v>
      </c>
      <c r="R320" s="34" t="s">
        <v>1455</v>
      </c>
      <c r="S320" s="34" t="s">
        <v>1455</v>
      </c>
      <c r="T320" s="34" t="s">
        <v>753</v>
      </c>
      <c r="U320" s="34" t="s">
        <v>753</v>
      </c>
      <c r="V320" s="37">
        <v>16.53</v>
      </c>
      <c r="W320" s="45">
        <v>3689.63</v>
      </c>
      <c r="X320" s="37">
        <v>22220.81</v>
      </c>
      <c r="Y320" s="36">
        <v>43864</v>
      </c>
      <c r="Z320" s="34" t="s">
        <v>1448</v>
      </c>
    </row>
    <row r="321" spans="1:26" x14ac:dyDescent="0.25">
      <c r="A321" s="34" t="s">
        <v>1441</v>
      </c>
      <c r="B321" s="34" t="s">
        <v>1442</v>
      </c>
      <c r="C321" s="34" t="s">
        <v>16</v>
      </c>
      <c r="D321" s="34" t="s">
        <v>15</v>
      </c>
      <c r="E321" s="35">
        <v>30040999</v>
      </c>
      <c r="F321" s="34" t="s">
        <v>756</v>
      </c>
      <c r="G321" s="39">
        <v>10048073</v>
      </c>
      <c r="H321" s="42">
        <v>30040999</v>
      </c>
      <c r="I321" s="34" t="s">
        <v>346</v>
      </c>
      <c r="J321" s="34" t="s">
        <v>1443</v>
      </c>
      <c r="K321" s="36">
        <v>41092</v>
      </c>
      <c r="L321" s="34" t="s">
        <v>1444</v>
      </c>
      <c r="M321" s="34" t="s">
        <v>1445</v>
      </c>
      <c r="N321" s="34" t="s">
        <v>717</v>
      </c>
      <c r="O321" s="34" t="s">
        <v>717</v>
      </c>
      <c r="P321" s="34" t="s">
        <v>1470</v>
      </c>
      <c r="Q321" s="34" t="s">
        <v>1470</v>
      </c>
      <c r="R321" s="34" t="s">
        <v>1471</v>
      </c>
      <c r="S321" s="34" t="s">
        <v>1471</v>
      </c>
      <c r="T321" s="34" t="s">
        <v>756</v>
      </c>
      <c r="U321" s="34" t="s">
        <v>756</v>
      </c>
      <c r="V321" s="37">
        <v>11.34</v>
      </c>
      <c r="W321" s="45">
        <v>2531.1799999999998</v>
      </c>
      <c r="X321" s="37">
        <v>22220.81</v>
      </c>
      <c r="Y321" s="36">
        <v>43864</v>
      </c>
      <c r="Z321" s="34" t="s">
        <v>1448</v>
      </c>
    </row>
    <row r="322" spans="1:26" x14ac:dyDescent="0.25">
      <c r="A322" s="34" t="s">
        <v>1441</v>
      </c>
      <c r="B322" s="34" t="s">
        <v>1442</v>
      </c>
      <c r="C322" s="34" t="s">
        <v>6</v>
      </c>
      <c r="D322" s="34" t="s">
        <v>15</v>
      </c>
      <c r="E322" s="35">
        <v>30041000</v>
      </c>
      <c r="F322" s="34" t="s">
        <v>19</v>
      </c>
      <c r="G322" s="39">
        <v>10048074</v>
      </c>
      <c r="H322" s="42">
        <v>30041000</v>
      </c>
      <c r="I322" s="34" t="s">
        <v>347</v>
      </c>
      <c r="J322" s="34" t="s">
        <v>1443</v>
      </c>
      <c r="K322" s="36">
        <v>41092</v>
      </c>
      <c r="L322" s="34" t="s">
        <v>1444</v>
      </c>
      <c r="M322" s="34" t="s">
        <v>1445</v>
      </c>
      <c r="N322" s="34" t="s">
        <v>717</v>
      </c>
      <c r="O322" s="34" t="s">
        <v>717</v>
      </c>
      <c r="P322" s="34" t="s">
        <v>1460</v>
      </c>
      <c r="Q322" s="34" t="s">
        <v>1460</v>
      </c>
      <c r="R322" s="34" t="s">
        <v>1461</v>
      </c>
      <c r="S322" s="34" t="s">
        <v>1461</v>
      </c>
      <c r="T322" s="34" t="s">
        <v>19</v>
      </c>
      <c r="U322" s="34" t="s">
        <v>19</v>
      </c>
      <c r="V322" s="37">
        <v>10.26</v>
      </c>
      <c r="W322" s="45">
        <v>2290.12</v>
      </c>
      <c r="X322" s="37">
        <v>22220.86</v>
      </c>
      <c r="Y322" s="36">
        <v>43864</v>
      </c>
      <c r="Z322" s="34" t="s">
        <v>1448</v>
      </c>
    </row>
    <row r="323" spans="1:26" x14ac:dyDescent="0.25">
      <c r="A323" s="34" t="s">
        <v>1441</v>
      </c>
      <c r="B323" s="34" t="s">
        <v>1442</v>
      </c>
      <c r="C323" s="34" t="s">
        <v>16</v>
      </c>
      <c r="D323" s="34" t="s">
        <v>15</v>
      </c>
      <c r="E323" s="35">
        <v>30041001</v>
      </c>
      <c r="F323" s="34" t="s">
        <v>765</v>
      </c>
      <c r="G323" s="39">
        <v>10048077</v>
      </c>
      <c r="H323" s="42">
        <v>30041001</v>
      </c>
      <c r="I323" s="34" t="s">
        <v>348</v>
      </c>
      <c r="J323" s="34" t="s">
        <v>1443</v>
      </c>
      <c r="K323" s="36">
        <v>41092</v>
      </c>
      <c r="L323" s="34" t="s">
        <v>1444</v>
      </c>
      <c r="M323" s="34" t="s">
        <v>1445</v>
      </c>
      <c r="N323" s="34" t="s">
        <v>717</v>
      </c>
      <c r="O323" s="34" t="s">
        <v>717</v>
      </c>
      <c r="P323" s="34" t="s">
        <v>1490</v>
      </c>
      <c r="Q323" s="34" t="s">
        <v>1490</v>
      </c>
      <c r="R323" s="34" t="s">
        <v>1491</v>
      </c>
      <c r="S323" s="34" t="s">
        <v>1491</v>
      </c>
      <c r="T323" s="34" t="s">
        <v>765</v>
      </c>
      <c r="U323" s="34" t="s">
        <v>765</v>
      </c>
      <c r="V323" s="37">
        <v>8.59</v>
      </c>
      <c r="W323" s="45">
        <v>1917.36</v>
      </c>
      <c r="X323" s="37">
        <v>22220.84</v>
      </c>
      <c r="Y323" s="36">
        <v>43864</v>
      </c>
      <c r="Z323" s="34" t="s">
        <v>1448</v>
      </c>
    </row>
    <row r="324" spans="1:26" x14ac:dyDescent="0.25">
      <c r="A324" s="34" t="s">
        <v>1441</v>
      </c>
      <c r="B324" s="34" t="s">
        <v>1442</v>
      </c>
      <c r="C324" s="34" t="s">
        <v>16</v>
      </c>
      <c r="D324" s="34" t="s">
        <v>15</v>
      </c>
      <c r="E324" s="35">
        <v>30041335</v>
      </c>
      <c r="F324" s="34" t="s">
        <v>761</v>
      </c>
      <c r="G324" s="39">
        <v>10048290</v>
      </c>
      <c r="H324" s="42">
        <v>30041335</v>
      </c>
      <c r="I324" s="34" t="s">
        <v>349</v>
      </c>
      <c r="J324" s="34" t="s">
        <v>1443</v>
      </c>
      <c r="K324" s="36">
        <v>41127</v>
      </c>
      <c r="L324" s="34" t="s">
        <v>1444</v>
      </c>
      <c r="M324" s="34" t="s">
        <v>1445</v>
      </c>
      <c r="N324" s="34" t="s">
        <v>717</v>
      </c>
      <c r="O324" s="34" t="s">
        <v>717</v>
      </c>
      <c r="P324" s="34" t="s">
        <v>1474</v>
      </c>
      <c r="Q324" s="34" t="s">
        <v>1474</v>
      </c>
      <c r="R324" s="34" t="s">
        <v>1485</v>
      </c>
      <c r="S324" s="34" t="s">
        <v>1485</v>
      </c>
      <c r="T324" s="34" t="s">
        <v>761</v>
      </c>
      <c r="U324" s="34" t="s">
        <v>761</v>
      </c>
      <c r="V324" s="37">
        <v>11.71</v>
      </c>
      <c r="W324" s="45">
        <v>2138.54</v>
      </c>
      <c r="X324" s="37">
        <v>18162.509999999998</v>
      </c>
      <c r="Y324" s="36">
        <v>43864</v>
      </c>
      <c r="Z324" s="34" t="s">
        <v>1448</v>
      </c>
    </row>
    <row r="325" spans="1:26" x14ac:dyDescent="0.25">
      <c r="A325" s="34" t="s">
        <v>1441</v>
      </c>
      <c r="B325" s="34" t="s">
        <v>1442</v>
      </c>
      <c r="C325" s="34" t="s">
        <v>16</v>
      </c>
      <c r="D325" s="34" t="s">
        <v>15</v>
      </c>
      <c r="E325" s="35">
        <v>30041003</v>
      </c>
      <c r="F325" s="34" t="s">
        <v>756</v>
      </c>
      <c r="G325" s="39">
        <v>10048438</v>
      </c>
      <c r="H325" s="42">
        <v>30041003</v>
      </c>
      <c r="I325" s="34" t="s">
        <v>350</v>
      </c>
      <c r="J325" s="34" t="s">
        <v>1443</v>
      </c>
      <c r="K325" s="36">
        <v>41141</v>
      </c>
      <c r="L325" s="34" t="s">
        <v>1444</v>
      </c>
      <c r="M325" s="34" t="s">
        <v>1445</v>
      </c>
      <c r="N325" s="34" t="s">
        <v>717</v>
      </c>
      <c r="O325" s="34" t="s">
        <v>717</v>
      </c>
      <c r="P325" s="34" t="s">
        <v>1470</v>
      </c>
      <c r="Q325" s="34" t="s">
        <v>1470</v>
      </c>
      <c r="R325" s="34" t="s">
        <v>1482</v>
      </c>
      <c r="S325" s="34" t="s">
        <v>1482</v>
      </c>
      <c r="T325" s="34" t="s">
        <v>756</v>
      </c>
      <c r="U325" s="34" t="s">
        <v>756</v>
      </c>
      <c r="V325" s="37">
        <v>11.34</v>
      </c>
      <c r="W325" s="45">
        <v>2531.1799999999998</v>
      </c>
      <c r="X325" s="37">
        <v>22220.81</v>
      </c>
      <c r="Y325" s="36">
        <v>43864</v>
      </c>
      <c r="Z325" s="34" t="s">
        <v>1448</v>
      </c>
    </row>
    <row r="326" spans="1:26" x14ac:dyDescent="0.25">
      <c r="A326" s="34" t="s">
        <v>1441</v>
      </c>
      <c r="B326" s="34" t="s">
        <v>1442</v>
      </c>
      <c r="C326" s="34" t="s">
        <v>16</v>
      </c>
      <c r="D326" s="34" t="s">
        <v>15</v>
      </c>
      <c r="E326" s="35">
        <v>30041004</v>
      </c>
      <c r="F326" s="34" t="s">
        <v>21</v>
      </c>
      <c r="G326" s="39">
        <v>10048724</v>
      </c>
      <c r="H326" s="42">
        <v>30041004</v>
      </c>
      <c r="I326" s="34" t="s">
        <v>351</v>
      </c>
      <c r="J326" s="34" t="s">
        <v>1443</v>
      </c>
      <c r="K326" s="36">
        <v>41220</v>
      </c>
      <c r="L326" s="34" t="s">
        <v>1444</v>
      </c>
      <c r="M326" s="34" t="s">
        <v>1445</v>
      </c>
      <c r="N326" s="34" t="s">
        <v>717</v>
      </c>
      <c r="O326" s="34" t="s">
        <v>717</v>
      </c>
      <c r="P326" s="34" t="s">
        <v>1462</v>
      </c>
      <c r="Q326" s="34" t="s">
        <v>1462</v>
      </c>
      <c r="R326" s="34" t="s">
        <v>1463</v>
      </c>
      <c r="S326" s="34" t="s">
        <v>1463</v>
      </c>
      <c r="T326" s="34" t="s">
        <v>21</v>
      </c>
      <c r="U326" s="34" t="s">
        <v>21</v>
      </c>
      <c r="V326" s="37">
        <v>11.71</v>
      </c>
      <c r="W326" s="45">
        <v>2613.77</v>
      </c>
      <c r="X326" s="37">
        <v>22220.84</v>
      </c>
      <c r="Y326" s="36">
        <v>43864</v>
      </c>
      <c r="Z326" s="34" t="s">
        <v>1448</v>
      </c>
    </row>
    <row r="327" spans="1:26" x14ac:dyDescent="0.25">
      <c r="A327" s="34" t="s">
        <v>1441</v>
      </c>
      <c r="B327" s="34" t="s">
        <v>1442</v>
      </c>
      <c r="C327" s="34" t="s">
        <v>16</v>
      </c>
      <c r="D327" s="34" t="s">
        <v>15</v>
      </c>
      <c r="E327" s="35">
        <v>30041005</v>
      </c>
      <c r="F327" s="34" t="s">
        <v>21</v>
      </c>
      <c r="G327" s="39">
        <v>10048726</v>
      </c>
      <c r="H327" s="42">
        <v>30041005</v>
      </c>
      <c r="I327" s="34" t="s">
        <v>352</v>
      </c>
      <c r="J327" s="34" t="s">
        <v>1443</v>
      </c>
      <c r="K327" s="36">
        <v>41220</v>
      </c>
      <c r="L327" s="34" t="s">
        <v>1444</v>
      </c>
      <c r="M327" s="34" t="s">
        <v>1445</v>
      </c>
      <c r="N327" s="34" t="s">
        <v>717</v>
      </c>
      <c r="O327" s="34" t="s">
        <v>717</v>
      </c>
      <c r="P327" s="34" t="s">
        <v>1462</v>
      </c>
      <c r="Q327" s="34" t="s">
        <v>1462</v>
      </c>
      <c r="R327" s="34" t="s">
        <v>1463</v>
      </c>
      <c r="S327" s="34" t="s">
        <v>1463</v>
      </c>
      <c r="T327" s="34" t="s">
        <v>21</v>
      </c>
      <c r="U327" s="34" t="s">
        <v>21</v>
      </c>
      <c r="V327" s="37">
        <v>11.71</v>
      </c>
      <c r="W327" s="45">
        <v>2613.77</v>
      </c>
      <c r="X327" s="37">
        <v>22220.84</v>
      </c>
      <c r="Y327" s="36">
        <v>43864</v>
      </c>
      <c r="Z327" s="34" t="s">
        <v>1448</v>
      </c>
    </row>
    <row r="328" spans="1:26" x14ac:dyDescent="0.25">
      <c r="A328" s="34" t="s">
        <v>1441</v>
      </c>
      <c r="B328" s="34" t="s">
        <v>1442</v>
      </c>
      <c r="C328" s="34" t="s">
        <v>16</v>
      </c>
      <c r="D328" s="34" t="s">
        <v>15</v>
      </c>
      <c r="E328" s="35">
        <v>30041006</v>
      </c>
      <c r="F328" s="34" t="s">
        <v>755</v>
      </c>
      <c r="G328" s="39">
        <v>10048882</v>
      </c>
      <c r="H328" s="42">
        <v>30041006</v>
      </c>
      <c r="I328" s="34" t="s">
        <v>353</v>
      </c>
      <c r="J328" s="34" t="s">
        <v>1443</v>
      </c>
      <c r="K328" s="36">
        <v>41246</v>
      </c>
      <c r="L328" s="34" t="s">
        <v>1444</v>
      </c>
      <c r="M328" s="34" t="s">
        <v>1445</v>
      </c>
      <c r="N328" s="34" t="s">
        <v>717</v>
      </c>
      <c r="O328" s="34" t="s">
        <v>717</v>
      </c>
      <c r="P328" s="34" t="s">
        <v>1468</v>
      </c>
      <c r="Q328" s="34" t="s">
        <v>1468</v>
      </c>
      <c r="R328" s="34" t="s">
        <v>1469</v>
      </c>
      <c r="S328" s="34" t="s">
        <v>1469</v>
      </c>
      <c r="T328" s="34" t="s">
        <v>755</v>
      </c>
      <c r="U328" s="34" t="s">
        <v>755</v>
      </c>
      <c r="V328" s="37">
        <v>11.02</v>
      </c>
      <c r="W328" s="45">
        <v>2459.7600000000002</v>
      </c>
      <c r="X328" s="37">
        <v>22220.87</v>
      </c>
      <c r="Y328" s="36">
        <v>43864</v>
      </c>
      <c r="Z328" s="34" t="s">
        <v>1448</v>
      </c>
    </row>
    <row r="329" spans="1:26" x14ac:dyDescent="0.25">
      <c r="A329" s="34" t="s">
        <v>1441</v>
      </c>
      <c r="B329" s="34" t="s">
        <v>1442</v>
      </c>
      <c r="C329" s="34" t="s">
        <v>16</v>
      </c>
      <c r="D329" s="34" t="s">
        <v>15</v>
      </c>
      <c r="E329" s="35">
        <v>30041336</v>
      </c>
      <c r="F329" s="34" t="s">
        <v>761</v>
      </c>
      <c r="G329" s="39">
        <v>10048886</v>
      </c>
      <c r="H329" s="42">
        <v>30041336</v>
      </c>
      <c r="I329" s="34" t="s">
        <v>354</v>
      </c>
      <c r="J329" s="34" t="s">
        <v>1443</v>
      </c>
      <c r="K329" s="36">
        <v>41246</v>
      </c>
      <c r="L329" s="34" t="s">
        <v>1444</v>
      </c>
      <c r="M329" s="34" t="s">
        <v>1445</v>
      </c>
      <c r="N329" s="34" t="s">
        <v>717</v>
      </c>
      <c r="O329" s="34" t="s">
        <v>717</v>
      </c>
      <c r="P329" s="34" t="s">
        <v>1474</v>
      </c>
      <c r="Q329" s="34" t="s">
        <v>1474</v>
      </c>
      <c r="R329" s="34" t="s">
        <v>1485</v>
      </c>
      <c r="S329" s="34" t="s">
        <v>1485</v>
      </c>
      <c r="T329" s="34" t="s">
        <v>761</v>
      </c>
      <c r="U329" s="34" t="s">
        <v>761</v>
      </c>
      <c r="V329" s="37">
        <v>11.71</v>
      </c>
      <c r="W329" s="45">
        <v>2138.54</v>
      </c>
      <c r="X329" s="37">
        <v>18162.509999999998</v>
      </c>
      <c r="Y329" s="36">
        <v>43864</v>
      </c>
      <c r="Z329" s="34" t="s">
        <v>1448</v>
      </c>
    </row>
    <row r="330" spans="1:26" x14ac:dyDescent="0.25">
      <c r="A330" s="34" t="s">
        <v>1441</v>
      </c>
      <c r="B330" s="34" t="s">
        <v>1442</v>
      </c>
      <c r="C330" s="34" t="s">
        <v>6</v>
      </c>
      <c r="D330" s="34" t="s">
        <v>15</v>
      </c>
      <c r="E330" s="35">
        <v>30041008</v>
      </c>
      <c r="F330" s="34" t="s">
        <v>19</v>
      </c>
      <c r="G330" s="39">
        <v>10048919</v>
      </c>
      <c r="H330" s="42">
        <v>30041008</v>
      </c>
      <c r="I330" s="34" t="s">
        <v>355</v>
      </c>
      <c r="J330" s="34" t="s">
        <v>1443</v>
      </c>
      <c r="K330" s="36">
        <v>41248</v>
      </c>
      <c r="L330" s="34" t="s">
        <v>1444</v>
      </c>
      <c r="M330" s="34" t="s">
        <v>1445</v>
      </c>
      <c r="N330" s="34" t="s">
        <v>717</v>
      </c>
      <c r="O330" s="34" t="s">
        <v>717</v>
      </c>
      <c r="P330" s="34" t="s">
        <v>1460</v>
      </c>
      <c r="Q330" s="34" t="s">
        <v>1460</v>
      </c>
      <c r="R330" s="34" t="s">
        <v>1506</v>
      </c>
      <c r="S330" s="34" t="s">
        <v>1506</v>
      </c>
      <c r="T330" s="34" t="s">
        <v>19</v>
      </c>
      <c r="U330" s="34" t="s">
        <v>19</v>
      </c>
      <c r="V330" s="37">
        <v>10.26</v>
      </c>
      <c r="W330" s="45">
        <v>2290.12</v>
      </c>
      <c r="X330" s="37">
        <v>22220.86</v>
      </c>
      <c r="Y330" s="36">
        <v>43864</v>
      </c>
      <c r="Z330" s="34" t="s">
        <v>1448</v>
      </c>
    </row>
    <row r="331" spans="1:26" x14ac:dyDescent="0.25">
      <c r="A331" s="34" t="s">
        <v>1441</v>
      </c>
      <c r="B331" s="34" t="s">
        <v>1442</v>
      </c>
      <c r="C331" s="34" t="s">
        <v>16</v>
      </c>
      <c r="D331" s="34" t="s">
        <v>15</v>
      </c>
      <c r="E331" s="35">
        <v>30041009</v>
      </c>
      <c r="F331" s="34" t="s">
        <v>758</v>
      </c>
      <c r="G331" s="39">
        <v>10049138</v>
      </c>
      <c r="H331" s="42">
        <v>30041009</v>
      </c>
      <c r="I331" s="34" t="s">
        <v>356</v>
      </c>
      <c r="J331" s="34" t="s">
        <v>1443</v>
      </c>
      <c r="K331" s="36">
        <v>41253</v>
      </c>
      <c r="L331" s="34" t="s">
        <v>1444</v>
      </c>
      <c r="M331" s="34" t="s">
        <v>1445</v>
      </c>
      <c r="N331" s="34" t="s">
        <v>717</v>
      </c>
      <c r="O331" s="34" t="s">
        <v>717</v>
      </c>
      <c r="P331" s="34" t="s">
        <v>1449</v>
      </c>
      <c r="Q331" s="34" t="s">
        <v>1449</v>
      </c>
      <c r="R331" s="34" t="s">
        <v>1450</v>
      </c>
      <c r="S331" s="34" t="s">
        <v>1450</v>
      </c>
      <c r="T331" s="34" t="s">
        <v>758</v>
      </c>
      <c r="U331" s="34" t="s">
        <v>758</v>
      </c>
      <c r="V331" s="37">
        <v>14.48</v>
      </c>
      <c r="W331" s="45">
        <v>3232.06</v>
      </c>
      <c r="X331" s="37">
        <v>22220.86</v>
      </c>
      <c r="Y331" s="36">
        <v>43864</v>
      </c>
      <c r="Z331" s="34" t="s">
        <v>1448</v>
      </c>
    </row>
    <row r="332" spans="1:26" x14ac:dyDescent="0.25">
      <c r="A332" s="34" t="s">
        <v>1441</v>
      </c>
      <c r="B332" s="34" t="s">
        <v>1442</v>
      </c>
      <c r="C332" s="34" t="s">
        <v>16</v>
      </c>
      <c r="D332" s="34" t="s">
        <v>15</v>
      </c>
      <c r="E332" s="35">
        <v>30041010</v>
      </c>
      <c r="F332" s="34" t="s">
        <v>755</v>
      </c>
      <c r="G332" s="39">
        <v>10049140</v>
      </c>
      <c r="H332" s="42">
        <v>30041010</v>
      </c>
      <c r="I332" s="34" t="s">
        <v>357</v>
      </c>
      <c r="J332" s="34" t="s">
        <v>1443</v>
      </c>
      <c r="K332" s="36">
        <v>41253</v>
      </c>
      <c r="L332" s="34" t="s">
        <v>1444</v>
      </c>
      <c r="M332" s="34" t="s">
        <v>1445</v>
      </c>
      <c r="N332" s="34" t="s">
        <v>717</v>
      </c>
      <c r="O332" s="34" t="s">
        <v>717</v>
      </c>
      <c r="P332" s="34" t="s">
        <v>1468</v>
      </c>
      <c r="Q332" s="34" t="s">
        <v>1468</v>
      </c>
      <c r="R332" s="34" t="s">
        <v>1469</v>
      </c>
      <c r="S332" s="34" t="s">
        <v>1469</v>
      </c>
      <c r="T332" s="34" t="s">
        <v>755</v>
      </c>
      <c r="U332" s="34" t="s">
        <v>755</v>
      </c>
      <c r="V332" s="37">
        <v>11.02</v>
      </c>
      <c r="W332" s="45">
        <v>2459.7600000000002</v>
      </c>
      <c r="X332" s="37">
        <v>22220.87</v>
      </c>
      <c r="Y332" s="36">
        <v>43864</v>
      </c>
      <c r="Z332" s="34" t="s">
        <v>1448</v>
      </c>
    </row>
    <row r="333" spans="1:26" x14ac:dyDescent="0.25">
      <c r="A333" s="34" t="s">
        <v>1441</v>
      </c>
      <c r="B333" s="34" t="s">
        <v>1442</v>
      </c>
      <c r="C333" s="34" t="s">
        <v>16</v>
      </c>
      <c r="D333" s="34" t="s">
        <v>15</v>
      </c>
      <c r="E333" s="35">
        <v>30041011</v>
      </c>
      <c r="F333" s="34" t="s">
        <v>21</v>
      </c>
      <c r="G333" s="39">
        <v>10049434</v>
      </c>
      <c r="H333" s="42">
        <v>30041011</v>
      </c>
      <c r="I333" s="34" t="s">
        <v>358</v>
      </c>
      <c r="J333" s="34" t="s">
        <v>1443</v>
      </c>
      <c r="K333" s="36">
        <v>41295</v>
      </c>
      <c r="L333" s="34" t="s">
        <v>1444</v>
      </c>
      <c r="M333" s="34" t="s">
        <v>1445</v>
      </c>
      <c r="N333" s="34" t="s">
        <v>717</v>
      </c>
      <c r="O333" s="34" t="s">
        <v>717</v>
      </c>
      <c r="P333" s="34" t="s">
        <v>1462</v>
      </c>
      <c r="Q333" s="34" t="s">
        <v>1462</v>
      </c>
      <c r="R333" s="34" t="s">
        <v>1494</v>
      </c>
      <c r="S333" s="34" t="s">
        <v>1494</v>
      </c>
      <c r="T333" s="34" t="s">
        <v>21</v>
      </c>
      <c r="U333" s="34" t="s">
        <v>21</v>
      </c>
      <c r="V333" s="37">
        <v>10.55</v>
      </c>
      <c r="W333" s="45">
        <v>2354.85</v>
      </c>
      <c r="X333" s="37">
        <v>22220.85</v>
      </c>
      <c r="Y333" s="36">
        <v>43864</v>
      </c>
      <c r="Z333" s="34" t="s">
        <v>1448</v>
      </c>
    </row>
    <row r="334" spans="1:26" x14ac:dyDescent="0.25">
      <c r="A334" s="34" t="s">
        <v>1441</v>
      </c>
      <c r="B334" s="34" t="s">
        <v>1442</v>
      </c>
      <c r="C334" s="34" t="s">
        <v>16</v>
      </c>
      <c r="D334" s="34" t="s">
        <v>15</v>
      </c>
      <c r="E334" s="35">
        <v>30041012</v>
      </c>
      <c r="F334" s="34" t="s">
        <v>765</v>
      </c>
      <c r="G334" s="39">
        <v>10049455</v>
      </c>
      <c r="H334" s="42">
        <v>30041012</v>
      </c>
      <c r="I334" s="34" t="s">
        <v>359</v>
      </c>
      <c r="J334" s="34" t="s">
        <v>1443</v>
      </c>
      <c r="K334" s="36">
        <v>41295</v>
      </c>
      <c r="L334" s="34" t="s">
        <v>1444</v>
      </c>
      <c r="M334" s="34" t="s">
        <v>1445</v>
      </c>
      <c r="N334" s="34" t="s">
        <v>717</v>
      </c>
      <c r="O334" s="34" t="s">
        <v>717</v>
      </c>
      <c r="P334" s="34" t="s">
        <v>1462</v>
      </c>
      <c r="Q334" s="34" t="s">
        <v>1462</v>
      </c>
      <c r="R334" s="34" t="s">
        <v>1494</v>
      </c>
      <c r="S334" s="34" t="s">
        <v>1494</v>
      </c>
      <c r="T334" s="34" t="s">
        <v>765</v>
      </c>
      <c r="U334" s="34" t="s">
        <v>765</v>
      </c>
      <c r="V334" s="37">
        <v>8.59</v>
      </c>
      <c r="W334" s="45">
        <v>1917.36</v>
      </c>
      <c r="X334" s="37">
        <v>22220.84</v>
      </c>
      <c r="Y334" s="36">
        <v>43864</v>
      </c>
      <c r="Z334" s="34" t="s">
        <v>1448</v>
      </c>
    </row>
    <row r="335" spans="1:26" x14ac:dyDescent="0.25">
      <c r="A335" s="34" t="s">
        <v>1441</v>
      </c>
      <c r="B335" s="34" t="s">
        <v>1442</v>
      </c>
      <c r="C335" s="34" t="s">
        <v>16</v>
      </c>
      <c r="D335" s="34" t="s">
        <v>15</v>
      </c>
      <c r="E335" s="35">
        <v>30041013</v>
      </c>
      <c r="F335" s="34" t="s">
        <v>759</v>
      </c>
      <c r="G335" s="39">
        <v>10049458</v>
      </c>
      <c r="H335" s="42">
        <v>30041013</v>
      </c>
      <c r="I335" s="34" t="s">
        <v>360</v>
      </c>
      <c r="J335" s="34" t="s">
        <v>1443</v>
      </c>
      <c r="K335" s="36">
        <v>41295</v>
      </c>
      <c r="L335" s="34" t="s">
        <v>1444</v>
      </c>
      <c r="M335" s="34" t="s">
        <v>1445</v>
      </c>
      <c r="N335" s="34" t="s">
        <v>717</v>
      </c>
      <c r="O335" s="34" t="s">
        <v>717</v>
      </c>
      <c r="P335" s="34" t="s">
        <v>1466</v>
      </c>
      <c r="Q335" s="34" t="s">
        <v>1466</v>
      </c>
      <c r="R335" s="34" t="s">
        <v>1467</v>
      </c>
      <c r="S335" s="34" t="s">
        <v>1467</v>
      </c>
      <c r="T335" s="34" t="s">
        <v>759</v>
      </c>
      <c r="U335" s="34" t="s">
        <v>759</v>
      </c>
      <c r="V335" s="37">
        <v>11.34</v>
      </c>
      <c r="W335" s="45">
        <v>2531.1799999999998</v>
      </c>
      <c r="X335" s="37">
        <v>22220.81</v>
      </c>
      <c r="Y335" s="36">
        <v>43864</v>
      </c>
      <c r="Z335" s="34" t="s">
        <v>1448</v>
      </c>
    </row>
    <row r="336" spans="1:26" x14ac:dyDescent="0.25">
      <c r="A336" s="34" t="s">
        <v>1441</v>
      </c>
      <c r="B336" s="34" t="s">
        <v>1442</v>
      </c>
      <c r="C336" s="34" t="s">
        <v>16</v>
      </c>
      <c r="D336" s="34" t="s">
        <v>15</v>
      </c>
      <c r="E336" s="35">
        <v>30041014</v>
      </c>
      <c r="F336" s="34" t="s">
        <v>751</v>
      </c>
      <c r="G336" s="39">
        <v>10049472</v>
      </c>
      <c r="H336" s="42">
        <v>30041014</v>
      </c>
      <c r="I336" s="34" t="s">
        <v>361</v>
      </c>
      <c r="J336" s="34" t="s">
        <v>1443</v>
      </c>
      <c r="K336" s="36">
        <v>41295</v>
      </c>
      <c r="L336" s="34" t="s">
        <v>1444</v>
      </c>
      <c r="M336" s="34" t="s">
        <v>1445</v>
      </c>
      <c r="N336" s="34" t="s">
        <v>717</v>
      </c>
      <c r="O336" s="34" t="s">
        <v>717</v>
      </c>
      <c r="P336" s="34" t="s">
        <v>1446</v>
      </c>
      <c r="Q336" s="34" t="s">
        <v>1446</v>
      </c>
      <c r="R336" s="34" t="s">
        <v>1447</v>
      </c>
      <c r="S336" s="34" t="s">
        <v>1447</v>
      </c>
      <c r="T336" s="34" t="s">
        <v>751</v>
      </c>
      <c r="U336" s="34" t="s">
        <v>751</v>
      </c>
      <c r="V336" s="37">
        <v>17.73</v>
      </c>
      <c r="W336" s="45">
        <v>3957.48</v>
      </c>
      <c r="X336" s="37">
        <v>22220.81</v>
      </c>
      <c r="Y336" s="36">
        <v>43864</v>
      </c>
      <c r="Z336" s="34" t="s">
        <v>1448</v>
      </c>
    </row>
    <row r="337" spans="1:26" x14ac:dyDescent="0.25">
      <c r="A337" s="34" t="s">
        <v>1441</v>
      </c>
      <c r="B337" s="34" t="s">
        <v>1442</v>
      </c>
      <c r="C337" s="34" t="s">
        <v>16</v>
      </c>
      <c r="D337" s="34" t="s">
        <v>15</v>
      </c>
      <c r="E337" s="35">
        <v>30041015</v>
      </c>
      <c r="F337" s="34" t="s">
        <v>751</v>
      </c>
      <c r="G337" s="39">
        <v>10049540</v>
      </c>
      <c r="H337" s="42">
        <v>30041015</v>
      </c>
      <c r="I337" s="34" t="s">
        <v>362</v>
      </c>
      <c r="J337" s="34" t="s">
        <v>1443</v>
      </c>
      <c r="K337" s="36">
        <v>41309</v>
      </c>
      <c r="L337" s="34" t="s">
        <v>1444</v>
      </c>
      <c r="M337" s="34" t="s">
        <v>1445</v>
      </c>
      <c r="N337" s="34" t="s">
        <v>717</v>
      </c>
      <c r="O337" s="34" t="s">
        <v>717</v>
      </c>
      <c r="P337" s="34" t="s">
        <v>1456</v>
      </c>
      <c r="Q337" s="34" t="s">
        <v>1456</v>
      </c>
      <c r="R337" s="34" t="s">
        <v>1457</v>
      </c>
      <c r="S337" s="34" t="s">
        <v>1457</v>
      </c>
      <c r="T337" s="34" t="s">
        <v>751</v>
      </c>
      <c r="U337" s="34" t="s">
        <v>751</v>
      </c>
      <c r="V337" s="37">
        <v>11.02</v>
      </c>
      <c r="W337" s="45">
        <v>2459.7600000000002</v>
      </c>
      <c r="X337" s="37">
        <v>22220.87</v>
      </c>
      <c r="Y337" s="36">
        <v>43864</v>
      </c>
      <c r="Z337" s="34" t="s">
        <v>1448</v>
      </c>
    </row>
    <row r="338" spans="1:26" x14ac:dyDescent="0.25">
      <c r="A338" s="34" t="s">
        <v>1441</v>
      </c>
      <c r="B338" s="34" t="s">
        <v>1442</v>
      </c>
      <c r="C338" s="34" t="s">
        <v>16</v>
      </c>
      <c r="D338" s="34" t="s">
        <v>15</v>
      </c>
      <c r="E338" s="35">
        <v>30041016</v>
      </c>
      <c r="F338" s="34" t="s">
        <v>759</v>
      </c>
      <c r="G338" s="39">
        <v>10049750</v>
      </c>
      <c r="H338" s="42">
        <v>30041016</v>
      </c>
      <c r="I338" s="34" t="s">
        <v>363</v>
      </c>
      <c r="J338" s="34" t="s">
        <v>1443</v>
      </c>
      <c r="K338" s="36">
        <v>41337</v>
      </c>
      <c r="L338" s="34" t="s">
        <v>1444</v>
      </c>
      <c r="M338" s="34" t="s">
        <v>1445</v>
      </c>
      <c r="N338" s="34" t="s">
        <v>717</v>
      </c>
      <c r="O338" s="34" t="s">
        <v>717</v>
      </c>
      <c r="P338" s="34" t="s">
        <v>1466</v>
      </c>
      <c r="Q338" s="34" t="s">
        <v>1466</v>
      </c>
      <c r="R338" s="34" t="s">
        <v>1467</v>
      </c>
      <c r="S338" s="34" t="s">
        <v>1467</v>
      </c>
      <c r="T338" s="34" t="s">
        <v>759</v>
      </c>
      <c r="U338" s="34" t="s">
        <v>759</v>
      </c>
      <c r="V338" s="37">
        <v>14.04</v>
      </c>
      <c r="W338" s="45">
        <v>3133.85</v>
      </c>
      <c r="X338" s="37">
        <v>22220.87</v>
      </c>
      <c r="Y338" s="36">
        <v>43864</v>
      </c>
      <c r="Z338" s="34" t="s">
        <v>1448</v>
      </c>
    </row>
    <row r="339" spans="1:26" x14ac:dyDescent="0.25">
      <c r="A339" s="34" t="s">
        <v>1441</v>
      </c>
      <c r="B339" s="34" t="s">
        <v>1442</v>
      </c>
      <c r="C339" s="34" t="s">
        <v>16</v>
      </c>
      <c r="D339" s="34" t="s">
        <v>15</v>
      </c>
      <c r="E339" s="35">
        <v>30041017</v>
      </c>
      <c r="F339" s="34" t="s">
        <v>759</v>
      </c>
      <c r="G339" s="39">
        <v>10049810</v>
      </c>
      <c r="H339" s="42">
        <v>30041017</v>
      </c>
      <c r="I339" s="34" t="s">
        <v>364</v>
      </c>
      <c r="J339" s="34" t="s">
        <v>1443</v>
      </c>
      <c r="K339" s="36">
        <v>41337</v>
      </c>
      <c r="L339" s="34" t="s">
        <v>1444</v>
      </c>
      <c r="M339" s="34" t="s">
        <v>1445</v>
      </c>
      <c r="N339" s="34" t="s">
        <v>717</v>
      </c>
      <c r="O339" s="34" t="s">
        <v>717</v>
      </c>
      <c r="P339" s="34" t="s">
        <v>1476</v>
      </c>
      <c r="Q339" s="34" t="s">
        <v>1476</v>
      </c>
      <c r="R339" s="34" t="s">
        <v>1477</v>
      </c>
      <c r="S339" s="34" t="s">
        <v>1477</v>
      </c>
      <c r="T339" s="34" t="s">
        <v>759</v>
      </c>
      <c r="U339" s="34" t="s">
        <v>759</v>
      </c>
      <c r="V339" s="37">
        <v>14.04</v>
      </c>
      <c r="W339" s="45">
        <v>3133.85</v>
      </c>
      <c r="X339" s="37">
        <v>22220.87</v>
      </c>
      <c r="Y339" s="36">
        <v>43864</v>
      </c>
      <c r="Z339" s="34" t="s">
        <v>1448</v>
      </c>
    </row>
    <row r="340" spans="1:26" x14ac:dyDescent="0.25">
      <c r="A340" s="34" t="s">
        <v>1441</v>
      </c>
      <c r="B340" s="34" t="s">
        <v>1442</v>
      </c>
      <c r="C340" s="34" t="s">
        <v>16</v>
      </c>
      <c r="D340" s="34" t="s">
        <v>15</v>
      </c>
      <c r="E340" s="35">
        <v>30041018</v>
      </c>
      <c r="F340" s="34" t="s">
        <v>757</v>
      </c>
      <c r="G340" s="39">
        <v>10049833</v>
      </c>
      <c r="H340" s="42">
        <v>30041018</v>
      </c>
      <c r="I340" s="34" t="s">
        <v>365</v>
      </c>
      <c r="J340" s="34" t="s">
        <v>1443</v>
      </c>
      <c r="K340" s="36">
        <v>41337</v>
      </c>
      <c r="L340" s="34" t="s">
        <v>1444</v>
      </c>
      <c r="M340" s="34" t="s">
        <v>1445</v>
      </c>
      <c r="N340" s="34" t="s">
        <v>717</v>
      </c>
      <c r="O340" s="34" t="s">
        <v>717</v>
      </c>
      <c r="P340" s="34" t="s">
        <v>1490</v>
      </c>
      <c r="Q340" s="34" t="s">
        <v>1490</v>
      </c>
      <c r="R340" s="34" t="s">
        <v>1491</v>
      </c>
      <c r="S340" s="34" t="s">
        <v>1491</v>
      </c>
      <c r="T340" s="34" t="s">
        <v>757</v>
      </c>
      <c r="U340" s="34" t="s">
        <v>757</v>
      </c>
      <c r="V340" s="37">
        <v>7.37</v>
      </c>
      <c r="W340" s="45">
        <v>1645.05</v>
      </c>
      <c r="X340" s="37">
        <v>22220.9</v>
      </c>
      <c r="Y340" s="36">
        <v>43864</v>
      </c>
      <c r="Z340" s="34" t="s">
        <v>1448</v>
      </c>
    </row>
    <row r="341" spans="1:26" x14ac:dyDescent="0.25">
      <c r="A341" s="34" t="s">
        <v>1441</v>
      </c>
      <c r="B341" s="34" t="s">
        <v>1442</v>
      </c>
      <c r="C341" s="34" t="s">
        <v>16</v>
      </c>
      <c r="D341" s="34" t="s">
        <v>15</v>
      </c>
      <c r="E341" s="35">
        <v>30041019</v>
      </c>
      <c r="F341" s="34" t="s">
        <v>769</v>
      </c>
      <c r="G341" s="39">
        <v>10049959</v>
      </c>
      <c r="H341" s="42">
        <v>30041019</v>
      </c>
      <c r="I341" s="34" t="s">
        <v>366</v>
      </c>
      <c r="J341" s="34" t="s">
        <v>1443</v>
      </c>
      <c r="K341" s="36">
        <v>41351</v>
      </c>
      <c r="L341" s="34" t="s">
        <v>1444</v>
      </c>
      <c r="M341" s="34" t="s">
        <v>1445</v>
      </c>
      <c r="N341" s="34" t="s">
        <v>717</v>
      </c>
      <c r="O341" s="34" t="s">
        <v>717</v>
      </c>
      <c r="P341" s="34" t="s">
        <v>1497</v>
      </c>
      <c r="Q341" s="34" t="s">
        <v>1497</v>
      </c>
      <c r="R341" s="34" t="s">
        <v>1498</v>
      </c>
      <c r="S341" s="34" t="s">
        <v>1498</v>
      </c>
      <c r="T341" s="34" t="s">
        <v>769</v>
      </c>
      <c r="U341" s="34" t="s">
        <v>769</v>
      </c>
      <c r="V341" s="37">
        <v>8.59</v>
      </c>
      <c r="W341" s="45">
        <v>1917.36</v>
      </c>
      <c r="X341" s="37">
        <v>22220.84</v>
      </c>
      <c r="Y341" s="36">
        <v>43864</v>
      </c>
      <c r="Z341" s="34" t="s">
        <v>1448</v>
      </c>
    </row>
    <row r="342" spans="1:26" x14ac:dyDescent="0.25">
      <c r="A342" s="34" t="s">
        <v>1441</v>
      </c>
      <c r="B342" s="34" t="s">
        <v>1442</v>
      </c>
      <c r="C342" s="34" t="s">
        <v>16</v>
      </c>
      <c r="D342" s="34" t="s">
        <v>15</v>
      </c>
      <c r="E342" s="35">
        <v>30041020</v>
      </c>
      <c r="F342" s="34" t="s">
        <v>758</v>
      </c>
      <c r="G342" s="39">
        <v>10050053</v>
      </c>
      <c r="H342" s="42">
        <v>30041020</v>
      </c>
      <c r="I342" s="34" t="s">
        <v>367</v>
      </c>
      <c r="J342" s="34" t="s">
        <v>1443</v>
      </c>
      <c r="K342" s="36">
        <v>41365</v>
      </c>
      <c r="L342" s="34" t="s">
        <v>1444</v>
      </c>
      <c r="M342" s="34" t="s">
        <v>1445</v>
      </c>
      <c r="N342" s="34" t="s">
        <v>717</v>
      </c>
      <c r="O342" s="34" t="s">
        <v>717</v>
      </c>
      <c r="P342" s="34" t="s">
        <v>1449</v>
      </c>
      <c r="Q342" s="34" t="s">
        <v>1449</v>
      </c>
      <c r="R342" s="34" t="s">
        <v>1450</v>
      </c>
      <c r="S342" s="34" t="s">
        <v>1450</v>
      </c>
      <c r="T342" s="34" t="s">
        <v>758</v>
      </c>
      <c r="U342" s="34" t="s">
        <v>758</v>
      </c>
      <c r="V342" s="37">
        <v>12.44</v>
      </c>
      <c r="W342" s="45">
        <v>2776.71</v>
      </c>
      <c r="X342" s="37">
        <v>22220.82</v>
      </c>
      <c r="Y342" s="36">
        <v>43864</v>
      </c>
      <c r="Z342" s="34" t="s">
        <v>1448</v>
      </c>
    </row>
    <row r="343" spans="1:26" x14ac:dyDescent="0.25">
      <c r="A343" s="34" t="s">
        <v>1441</v>
      </c>
      <c r="B343" s="34" t="s">
        <v>1442</v>
      </c>
      <c r="C343" s="34" t="s">
        <v>16</v>
      </c>
      <c r="D343" s="34" t="s">
        <v>15</v>
      </c>
      <c r="E343" s="35">
        <v>30041021</v>
      </c>
      <c r="F343" s="34" t="s">
        <v>755</v>
      </c>
      <c r="G343" s="39">
        <v>10050063</v>
      </c>
      <c r="H343" s="42">
        <v>30041021</v>
      </c>
      <c r="I343" s="34" t="s">
        <v>368</v>
      </c>
      <c r="J343" s="34" t="s">
        <v>1443</v>
      </c>
      <c r="K343" s="36">
        <v>41365</v>
      </c>
      <c r="L343" s="34" t="s">
        <v>1444</v>
      </c>
      <c r="M343" s="34" t="s">
        <v>1445</v>
      </c>
      <c r="N343" s="34" t="s">
        <v>717</v>
      </c>
      <c r="O343" s="34" t="s">
        <v>717</v>
      </c>
      <c r="P343" s="34" t="s">
        <v>1468</v>
      </c>
      <c r="Q343" s="34" t="s">
        <v>1468</v>
      </c>
      <c r="R343" s="34" t="s">
        <v>1469</v>
      </c>
      <c r="S343" s="34" t="s">
        <v>1469</v>
      </c>
      <c r="T343" s="34" t="s">
        <v>755</v>
      </c>
      <c r="U343" s="34" t="s">
        <v>755</v>
      </c>
      <c r="V343" s="37">
        <v>11.43</v>
      </c>
      <c r="W343" s="45">
        <v>2551.27</v>
      </c>
      <c r="X343" s="37">
        <v>22220.82</v>
      </c>
      <c r="Y343" s="36">
        <v>43864</v>
      </c>
      <c r="Z343" s="34" t="s">
        <v>1448</v>
      </c>
    </row>
    <row r="344" spans="1:26" x14ac:dyDescent="0.25">
      <c r="A344" s="34" t="s">
        <v>1441</v>
      </c>
      <c r="B344" s="34" t="s">
        <v>1442</v>
      </c>
      <c r="C344" s="34" t="s">
        <v>16</v>
      </c>
      <c r="D344" s="34" t="s">
        <v>15</v>
      </c>
      <c r="E344" s="35">
        <v>30041337</v>
      </c>
      <c r="F344" s="34" t="s">
        <v>761</v>
      </c>
      <c r="G344" s="39">
        <v>10050067</v>
      </c>
      <c r="H344" s="42">
        <v>30041337</v>
      </c>
      <c r="I344" s="34" t="s">
        <v>369</v>
      </c>
      <c r="J344" s="34" t="s">
        <v>1443</v>
      </c>
      <c r="K344" s="36">
        <v>41365</v>
      </c>
      <c r="L344" s="34" t="s">
        <v>1444</v>
      </c>
      <c r="M344" s="34" t="s">
        <v>1445</v>
      </c>
      <c r="N344" s="34" t="s">
        <v>717</v>
      </c>
      <c r="O344" s="34" t="s">
        <v>717</v>
      </c>
      <c r="P344" s="34" t="s">
        <v>1474</v>
      </c>
      <c r="Q344" s="34" t="s">
        <v>1474</v>
      </c>
      <c r="R344" s="34" t="s">
        <v>1485</v>
      </c>
      <c r="S344" s="34" t="s">
        <v>1485</v>
      </c>
      <c r="T344" s="34" t="s">
        <v>761</v>
      </c>
      <c r="U344" s="34" t="s">
        <v>761</v>
      </c>
      <c r="V344" s="37">
        <v>11.71</v>
      </c>
      <c r="W344" s="45">
        <v>2138.54</v>
      </c>
      <c r="X344" s="37">
        <v>18162.509999999998</v>
      </c>
      <c r="Y344" s="36">
        <v>43864</v>
      </c>
      <c r="Z344" s="34" t="s">
        <v>1448</v>
      </c>
    </row>
    <row r="345" spans="1:26" x14ac:dyDescent="0.25">
      <c r="A345" s="34" t="s">
        <v>1441</v>
      </c>
      <c r="B345" s="34" t="s">
        <v>1442</v>
      </c>
      <c r="C345" s="34" t="s">
        <v>16</v>
      </c>
      <c r="D345" s="34" t="s">
        <v>15</v>
      </c>
      <c r="E345" s="35">
        <v>30041023</v>
      </c>
      <c r="F345" s="34" t="s">
        <v>755</v>
      </c>
      <c r="G345" s="39">
        <v>10050070</v>
      </c>
      <c r="H345" s="42">
        <v>30041023</v>
      </c>
      <c r="I345" s="34" t="s">
        <v>370</v>
      </c>
      <c r="J345" s="34" t="s">
        <v>1443</v>
      </c>
      <c r="K345" s="36">
        <v>41365</v>
      </c>
      <c r="L345" s="34" t="s">
        <v>1444</v>
      </c>
      <c r="M345" s="34" t="s">
        <v>1445</v>
      </c>
      <c r="N345" s="34" t="s">
        <v>717</v>
      </c>
      <c r="O345" s="34" t="s">
        <v>717</v>
      </c>
      <c r="P345" s="34" t="s">
        <v>1468</v>
      </c>
      <c r="Q345" s="34" t="s">
        <v>1468</v>
      </c>
      <c r="R345" s="34" t="s">
        <v>1469</v>
      </c>
      <c r="S345" s="34" t="s">
        <v>1469</v>
      </c>
      <c r="T345" s="34" t="s">
        <v>755</v>
      </c>
      <c r="U345" s="34" t="s">
        <v>755</v>
      </c>
      <c r="V345" s="37">
        <v>10.02</v>
      </c>
      <c r="W345" s="45">
        <v>2236.5500000000002</v>
      </c>
      <c r="X345" s="37">
        <v>22220.86</v>
      </c>
      <c r="Y345" s="36">
        <v>43864</v>
      </c>
      <c r="Z345" s="34" t="s">
        <v>1448</v>
      </c>
    </row>
    <row r="346" spans="1:26" x14ac:dyDescent="0.25">
      <c r="A346" s="34" t="s">
        <v>1441</v>
      </c>
      <c r="B346" s="34" t="s">
        <v>1442</v>
      </c>
      <c r="C346" s="34" t="s">
        <v>16</v>
      </c>
      <c r="D346" s="34" t="s">
        <v>15</v>
      </c>
      <c r="E346" s="35">
        <v>30041024</v>
      </c>
      <c r="F346" s="34" t="s">
        <v>21</v>
      </c>
      <c r="G346" s="39">
        <v>10050071</v>
      </c>
      <c r="H346" s="42">
        <v>30041024</v>
      </c>
      <c r="I346" s="34" t="s">
        <v>371</v>
      </c>
      <c r="J346" s="34" t="s">
        <v>1443</v>
      </c>
      <c r="K346" s="36">
        <v>41365</v>
      </c>
      <c r="L346" s="34" t="s">
        <v>1444</v>
      </c>
      <c r="M346" s="34" t="s">
        <v>1445</v>
      </c>
      <c r="N346" s="34" t="s">
        <v>717</v>
      </c>
      <c r="O346" s="34" t="s">
        <v>717</v>
      </c>
      <c r="P346" s="34" t="s">
        <v>1462</v>
      </c>
      <c r="Q346" s="34" t="s">
        <v>1462</v>
      </c>
      <c r="R346" s="34" t="s">
        <v>1463</v>
      </c>
      <c r="S346" s="34" t="s">
        <v>1463</v>
      </c>
      <c r="T346" s="34" t="s">
        <v>21</v>
      </c>
      <c r="U346" s="34" t="s">
        <v>21</v>
      </c>
      <c r="V346" s="37">
        <v>11.71</v>
      </c>
      <c r="W346" s="45">
        <v>2613.77</v>
      </c>
      <c r="X346" s="37">
        <v>22220.84</v>
      </c>
      <c r="Y346" s="36">
        <v>43864</v>
      </c>
      <c r="Z346" s="34" t="s">
        <v>1448</v>
      </c>
    </row>
    <row r="347" spans="1:26" x14ac:dyDescent="0.25">
      <c r="A347" s="34" t="s">
        <v>1441</v>
      </c>
      <c r="B347" s="34" t="s">
        <v>1442</v>
      </c>
      <c r="C347" s="34" t="s">
        <v>16</v>
      </c>
      <c r="D347" s="34" t="s">
        <v>15</v>
      </c>
      <c r="E347" s="35">
        <v>30041025</v>
      </c>
      <c r="F347" s="34" t="s">
        <v>755</v>
      </c>
      <c r="G347" s="39">
        <v>10050322</v>
      </c>
      <c r="H347" s="42">
        <v>30041025</v>
      </c>
      <c r="I347" s="34" t="s">
        <v>372</v>
      </c>
      <c r="J347" s="34" t="s">
        <v>1443</v>
      </c>
      <c r="K347" s="36">
        <v>41400</v>
      </c>
      <c r="L347" s="34" t="s">
        <v>1444</v>
      </c>
      <c r="M347" s="34" t="s">
        <v>1445</v>
      </c>
      <c r="N347" s="34" t="s">
        <v>717</v>
      </c>
      <c r="O347" s="34" t="s">
        <v>717</v>
      </c>
      <c r="P347" s="34" t="s">
        <v>1468</v>
      </c>
      <c r="Q347" s="34" t="s">
        <v>1468</v>
      </c>
      <c r="R347" s="34" t="s">
        <v>1469</v>
      </c>
      <c r="S347" s="34" t="s">
        <v>1469</v>
      </c>
      <c r="T347" s="34" t="s">
        <v>755</v>
      </c>
      <c r="U347" s="34" t="s">
        <v>755</v>
      </c>
      <c r="V347" s="37">
        <v>9.4499999999999993</v>
      </c>
      <c r="W347" s="45">
        <v>2109.3200000000002</v>
      </c>
      <c r="X347" s="37">
        <v>22220.85</v>
      </c>
      <c r="Y347" s="36">
        <v>43864</v>
      </c>
      <c r="Z347" s="34" t="s">
        <v>1448</v>
      </c>
    </row>
    <row r="348" spans="1:26" x14ac:dyDescent="0.25">
      <c r="A348" s="34" t="s">
        <v>1441</v>
      </c>
      <c r="B348" s="34" t="s">
        <v>1442</v>
      </c>
      <c r="C348" s="34" t="s">
        <v>6</v>
      </c>
      <c r="D348" s="34" t="s">
        <v>15</v>
      </c>
      <c r="E348" s="35">
        <v>30041026</v>
      </c>
      <c r="F348" s="34" t="s">
        <v>753</v>
      </c>
      <c r="G348" s="39">
        <v>10050575</v>
      </c>
      <c r="H348" s="42">
        <v>30041026</v>
      </c>
      <c r="I348" s="34" t="s">
        <v>373</v>
      </c>
      <c r="J348" s="34" t="s">
        <v>1443</v>
      </c>
      <c r="K348" s="36">
        <v>41414</v>
      </c>
      <c r="L348" s="34" t="s">
        <v>1444</v>
      </c>
      <c r="M348" s="34" t="s">
        <v>1445</v>
      </c>
      <c r="N348" s="34" t="s">
        <v>717</v>
      </c>
      <c r="O348" s="34" t="s">
        <v>717</v>
      </c>
      <c r="P348" s="34" t="s">
        <v>1454</v>
      </c>
      <c r="Q348" s="34" t="s">
        <v>1454</v>
      </c>
      <c r="R348" s="34" t="s">
        <v>1455</v>
      </c>
      <c r="S348" s="34" t="s">
        <v>1455</v>
      </c>
      <c r="T348" s="34" t="s">
        <v>753</v>
      </c>
      <c r="U348" s="34" t="s">
        <v>753</v>
      </c>
      <c r="V348" s="37">
        <v>14.91</v>
      </c>
      <c r="W348" s="45">
        <v>3328.04</v>
      </c>
      <c r="X348" s="37">
        <v>22220.86</v>
      </c>
      <c r="Y348" s="36">
        <v>43864</v>
      </c>
      <c r="Z348" s="34" t="s">
        <v>1448</v>
      </c>
    </row>
    <row r="349" spans="1:26" x14ac:dyDescent="0.25">
      <c r="A349" s="34" t="s">
        <v>1441</v>
      </c>
      <c r="B349" s="34" t="s">
        <v>1442</v>
      </c>
      <c r="C349" s="34" t="s">
        <v>16</v>
      </c>
      <c r="D349" s="34" t="s">
        <v>15</v>
      </c>
      <c r="E349" s="35">
        <v>30041027</v>
      </c>
      <c r="F349" s="34" t="s">
        <v>756</v>
      </c>
      <c r="G349" s="39">
        <v>10050594</v>
      </c>
      <c r="H349" s="42">
        <v>30041027</v>
      </c>
      <c r="I349" s="34" t="s">
        <v>374</v>
      </c>
      <c r="J349" s="34" t="s">
        <v>1443</v>
      </c>
      <c r="K349" s="36">
        <v>41414</v>
      </c>
      <c r="L349" s="34" t="s">
        <v>1444</v>
      </c>
      <c r="M349" s="34" t="s">
        <v>1445</v>
      </c>
      <c r="N349" s="34" t="s">
        <v>717</v>
      </c>
      <c r="O349" s="34" t="s">
        <v>717</v>
      </c>
      <c r="P349" s="34" t="s">
        <v>1470</v>
      </c>
      <c r="Q349" s="34" t="s">
        <v>1470</v>
      </c>
      <c r="R349" s="34" t="s">
        <v>1471</v>
      </c>
      <c r="S349" s="34" t="s">
        <v>1471</v>
      </c>
      <c r="T349" s="34" t="s">
        <v>756</v>
      </c>
      <c r="U349" s="34" t="s">
        <v>756</v>
      </c>
      <c r="V349" s="37">
        <v>10.3</v>
      </c>
      <c r="W349" s="45">
        <v>2299.0500000000002</v>
      </c>
      <c r="X349" s="37">
        <v>22220.87</v>
      </c>
      <c r="Y349" s="36">
        <v>43864</v>
      </c>
      <c r="Z349" s="34" t="s">
        <v>1448</v>
      </c>
    </row>
    <row r="350" spans="1:26" x14ac:dyDescent="0.25">
      <c r="A350" s="34" t="s">
        <v>1441</v>
      </c>
      <c r="B350" s="34" t="s">
        <v>1442</v>
      </c>
      <c r="C350" s="34" t="s">
        <v>16</v>
      </c>
      <c r="D350" s="34" t="s">
        <v>15</v>
      </c>
      <c r="E350" s="35">
        <v>30041028</v>
      </c>
      <c r="F350" s="34" t="s">
        <v>759</v>
      </c>
      <c r="G350" s="39">
        <v>10050603</v>
      </c>
      <c r="H350" s="42">
        <v>30041028</v>
      </c>
      <c r="I350" s="34" t="s">
        <v>375</v>
      </c>
      <c r="J350" s="34" t="s">
        <v>1443</v>
      </c>
      <c r="K350" s="36">
        <v>41414</v>
      </c>
      <c r="L350" s="34" t="s">
        <v>1444</v>
      </c>
      <c r="M350" s="34" t="s">
        <v>1445</v>
      </c>
      <c r="N350" s="34" t="s">
        <v>717</v>
      </c>
      <c r="O350" s="34" t="s">
        <v>717</v>
      </c>
      <c r="P350" s="34" t="s">
        <v>1466</v>
      </c>
      <c r="Q350" s="34" t="s">
        <v>1466</v>
      </c>
      <c r="R350" s="34" t="s">
        <v>1467</v>
      </c>
      <c r="S350" s="34" t="s">
        <v>1467</v>
      </c>
      <c r="T350" s="34" t="s">
        <v>759</v>
      </c>
      <c r="U350" s="34" t="s">
        <v>759</v>
      </c>
      <c r="V350" s="37">
        <v>14.04</v>
      </c>
      <c r="W350" s="45">
        <v>3133.85</v>
      </c>
      <c r="X350" s="37">
        <v>22220.87</v>
      </c>
      <c r="Y350" s="36">
        <v>43864</v>
      </c>
      <c r="Z350" s="34" t="s">
        <v>1448</v>
      </c>
    </row>
    <row r="351" spans="1:26" x14ac:dyDescent="0.25">
      <c r="A351" s="34" t="s">
        <v>1441</v>
      </c>
      <c r="B351" s="34" t="s">
        <v>1442</v>
      </c>
      <c r="C351" s="34" t="s">
        <v>16</v>
      </c>
      <c r="D351" s="34" t="s">
        <v>15</v>
      </c>
      <c r="E351" s="35">
        <v>30041029</v>
      </c>
      <c r="F351" s="34" t="s">
        <v>765</v>
      </c>
      <c r="G351" s="39">
        <v>10050742</v>
      </c>
      <c r="H351" s="42">
        <v>30041029</v>
      </c>
      <c r="I351" s="34" t="s">
        <v>376</v>
      </c>
      <c r="J351" s="34" t="s">
        <v>1443</v>
      </c>
      <c r="K351" s="36">
        <v>41430</v>
      </c>
      <c r="L351" s="34" t="s">
        <v>1444</v>
      </c>
      <c r="M351" s="34" t="s">
        <v>1445</v>
      </c>
      <c r="N351" s="34" t="s">
        <v>717</v>
      </c>
      <c r="O351" s="34" t="s">
        <v>717</v>
      </c>
      <c r="P351" s="34" t="s">
        <v>1501</v>
      </c>
      <c r="Q351" s="34" t="s">
        <v>1501</v>
      </c>
      <c r="R351" s="34" t="s">
        <v>1502</v>
      </c>
      <c r="S351" s="34" t="s">
        <v>1502</v>
      </c>
      <c r="T351" s="34" t="s">
        <v>765</v>
      </c>
      <c r="U351" s="34" t="s">
        <v>765</v>
      </c>
      <c r="V351" s="37">
        <v>8.59</v>
      </c>
      <c r="W351" s="45">
        <v>1917.36</v>
      </c>
      <c r="X351" s="37">
        <v>22220.84</v>
      </c>
      <c r="Y351" s="36">
        <v>43864</v>
      </c>
      <c r="Z351" s="34" t="s">
        <v>1448</v>
      </c>
    </row>
    <row r="352" spans="1:26" x14ac:dyDescent="0.25">
      <c r="A352" s="34" t="s">
        <v>1441</v>
      </c>
      <c r="B352" s="34" t="s">
        <v>1442</v>
      </c>
      <c r="C352" s="34" t="s">
        <v>16</v>
      </c>
      <c r="D352" s="34" t="s">
        <v>15</v>
      </c>
      <c r="E352" s="35">
        <v>30041030</v>
      </c>
      <c r="F352" s="34" t="s">
        <v>757</v>
      </c>
      <c r="G352" s="39">
        <v>10050814</v>
      </c>
      <c r="H352" s="42">
        <v>30041030</v>
      </c>
      <c r="I352" s="34" t="s">
        <v>377</v>
      </c>
      <c r="J352" s="34" t="s">
        <v>1443</v>
      </c>
      <c r="K352" s="36">
        <v>41442</v>
      </c>
      <c r="L352" s="34" t="s">
        <v>1444</v>
      </c>
      <c r="M352" s="34" t="s">
        <v>1445</v>
      </c>
      <c r="N352" s="34" t="s">
        <v>717</v>
      </c>
      <c r="O352" s="34" t="s">
        <v>717</v>
      </c>
      <c r="P352" s="34" t="s">
        <v>1486</v>
      </c>
      <c r="Q352" s="34" t="s">
        <v>1486</v>
      </c>
      <c r="R352" s="34" t="s">
        <v>1487</v>
      </c>
      <c r="S352" s="34" t="s">
        <v>1487</v>
      </c>
      <c r="T352" s="34" t="s">
        <v>757</v>
      </c>
      <c r="U352" s="34" t="s">
        <v>757</v>
      </c>
      <c r="V352" s="37">
        <v>7.37</v>
      </c>
      <c r="W352" s="45">
        <v>1645.05</v>
      </c>
      <c r="X352" s="37">
        <v>22220.9</v>
      </c>
      <c r="Y352" s="36">
        <v>43864</v>
      </c>
      <c r="Z352" s="34" t="s">
        <v>1448</v>
      </c>
    </row>
    <row r="353" spans="1:26" x14ac:dyDescent="0.25">
      <c r="A353" s="34" t="s">
        <v>1441</v>
      </c>
      <c r="B353" s="34" t="s">
        <v>1442</v>
      </c>
      <c r="C353" s="34" t="s">
        <v>16</v>
      </c>
      <c r="D353" s="34" t="s">
        <v>15</v>
      </c>
      <c r="E353" s="35">
        <v>30041031</v>
      </c>
      <c r="F353" s="34" t="s">
        <v>765</v>
      </c>
      <c r="G353" s="39">
        <v>10050824</v>
      </c>
      <c r="H353" s="42">
        <v>30041031</v>
      </c>
      <c r="I353" s="34" t="s">
        <v>378</v>
      </c>
      <c r="J353" s="34" t="s">
        <v>1443</v>
      </c>
      <c r="K353" s="36">
        <v>41442</v>
      </c>
      <c r="L353" s="34" t="s">
        <v>1444</v>
      </c>
      <c r="M353" s="34" t="s">
        <v>1445</v>
      </c>
      <c r="N353" s="34" t="s">
        <v>717</v>
      </c>
      <c r="O353" s="34" t="s">
        <v>717</v>
      </c>
      <c r="P353" s="34" t="s">
        <v>1462</v>
      </c>
      <c r="Q353" s="34" t="s">
        <v>1462</v>
      </c>
      <c r="R353" s="34" t="s">
        <v>1463</v>
      </c>
      <c r="S353" s="34" t="s">
        <v>1463</v>
      </c>
      <c r="T353" s="34" t="s">
        <v>765</v>
      </c>
      <c r="U353" s="34" t="s">
        <v>765</v>
      </c>
      <c r="V353" s="37">
        <v>8.59</v>
      </c>
      <c r="W353" s="45">
        <v>1917.36</v>
      </c>
      <c r="X353" s="37">
        <v>22220.84</v>
      </c>
      <c r="Y353" s="36">
        <v>43864</v>
      </c>
      <c r="Z353" s="34" t="s">
        <v>1448</v>
      </c>
    </row>
    <row r="354" spans="1:26" x14ac:dyDescent="0.25">
      <c r="A354" s="34" t="s">
        <v>1441</v>
      </c>
      <c r="B354" s="34" t="s">
        <v>1442</v>
      </c>
      <c r="C354" s="34" t="s">
        <v>16</v>
      </c>
      <c r="D354" s="34" t="s">
        <v>15</v>
      </c>
      <c r="E354" s="35">
        <v>30041032</v>
      </c>
      <c r="F354" s="34" t="s">
        <v>759</v>
      </c>
      <c r="G354" s="39">
        <v>10050908</v>
      </c>
      <c r="H354" s="42">
        <v>30041032</v>
      </c>
      <c r="I354" s="34" t="s">
        <v>379</v>
      </c>
      <c r="J354" s="34" t="s">
        <v>1443</v>
      </c>
      <c r="K354" s="36">
        <v>41456</v>
      </c>
      <c r="L354" s="34" t="s">
        <v>1444</v>
      </c>
      <c r="M354" s="34" t="s">
        <v>1445</v>
      </c>
      <c r="N354" s="34" t="s">
        <v>717</v>
      </c>
      <c r="O354" s="34" t="s">
        <v>717</v>
      </c>
      <c r="P354" s="34" t="s">
        <v>1476</v>
      </c>
      <c r="Q354" s="34" t="s">
        <v>1476</v>
      </c>
      <c r="R354" s="34" t="s">
        <v>1477</v>
      </c>
      <c r="S354" s="34" t="s">
        <v>1477</v>
      </c>
      <c r="T354" s="34" t="s">
        <v>759</v>
      </c>
      <c r="U354" s="34" t="s">
        <v>759</v>
      </c>
      <c r="V354" s="37">
        <v>14.04</v>
      </c>
      <c r="W354" s="45">
        <v>3133.85</v>
      </c>
      <c r="X354" s="37">
        <v>22220.87</v>
      </c>
      <c r="Y354" s="36">
        <v>43864</v>
      </c>
      <c r="Z354" s="34" t="s">
        <v>1448</v>
      </c>
    </row>
    <row r="355" spans="1:26" x14ac:dyDescent="0.25">
      <c r="A355" s="34" t="s">
        <v>1441</v>
      </c>
      <c r="B355" s="34" t="s">
        <v>1442</v>
      </c>
      <c r="C355" s="34" t="s">
        <v>16</v>
      </c>
      <c r="D355" s="34" t="s">
        <v>15</v>
      </c>
      <c r="E355" s="35">
        <v>30041033</v>
      </c>
      <c r="F355" s="34" t="s">
        <v>751</v>
      </c>
      <c r="G355" s="39">
        <v>10050909</v>
      </c>
      <c r="H355" s="42">
        <v>30041033</v>
      </c>
      <c r="I355" s="34" t="s">
        <v>380</v>
      </c>
      <c r="J355" s="34" t="s">
        <v>1443</v>
      </c>
      <c r="K355" s="36">
        <v>41456</v>
      </c>
      <c r="L355" s="34" t="s">
        <v>1444</v>
      </c>
      <c r="M355" s="34" t="s">
        <v>1445</v>
      </c>
      <c r="N355" s="34" t="s">
        <v>717</v>
      </c>
      <c r="O355" s="34" t="s">
        <v>717</v>
      </c>
      <c r="P355" s="34" t="s">
        <v>1446</v>
      </c>
      <c r="Q355" s="34" t="s">
        <v>1446</v>
      </c>
      <c r="R355" s="34" t="s">
        <v>1447</v>
      </c>
      <c r="S355" s="34" t="s">
        <v>1447</v>
      </c>
      <c r="T355" s="34" t="s">
        <v>751</v>
      </c>
      <c r="U355" s="34" t="s">
        <v>751</v>
      </c>
      <c r="V355" s="37">
        <v>15.62</v>
      </c>
      <c r="W355" s="45">
        <v>3486.51</v>
      </c>
      <c r="X355" s="37">
        <v>22220.81</v>
      </c>
      <c r="Y355" s="36">
        <v>43864</v>
      </c>
      <c r="Z355" s="34" t="s">
        <v>1448</v>
      </c>
    </row>
    <row r="356" spans="1:26" x14ac:dyDescent="0.25">
      <c r="A356" s="34" t="s">
        <v>1441</v>
      </c>
      <c r="B356" s="34" t="s">
        <v>1442</v>
      </c>
      <c r="C356" s="34" t="s">
        <v>16</v>
      </c>
      <c r="D356" s="34" t="s">
        <v>15</v>
      </c>
      <c r="E356" s="35">
        <v>30041034</v>
      </c>
      <c r="F356" s="34" t="s">
        <v>751</v>
      </c>
      <c r="G356" s="39">
        <v>10050910</v>
      </c>
      <c r="H356" s="42">
        <v>30041034</v>
      </c>
      <c r="I356" s="34" t="s">
        <v>381</v>
      </c>
      <c r="J356" s="34" t="s">
        <v>1443</v>
      </c>
      <c r="K356" s="36">
        <v>41456</v>
      </c>
      <c r="L356" s="34" t="s">
        <v>1444</v>
      </c>
      <c r="M356" s="34" t="s">
        <v>1445</v>
      </c>
      <c r="N356" s="34" t="s">
        <v>717</v>
      </c>
      <c r="O356" s="34" t="s">
        <v>717</v>
      </c>
      <c r="P356" s="34" t="s">
        <v>1446</v>
      </c>
      <c r="Q356" s="34" t="s">
        <v>1446</v>
      </c>
      <c r="R356" s="34" t="s">
        <v>1447</v>
      </c>
      <c r="S356" s="34" t="s">
        <v>1447</v>
      </c>
      <c r="T356" s="34" t="s">
        <v>751</v>
      </c>
      <c r="U356" s="34" t="s">
        <v>751</v>
      </c>
      <c r="V356" s="37">
        <v>17.73</v>
      </c>
      <c r="W356" s="45">
        <v>3957.48</v>
      </c>
      <c r="X356" s="37">
        <v>22220.81</v>
      </c>
      <c r="Y356" s="36">
        <v>43864</v>
      </c>
      <c r="Z356" s="34" t="s">
        <v>1448</v>
      </c>
    </row>
    <row r="357" spans="1:26" x14ac:dyDescent="0.25">
      <c r="A357" s="34" t="s">
        <v>1441</v>
      </c>
      <c r="B357" s="34" t="s">
        <v>1442</v>
      </c>
      <c r="C357" s="34" t="s">
        <v>16</v>
      </c>
      <c r="D357" s="34" t="s">
        <v>15</v>
      </c>
      <c r="E357" s="35">
        <v>30041035</v>
      </c>
      <c r="F357" s="34" t="s">
        <v>758</v>
      </c>
      <c r="G357" s="39">
        <v>10051154</v>
      </c>
      <c r="H357" s="42">
        <v>30041035</v>
      </c>
      <c r="I357" s="34" t="s">
        <v>382</v>
      </c>
      <c r="J357" s="34" t="s">
        <v>1443</v>
      </c>
      <c r="K357" s="36">
        <v>41491</v>
      </c>
      <c r="L357" s="34" t="s">
        <v>1444</v>
      </c>
      <c r="M357" s="34" t="s">
        <v>1445</v>
      </c>
      <c r="N357" s="34" t="s">
        <v>717</v>
      </c>
      <c r="O357" s="34" t="s">
        <v>717</v>
      </c>
      <c r="P357" s="34" t="s">
        <v>1449</v>
      </c>
      <c r="Q357" s="34" t="s">
        <v>1449</v>
      </c>
      <c r="R357" s="34" t="s">
        <v>1450</v>
      </c>
      <c r="S357" s="34" t="s">
        <v>1450</v>
      </c>
      <c r="T357" s="34" t="s">
        <v>758</v>
      </c>
      <c r="U357" s="34" t="s">
        <v>758</v>
      </c>
      <c r="V357" s="37">
        <v>12.44</v>
      </c>
      <c r="W357" s="45">
        <v>2776.71</v>
      </c>
      <c r="X357" s="37">
        <v>22220.82</v>
      </c>
      <c r="Y357" s="36">
        <v>43864</v>
      </c>
      <c r="Z357" s="34" t="s">
        <v>1448</v>
      </c>
    </row>
    <row r="358" spans="1:26" x14ac:dyDescent="0.25">
      <c r="A358" s="34" t="s">
        <v>1441</v>
      </c>
      <c r="B358" s="34" t="s">
        <v>1442</v>
      </c>
      <c r="C358" s="34" t="s">
        <v>16</v>
      </c>
      <c r="D358" s="34" t="s">
        <v>15</v>
      </c>
      <c r="E358" s="35">
        <v>30041036</v>
      </c>
      <c r="F358" s="34" t="s">
        <v>755</v>
      </c>
      <c r="G358" s="39">
        <v>10051207</v>
      </c>
      <c r="H358" s="42">
        <v>30041036</v>
      </c>
      <c r="I358" s="34" t="s">
        <v>383</v>
      </c>
      <c r="J358" s="34" t="s">
        <v>1443</v>
      </c>
      <c r="K358" s="36">
        <v>41491</v>
      </c>
      <c r="L358" s="34" t="s">
        <v>1444</v>
      </c>
      <c r="M358" s="34" t="s">
        <v>1445</v>
      </c>
      <c r="N358" s="34" t="s">
        <v>717</v>
      </c>
      <c r="O358" s="34" t="s">
        <v>717</v>
      </c>
      <c r="P358" s="34" t="s">
        <v>1468</v>
      </c>
      <c r="Q358" s="34" t="s">
        <v>1468</v>
      </c>
      <c r="R358" s="34" t="s">
        <v>1469</v>
      </c>
      <c r="S358" s="34" t="s">
        <v>1469</v>
      </c>
      <c r="T358" s="34" t="s">
        <v>755</v>
      </c>
      <c r="U358" s="34" t="s">
        <v>755</v>
      </c>
      <c r="V358" s="37">
        <v>10.02</v>
      </c>
      <c r="W358" s="45">
        <v>2236.5500000000002</v>
      </c>
      <c r="X358" s="37">
        <v>22220.86</v>
      </c>
      <c r="Y358" s="36">
        <v>43864</v>
      </c>
      <c r="Z358" s="34" t="s">
        <v>1448</v>
      </c>
    </row>
    <row r="359" spans="1:26" x14ac:dyDescent="0.25">
      <c r="A359" s="34" t="s">
        <v>1441</v>
      </c>
      <c r="B359" s="34" t="s">
        <v>1442</v>
      </c>
      <c r="C359" s="34" t="s">
        <v>16</v>
      </c>
      <c r="D359" s="34" t="s">
        <v>15</v>
      </c>
      <c r="E359" s="35">
        <v>30041037</v>
      </c>
      <c r="F359" s="34" t="s">
        <v>769</v>
      </c>
      <c r="G359" s="39">
        <v>10051211</v>
      </c>
      <c r="H359" s="42">
        <v>30041037</v>
      </c>
      <c r="I359" s="34" t="s">
        <v>384</v>
      </c>
      <c r="J359" s="34" t="s">
        <v>1443</v>
      </c>
      <c r="K359" s="36">
        <v>41491</v>
      </c>
      <c r="L359" s="34" t="s">
        <v>1444</v>
      </c>
      <c r="M359" s="34" t="s">
        <v>1445</v>
      </c>
      <c r="N359" s="34" t="s">
        <v>717</v>
      </c>
      <c r="O359" s="34" t="s">
        <v>717</v>
      </c>
      <c r="P359" s="34" t="s">
        <v>1452</v>
      </c>
      <c r="Q359" s="34" t="s">
        <v>1452</v>
      </c>
      <c r="R359" s="34" t="s">
        <v>1453</v>
      </c>
      <c r="S359" s="34" t="s">
        <v>1453</v>
      </c>
      <c r="T359" s="34" t="s">
        <v>769</v>
      </c>
      <c r="U359" s="34" t="s">
        <v>769</v>
      </c>
      <c r="V359" s="37">
        <v>8.59</v>
      </c>
      <c r="W359" s="45">
        <v>1917.36</v>
      </c>
      <c r="X359" s="37">
        <v>22220.84</v>
      </c>
      <c r="Y359" s="36">
        <v>43864</v>
      </c>
      <c r="Z359" s="34" t="s">
        <v>1448</v>
      </c>
    </row>
    <row r="360" spans="1:26" x14ac:dyDescent="0.25">
      <c r="A360" s="34" t="s">
        <v>1441</v>
      </c>
      <c r="B360" s="34" t="s">
        <v>1442</v>
      </c>
      <c r="C360" s="34" t="s">
        <v>16</v>
      </c>
      <c r="D360" s="34" t="s">
        <v>15</v>
      </c>
      <c r="E360" s="35">
        <v>30041038</v>
      </c>
      <c r="F360" s="34" t="s">
        <v>769</v>
      </c>
      <c r="G360" s="39">
        <v>10051420</v>
      </c>
      <c r="H360" s="42">
        <v>30041038</v>
      </c>
      <c r="I360" s="34" t="s">
        <v>385</v>
      </c>
      <c r="J360" s="34" t="s">
        <v>1443</v>
      </c>
      <c r="K360" s="36">
        <v>41519</v>
      </c>
      <c r="L360" s="34" t="s">
        <v>1444</v>
      </c>
      <c r="M360" s="34" t="s">
        <v>1445</v>
      </c>
      <c r="N360" s="34" t="s">
        <v>717</v>
      </c>
      <c r="O360" s="34" t="s">
        <v>717</v>
      </c>
      <c r="P360" s="34" t="s">
        <v>1486</v>
      </c>
      <c r="Q360" s="34" t="s">
        <v>1486</v>
      </c>
      <c r="R360" s="34" t="s">
        <v>1487</v>
      </c>
      <c r="S360" s="34" t="s">
        <v>1487</v>
      </c>
      <c r="T360" s="34" t="s">
        <v>769</v>
      </c>
      <c r="U360" s="34" t="s">
        <v>769</v>
      </c>
      <c r="V360" s="37">
        <v>8.59</v>
      </c>
      <c r="W360" s="45">
        <v>1917.36</v>
      </c>
      <c r="X360" s="37">
        <v>22220.84</v>
      </c>
      <c r="Y360" s="36">
        <v>43864</v>
      </c>
      <c r="Z360" s="34" t="s">
        <v>1448</v>
      </c>
    </row>
    <row r="361" spans="1:26" x14ac:dyDescent="0.25">
      <c r="A361" s="34" t="s">
        <v>1441</v>
      </c>
      <c r="B361" s="34" t="s">
        <v>1442</v>
      </c>
      <c r="C361" s="34" t="s">
        <v>16</v>
      </c>
      <c r="D361" s="34" t="s">
        <v>15</v>
      </c>
      <c r="E361" s="35">
        <v>30041039</v>
      </c>
      <c r="F361" s="34" t="s">
        <v>765</v>
      </c>
      <c r="G361" s="39">
        <v>10051429</v>
      </c>
      <c r="H361" s="42">
        <v>30041039</v>
      </c>
      <c r="I361" s="34" t="s">
        <v>386</v>
      </c>
      <c r="J361" s="34" t="s">
        <v>1443</v>
      </c>
      <c r="K361" s="36">
        <v>41519</v>
      </c>
      <c r="L361" s="34" t="s">
        <v>1444</v>
      </c>
      <c r="M361" s="34" t="s">
        <v>1445</v>
      </c>
      <c r="N361" s="34" t="s">
        <v>717</v>
      </c>
      <c r="O361" s="34" t="s">
        <v>717</v>
      </c>
      <c r="P361" s="34" t="s">
        <v>1507</v>
      </c>
      <c r="Q361" s="34" t="s">
        <v>1507</v>
      </c>
      <c r="R361" s="34" t="s">
        <v>1508</v>
      </c>
      <c r="S361" s="34" t="s">
        <v>1508</v>
      </c>
      <c r="T361" s="34" t="s">
        <v>765</v>
      </c>
      <c r="U361" s="34" t="s">
        <v>765</v>
      </c>
      <c r="V361" s="37">
        <v>8.59</v>
      </c>
      <c r="W361" s="45">
        <v>1917.36</v>
      </c>
      <c r="X361" s="37">
        <v>22220.84</v>
      </c>
      <c r="Y361" s="36">
        <v>43864</v>
      </c>
      <c r="Z361" s="34" t="s">
        <v>1448</v>
      </c>
    </row>
    <row r="362" spans="1:26" x14ac:dyDescent="0.25">
      <c r="A362" s="34" t="s">
        <v>1441</v>
      </c>
      <c r="B362" s="34" t="s">
        <v>1442</v>
      </c>
      <c r="C362" s="34" t="s">
        <v>16</v>
      </c>
      <c r="D362" s="34" t="s">
        <v>15</v>
      </c>
      <c r="E362" s="35">
        <v>30041040</v>
      </c>
      <c r="F362" s="34" t="s">
        <v>765</v>
      </c>
      <c r="G362" s="39">
        <v>10051430</v>
      </c>
      <c r="H362" s="42">
        <v>30041040</v>
      </c>
      <c r="I362" s="34" t="s">
        <v>387</v>
      </c>
      <c r="J362" s="34" t="s">
        <v>1443</v>
      </c>
      <c r="K362" s="36">
        <v>41519</v>
      </c>
      <c r="L362" s="34" t="s">
        <v>1444</v>
      </c>
      <c r="M362" s="34" t="s">
        <v>1445</v>
      </c>
      <c r="N362" s="34" t="s">
        <v>717</v>
      </c>
      <c r="O362" s="34" t="s">
        <v>717</v>
      </c>
      <c r="P362" s="34" t="s">
        <v>1462</v>
      </c>
      <c r="Q362" s="34" t="s">
        <v>1462</v>
      </c>
      <c r="R362" s="34" t="s">
        <v>1463</v>
      </c>
      <c r="S362" s="34" t="s">
        <v>1463</v>
      </c>
      <c r="T362" s="34" t="s">
        <v>765</v>
      </c>
      <c r="U362" s="34" t="s">
        <v>765</v>
      </c>
      <c r="V362" s="37">
        <v>8.59</v>
      </c>
      <c r="W362" s="45">
        <v>1917.36</v>
      </c>
      <c r="X362" s="37">
        <v>22220.84</v>
      </c>
      <c r="Y362" s="36">
        <v>43864</v>
      </c>
      <c r="Z362" s="34" t="s">
        <v>1448</v>
      </c>
    </row>
    <row r="363" spans="1:26" x14ac:dyDescent="0.25">
      <c r="A363" s="34" t="s">
        <v>1441</v>
      </c>
      <c r="B363" s="34" t="s">
        <v>1442</v>
      </c>
      <c r="C363" s="34" t="s">
        <v>16</v>
      </c>
      <c r="D363" s="34" t="s">
        <v>15</v>
      </c>
      <c r="E363" s="35">
        <v>30041041</v>
      </c>
      <c r="F363" s="34" t="s">
        <v>769</v>
      </c>
      <c r="G363" s="39">
        <v>10051653</v>
      </c>
      <c r="H363" s="42">
        <v>30041041</v>
      </c>
      <c r="I363" s="34" t="s">
        <v>388</v>
      </c>
      <c r="J363" s="34" t="s">
        <v>1443</v>
      </c>
      <c r="K363" s="36">
        <v>41535</v>
      </c>
      <c r="L363" s="34" t="s">
        <v>1444</v>
      </c>
      <c r="M363" s="34" t="s">
        <v>1445</v>
      </c>
      <c r="N363" s="34" t="s">
        <v>717</v>
      </c>
      <c r="O363" s="34" t="s">
        <v>717</v>
      </c>
      <c r="P363" s="34" t="s">
        <v>1452</v>
      </c>
      <c r="Q363" s="34" t="s">
        <v>1452</v>
      </c>
      <c r="R363" s="34" t="s">
        <v>1453</v>
      </c>
      <c r="S363" s="34" t="s">
        <v>1453</v>
      </c>
      <c r="T363" s="34" t="s">
        <v>769</v>
      </c>
      <c r="U363" s="34" t="s">
        <v>769</v>
      </c>
      <c r="V363" s="37">
        <v>8.59</v>
      </c>
      <c r="W363" s="45">
        <v>1917.36</v>
      </c>
      <c r="X363" s="37">
        <v>22220.84</v>
      </c>
      <c r="Y363" s="36">
        <v>43864</v>
      </c>
      <c r="Z363" s="34" t="s">
        <v>1448</v>
      </c>
    </row>
    <row r="364" spans="1:26" x14ac:dyDescent="0.25">
      <c r="A364" s="34" t="s">
        <v>1441</v>
      </c>
      <c r="B364" s="34" t="s">
        <v>1442</v>
      </c>
      <c r="C364" s="34" t="s">
        <v>16</v>
      </c>
      <c r="D364" s="34" t="s">
        <v>15</v>
      </c>
      <c r="E364" s="35">
        <v>30041042</v>
      </c>
      <c r="F364" s="34" t="s">
        <v>759</v>
      </c>
      <c r="G364" s="39">
        <v>10051727</v>
      </c>
      <c r="H364" s="42">
        <v>30041042</v>
      </c>
      <c r="I364" s="34" t="s">
        <v>389</v>
      </c>
      <c r="J364" s="34" t="s">
        <v>1443</v>
      </c>
      <c r="K364" s="36">
        <v>41548</v>
      </c>
      <c r="L364" s="34" t="s">
        <v>1444</v>
      </c>
      <c r="M364" s="34" t="s">
        <v>1445</v>
      </c>
      <c r="N364" s="34" t="s">
        <v>717</v>
      </c>
      <c r="O364" s="34" t="s">
        <v>717</v>
      </c>
      <c r="P364" s="34" t="s">
        <v>1466</v>
      </c>
      <c r="Q364" s="34" t="s">
        <v>1466</v>
      </c>
      <c r="R364" s="34" t="s">
        <v>1467</v>
      </c>
      <c r="S364" s="34" t="s">
        <v>1467</v>
      </c>
      <c r="T364" s="34" t="s">
        <v>759</v>
      </c>
      <c r="U364" s="34" t="s">
        <v>759</v>
      </c>
      <c r="V364" s="37">
        <v>10.39</v>
      </c>
      <c r="W364" s="45">
        <v>2319.13</v>
      </c>
      <c r="X364" s="37">
        <v>22220.79</v>
      </c>
      <c r="Y364" s="36">
        <v>43864</v>
      </c>
      <c r="Z364" s="34" t="s">
        <v>1448</v>
      </c>
    </row>
    <row r="365" spans="1:26" x14ac:dyDescent="0.25">
      <c r="A365" s="34" t="s">
        <v>1441</v>
      </c>
      <c r="B365" s="34" t="s">
        <v>1442</v>
      </c>
      <c r="C365" s="34" t="s">
        <v>16</v>
      </c>
      <c r="D365" s="34" t="s">
        <v>15</v>
      </c>
      <c r="E365" s="35">
        <v>30041043</v>
      </c>
      <c r="F365" s="34" t="s">
        <v>769</v>
      </c>
      <c r="G365" s="39">
        <v>10051728</v>
      </c>
      <c r="H365" s="42">
        <v>30041043</v>
      </c>
      <c r="I365" s="34" t="s">
        <v>390</v>
      </c>
      <c r="J365" s="34" t="s">
        <v>1443</v>
      </c>
      <c r="K365" s="36">
        <v>41548</v>
      </c>
      <c r="L365" s="34" t="s">
        <v>1444</v>
      </c>
      <c r="M365" s="34" t="s">
        <v>1445</v>
      </c>
      <c r="N365" s="34" t="s">
        <v>717</v>
      </c>
      <c r="O365" s="34" t="s">
        <v>717</v>
      </c>
      <c r="P365" s="34" t="s">
        <v>1486</v>
      </c>
      <c r="Q365" s="34" t="s">
        <v>1486</v>
      </c>
      <c r="R365" s="34" t="s">
        <v>1488</v>
      </c>
      <c r="S365" s="34" t="s">
        <v>1488</v>
      </c>
      <c r="T365" s="34" t="s">
        <v>769</v>
      </c>
      <c r="U365" s="34" t="s">
        <v>769</v>
      </c>
      <c r="V365" s="37">
        <v>8.59</v>
      </c>
      <c r="W365" s="45">
        <v>1917.36</v>
      </c>
      <c r="X365" s="37">
        <v>22220.84</v>
      </c>
      <c r="Y365" s="36">
        <v>43864</v>
      </c>
      <c r="Z365" s="34" t="s">
        <v>1448</v>
      </c>
    </row>
    <row r="366" spans="1:26" x14ac:dyDescent="0.25">
      <c r="A366" s="34" t="s">
        <v>1441</v>
      </c>
      <c r="B366" s="34" t="s">
        <v>1442</v>
      </c>
      <c r="C366" s="34" t="s">
        <v>6</v>
      </c>
      <c r="D366" s="34" t="s">
        <v>15</v>
      </c>
      <c r="E366" s="35">
        <v>30041044</v>
      </c>
      <c r="F366" s="34" t="s">
        <v>770</v>
      </c>
      <c r="G366" s="39">
        <v>10051730</v>
      </c>
      <c r="H366" s="42">
        <v>30041044</v>
      </c>
      <c r="I366" s="34" t="s">
        <v>391</v>
      </c>
      <c r="J366" s="34" t="s">
        <v>1443</v>
      </c>
      <c r="K366" s="36">
        <v>41548</v>
      </c>
      <c r="L366" s="34" t="s">
        <v>1444</v>
      </c>
      <c r="M366" s="34" t="s">
        <v>1445</v>
      </c>
      <c r="N366" s="34" t="s">
        <v>717</v>
      </c>
      <c r="O366" s="34" t="s">
        <v>717</v>
      </c>
      <c r="P366" s="34" t="s">
        <v>1454</v>
      </c>
      <c r="Q366" s="34" t="s">
        <v>1454</v>
      </c>
      <c r="R366" s="34" t="s">
        <v>1455</v>
      </c>
      <c r="S366" s="34" t="s">
        <v>1455</v>
      </c>
      <c r="T366" s="34" t="s">
        <v>770</v>
      </c>
      <c r="U366" s="34" t="s">
        <v>770</v>
      </c>
      <c r="V366" s="37">
        <v>12.2</v>
      </c>
      <c r="W366" s="45">
        <v>2723.14</v>
      </c>
      <c r="X366" s="37">
        <v>22220.82</v>
      </c>
      <c r="Y366" s="36">
        <v>43864</v>
      </c>
      <c r="Z366" s="34" t="s">
        <v>1448</v>
      </c>
    </row>
    <row r="367" spans="1:26" x14ac:dyDescent="0.25">
      <c r="A367" s="34" t="s">
        <v>1441</v>
      </c>
      <c r="B367" s="34" t="s">
        <v>1442</v>
      </c>
      <c r="C367" s="34" t="s">
        <v>16</v>
      </c>
      <c r="D367" s="34" t="s">
        <v>15</v>
      </c>
      <c r="E367" s="35">
        <v>30041045</v>
      </c>
      <c r="F367" s="34" t="s">
        <v>756</v>
      </c>
      <c r="G367" s="39">
        <v>10051737</v>
      </c>
      <c r="H367" s="42">
        <v>30041045</v>
      </c>
      <c r="I367" s="34" t="s">
        <v>392</v>
      </c>
      <c r="J367" s="34" t="s">
        <v>1443</v>
      </c>
      <c r="K367" s="36">
        <v>41548</v>
      </c>
      <c r="L367" s="34" t="s">
        <v>1444</v>
      </c>
      <c r="M367" s="34" t="s">
        <v>1445</v>
      </c>
      <c r="N367" s="34" t="s">
        <v>717</v>
      </c>
      <c r="O367" s="34" t="s">
        <v>717</v>
      </c>
      <c r="P367" s="34" t="s">
        <v>1470</v>
      </c>
      <c r="Q367" s="34" t="s">
        <v>1470</v>
      </c>
      <c r="R367" s="34" t="s">
        <v>1471</v>
      </c>
      <c r="S367" s="34" t="s">
        <v>1471</v>
      </c>
      <c r="T367" s="34" t="s">
        <v>756</v>
      </c>
      <c r="U367" s="34" t="s">
        <v>756</v>
      </c>
      <c r="V367" s="37">
        <v>10.3</v>
      </c>
      <c r="W367" s="45">
        <v>2299.0500000000002</v>
      </c>
      <c r="X367" s="37">
        <v>22220.87</v>
      </c>
      <c r="Y367" s="36">
        <v>43864</v>
      </c>
      <c r="Z367" s="34" t="s">
        <v>1448</v>
      </c>
    </row>
    <row r="368" spans="1:26" x14ac:dyDescent="0.25">
      <c r="A368" s="34" t="s">
        <v>1441</v>
      </c>
      <c r="B368" s="34" t="s">
        <v>1442</v>
      </c>
      <c r="C368" s="34" t="s">
        <v>16</v>
      </c>
      <c r="D368" s="34" t="s">
        <v>15</v>
      </c>
      <c r="E368" s="35">
        <v>30041338</v>
      </c>
      <c r="F368" s="34" t="s">
        <v>761</v>
      </c>
      <c r="G368" s="39">
        <v>10051757</v>
      </c>
      <c r="H368" s="42">
        <v>30041338</v>
      </c>
      <c r="I368" s="34" t="s">
        <v>393</v>
      </c>
      <c r="J368" s="34" t="s">
        <v>1443</v>
      </c>
      <c r="K368" s="36">
        <v>41548</v>
      </c>
      <c r="L368" s="34" t="s">
        <v>1444</v>
      </c>
      <c r="M368" s="34" t="s">
        <v>1445</v>
      </c>
      <c r="N368" s="34" t="s">
        <v>717</v>
      </c>
      <c r="O368" s="34" t="s">
        <v>717</v>
      </c>
      <c r="P368" s="34" t="s">
        <v>1474</v>
      </c>
      <c r="Q368" s="34" t="s">
        <v>1474</v>
      </c>
      <c r="R368" s="34" t="s">
        <v>1485</v>
      </c>
      <c r="S368" s="34" t="s">
        <v>1485</v>
      </c>
      <c r="T368" s="34" t="s">
        <v>761</v>
      </c>
      <c r="U368" s="34" t="s">
        <v>761</v>
      </c>
      <c r="V368" s="37">
        <v>11.71</v>
      </c>
      <c r="W368" s="45">
        <v>2138.54</v>
      </c>
      <c r="X368" s="37">
        <v>18162.509999999998</v>
      </c>
      <c r="Y368" s="36">
        <v>43864</v>
      </c>
      <c r="Z368" s="34" t="s">
        <v>1448</v>
      </c>
    </row>
    <row r="369" spans="1:26" x14ac:dyDescent="0.25">
      <c r="A369" s="34" t="s">
        <v>1441</v>
      </c>
      <c r="B369" s="34" t="s">
        <v>1442</v>
      </c>
      <c r="C369" s="34" t="s">
        <v>16</v>
      </c>
      <c r="D369" s="34" t="s">
        <v>15</v>
      </c>
      <c r="E369" s="35">
        <v>30041047</v>
      </c>
      <c r="F369" s="34" t="s">
        <v>765</v>
      </c>
      <c r="G369" s="39">
        <v>10051759</v>
      </c>
      <c r="H369" s="42">
        <v>30041047</v>
      </c>
      <c r="I369" s="34" t="s">
        <v>394</v>
      </c>
      <c r="J369" s="34" t="s">
        <v>1443</v>
      </c>
      <c r="K369" s="36">
        <v>41548</v>
      </c>
      <c r="L369" s="34" t="s">
        <v>1444</v>
      </c>
      <c r="M369" s="34" t="s">
        <v>1445</v>
      </c>
      <c r="N369" s="34" t="s">
        <v>717</v>
      </c>
      <c r="O369" s="34" t="s">
        <v>717</v>
      </c>
      <c r="P369" s="34" t="s">
        <v>1474</v>
      </c>
      <c r="Q369" s="34" t="s">
        <v>1474</v>
      </c>
      <c r="R369" s="34" t="s">
        <v>1485</v>
      </c>
      <c r="S369" s="34" t="s">
        <v>1485</v>
      </c>
      <c r="T369" s="34" t="s">
        <v>765</v>
      </c>
      <c r="U369" s="34" t="s">
        <v>765</v>
      </c>
      <c r="V369" s="37">
        <v>9.9</v>
      </c>
      <c r="W369" s="45">
        <v>9.9</v>
      </c>
      <c r="X369" s="37">
        <v>0</v>
      </c>
      <c r="Y369" s="36">
        <v>43864</v>
      </c>
      <c r="Z369" s="34" t="s">
        <v>1448</v>
      </c>
    </row>
    <row r="370" spans="1:26" x14ac:dyDescent="0.25">
      <c r="A370" s="34" t="s">
        <v>1441</v>
      </c>
      <c r="B370" s="34" t="s">
        <v>1442</v>
      </c>
      <c r="C370" s="34" t="s">
        <v>6</v>
      </c>
      <c r="D370" s="34" t="s">
        <v>15</v>
      </c>
      <c r="E370" s="35">
        <v>30041048</v>
      </c>
      <c r="F370" s="34" t="s">
        <v>771</v>
      </c>
      <c r="G370" s="39">
        <v>10051887</v>
      </c>
      <c r="H370" s="42">
        <v>30041048</v>
      </c>
      <c r="I370" s="34" t="s">
        <v>395</v>
      </c>
      <c r="J370" s="34" t="s">
        <v>1443</v>
      </c>
      <c r="K370" s="36">
        <v>41568</v>
      </c>
      <c r="L370" s="34" t="s">
        <v>1444</v>
      </c>
      <c r="M370" s="34" t="s">
        <v>1445</v>
      </c>
      <c r="N370" s="34" t="s">
        <v>717</v>
      </c>
      <c r="O370" s="34" t="s">
        <v>717</v>
      </c>
      <c r="P370" s="34" t="s">
        <v>1459</v>
      </c>
      <c r="Q370" s="34" t="s">
        <v>1466</v>
      </c>
      <c r="R370" s="34" t="s">
        <v>1467</v>
      </c>
      <c r="S370" s="34" t="s">
        <v>1467</v>
      </c>
      <c r="T370" s="34" t="s">
        <v>771</v>
      </c>
      <c r="U370" s="34" t="s">
        <v>771</v>
      </c>
      <c r="V370" s="37">
        <v>8.59</v>
      </c>
      <c r="W370" s="45">
        <v>1917.36</v>
      </c>
      <c r="X370" s="37">
        <v>22220.84</v>
      </c>
      <c r="Y370" s="36">
        <v>43864</v>
      </c>
      <c r="Z370" s="34" t="s">
        <v>1448</v>
      </c>
    </row>
    <row r="371" spans="1:26" x14ac:dyDescent="0.25">
      <c r="A371" s="34" t="s">
        <v>1441</v>
      </c>
      <c r="B371" s="34" t="s">
        <v>1442</v>
      </c>
      <c r="C371" s="34" t="s">
        <v>16</v>
      </c>
      <c r="D371" s="34" t="s">
        <v>15</v>
      </c>
      <c r="E371" s="35">
        <v>30041049</v>
      </c>
      <c r="F371" s="34" t="s">
        <v>765</v>
      </c>
      <c r="G371" s="39">
        <v>10051909</v>
      </c>
      <c r="H371" s="42">
        <v>30041049</v>
      </c>
      <c r="I371" s="34" t="s">
        <v>396</v>
      </c>
      <c r="J371" s="34" t="s">
        <v>1443</v>
      </c>
      <c r="K371" s="36">
        <v>41568</v>
      </c>
      <c r="L371" s="34" t="s">
        <v>1444</v>
      </c>
      <c r="M371" s="34" t="s">
        <v>1445</v>
      </c>
      <c r="N371" s="34" t="s">
        <v>717</v>
      </c>
      <c r="O371" s="34" t="s">
        <v>717</v>
      </c>
      <c r="P371" s="34" t="s">
        <v>1474</v>
      </c>
      <c r="Q371" s="34" t="s">
        <v>1474</v>
      </c>
      <c r="R371" s="34" t="s">
        <v>1485</v>
      </c>
      <c r="S371" s="34" t="s">
        <v>1485</v>
      </c>
      <c r="T371" s="34" t="s">
        <v>765</v>
      </c>
      <c r="U371" s="34" t="s">
        <v>765</v>
      </c>
      <c r="V371" s="37">
        <v>9.9</v>
      </c>
      <c r="W371" s="45">
        <v>9.9</v>
      </c>
      <c r="X371" s="37">
        <v>0</v>
      </c>
      <c r="Y371" s="36">
        <v>43864</v>
      </c>
      <c r="Z371" s="34" t="s">
        <v>1448</v>
      </c>
    </row>
    <row r="372" spans="1:26" x14ac:dyDescent="0.25">
      <c r="A372" s="34" t="s">
        <v>1441</v>
      </c>
      <c r="B372" s="34" t="s">
        <v>1442</v>
      </c>
      <c r="C372" s="34" t="s">
        <v>16</v>
      </c>
      <c r="D372" s="34" t="s">
        <v>15</v>
      </c>
      <c r="E372" s="35">
        <v>30041339</v>
      </c>
      <c r="F372" s="34" t="s">
        <v>761</v>
      </c>
      <c r="G372" s="39">
        <v>10051921</v>
      </c>
      <c r="H372" s="42">
        <v>30041339</v>
      </c>
      <c r="I372" s="34" t="s">
        <v>397</v>
      </c>
      <c r="J372" s="34" t="s">
        <v>1443</v>
      </c>
      <c r="K372" s="36">
        <v>41568</v>
      </c>
      <c r="L372" s="34" t="s">
        <v>1444</v>
      </c>
      <c r="M372" s="34" t="s">
        <v>1445</v>
      </c>
      <c r="N372" s="34" t="s">
        <v>717</v>
      </c>
      <c r="O372" s="34" t="s">
        <v>717</v>
      </c>
      <c r="P372" s="34" t="s">
        <v>1474</v>
      </c>
      <c r="Q372" s="34" t="s">
        <v>1474</v>
      </c>
      <c r="R372" s="34" t="s">
        <v>1485</v>
      </c>
      <c r="S372" s="34" t="s">
        <v>1485</v>
      </c>
      <c r="T372" s="34" t="s">
        <v>761</v>
      </c>
      <c r="U372" s="34" t="s">
        <v>761</v>
      </c>
      <c r="V372" s="37">
        <v>11.71</v>
      </c>
      <c r="W372" s="45">
        <v>2138.54</v>
      </c>
      <c r="X372" s="37">
        <v>18162.509999999998</v>
      </c>
      <c r="Y372" s="36">
        <v>43864</v>
      </c>
      <c r="Z372" s="34" t="s">
        <v>1448</v>
      </c>
    </row>
    <row r="373" spans="1:26" x14ac:dyDescent="0.25">
      <c r="A373" s="34" t="s">
        <v>1441</v>
      </c>
      <c r="B373" s="34" t="s">
        <v>1442</v>
      </c>
      <c r="C373" s="34" t="s">
        <v>16</v>
      </c>
      <c r="D373" s="34" t="s">
        <v>15</v>
      </c>
      <c r="E373" s="35">
        <v>30041051</v>
      </c>
      <c r="F373" s="34" t="s">
        <v>755</v>
      </c>
      <c r="G373" s="39">
        <v>10051937</v>
      </c>
      <c r="H373" s="42">
        <v>30041051</v>
      </c>
      <c r="I373" s="34" t="s">
        <v>398</v>
      </c>
      <c r="J373" s="34" t="s">
        <v>1443</v>
      </c>
      <c r="K373" s="36">
        <v>41568</v>
      </c>
      <c r="L373" s="34" t="s">
        <v>1444</v>
      </c>
      <c r="M373" s="34" t="s">
        <v>1445</v>
      </c>
      <c r="N373" s="34" t="s">
        <v>717</v>
      </c>
      <c r="O373" s="34" t="s">
        <v>717</v>
      </c>
      <c r="P373" s="34" t="s">
        <v>1468</v>
      </c>
      <c r="Q373" s="34" t="s">
        <v>1468</v>
      </c>
      <c r="R373" s="34" t="s">
        <v>1469</v>
      </c>
      <c r="S373" s="34" t="s">
        <v>1469</v>
      </c>
      <c r="T373" s="34" t="s">
        <v>755</v>
      </c>
      <c r="U373" s="34" t="s">
        <v>755</v>
      </c>
      <c r="V373" s="37">
        <v>9.4499999999999993</v>
      </c>
      <c r="W373" s="45">
        <v>2109.3200000000002</v>
      </c>
      <c r="X373" s="37">
        <v>22220.85</v>
      </c>
      <c r="Y373" s="36">
        <v>43864</v>
      </c>
      <c r="Z373" s="34" t="s">
        <v>1448</v>
      </c>
    </row>
    <row r="374" spans="1:26" x14ac:dyDescent="0.25">
      <c r="A374" s="34" t="s">
        <v>1441</v>
      </c>
      <c r="B374" s="34" t="s">
        <v>1442</v>
      </c>
      <c r="C374" s="34" t="s">
        <v>16</v>
      </c>
      <c r="D374" s="34" t="s">
        <v>15</v>
      </c>
      <c r="E374" s="35">
        <v>30041052</v>
      </c>
      <c r="F374" s="34" t="s">
        <v>765</v>
      </c>
      <c r="G374" s="39">
        <v>10051970</v>
      </c>
      <c r="H374" s="42">
        <v>30041052</v>
      </c>
      <c r="I374" s="34" t="s">
        <v>399</v>
      </c>
      <c r="J374" s="34" t="s">
        <v>1443</v>
      </c>
      <c r="K374" s="36">
        <v>41582</v>
      </c>
      <c r="L374" s="34" t="s">
        <v>1444</v>
      </c>
      <c r="M374" s="34" t="s">
        <v>1445</v>
      </c>
      <c r="N374" s="34" t="s">
        <v>717</v>
      </c>
      <c r="O374" s="34" t="s">
        <v>717</v>
      </c>
      <c r="P374" s="34" t="s">
        <v>1501</v>
      </c>
      <c r="Q374" s="34" t="s">
        <v>1501</v>
      </c>
      <c r="R374" s="34" t="s">
        <v>1502</v>
      </c>
      <c r="S374" s="34" t="s">
        <v>1502</v>
      </c>
      <c r="T374" s="34" t="s">
        <v>765</v>
      </c>
      <c r="U374" s="34" t="s">
        <v>765</v>
      </c>
      <c r="V374" s="37">
        <v>8.59</v>
      </c>
      <c r="W374" s="45">
        <v>1917.36</v>
      </c>
      <c r="X374" s="37">
        <v>22220.84</v>
      </c>
      <c r="Y374" s="36">
        <v>43864</v>
      </c>
      <c r="Z374" s="34" t="s">
        <v>1448</v>
      </c>
    </row>
    <row r="375" spans="1:26" x14ac:dyDescent="0.25">
      <c r="A375" s="34" t="s">
        <v>1441</v>
      </c>
      <c r="B375" s="34" t="s">
        <v>1442</v>
      </c>
      <c r="C375" s="34" t="s">
        <v>16</v>
      </c>
      <c r="D375" s="34" t="s">
        <v>15</v>
      </c>
      <c r="E375" s="35">
        <v>30041053</v>
      </c>
      <c r="F375" s="34" t="s">
        <v>759</v>
      </c>
      <c r="G375" s="39">
        <v>10051980</v>
      </c>
      <c r="H375" s="42">
        <v>30041053</v>
      </c>
      <c r="I375" s="34" t="s">
        <v>400</v>
      </c>
      <c r="J375" s="34" t="s">
        <v>1443</v>
      </c>
      <c r="K375" s="36">
        <v>41582</v>
      </c>
      <c r="L375" s="34" t="s">
        <v>1444</v>
      </c>
      <c r="M375" s="34" t="s">
        <v>1445</v>
      </c>
      <c r="N375" s="34" t="s">
        <v>717</v>
      </c>
      <c r="O375" s="34" t="s">
        <v>717</v>
      </c>
      <c r="P375" s="34" t="s">
        <v>1466</v>
      </c>
      <c r="Q375" s="34" t="s">
        <v>1466</v>
      </c>
      <c r="R375" s="34" t="s">
        <v>1467</v>
      </c>
      <c r="S375" s="34" t="s">
        <v>1467</v>
      </c>
      <c r="T375" s="34" t="s">
        <v>759</v>
      </c>
      <c r="U375" s="34" t="s">
        <v>759</v>
      </c>
      <c r="V375" s="37">
        <v>12.63</v>
      </c>
      <c r="W375" s="45">
        <v>2819.12</v>
      </c>
      <c r="X375" s="37">
        <v>22220.82</v>
      </c>
      <c r="Y375" s="36">
        <v>43864</v>
      </c>
      <c r="Z375" s="34" t="s">
        <v>1448</v>
      </c>
    </row>
    <row r="376" spans="1:26" x14ac:dyDescent="0.25">
      <c r="A376" s="34" t="s">
        <v>1441</v>
      </c>
      <c r="B376" s="34" t="s">
        <v>1442</v>
      </c>
      <c r="C376" s="34" t="s">
        <v>16</v>
      </c>
      <c r="D376" s="34" t="s">
        <v>15</v>
      </c>
      <c r="E376" s="35">
        <v>30041054</v>
      </c>
      <c r="F376" s="34" t="s">
        <v>759</v>
      </c>
      <c r="G376" s="39">
        <v>10051988</v>
      </c>
      <c r="H376" s="42">
        <v>30041054</v>
      </c>
      <c r="I376" s="34" t="s">
        <v>401</v>
      </c>
      <c r="J376" s="34" t="s">
        <v>1443</v>
      </c>
      <c r="K376" s="36">
        <v>41582</v>
      </c>
      <c r="L376" s="34" t="s">
        <v>1444</v>
      </c>
      <c r="M376" s="34" t="s">
        <v>1445</v>
      </c>
      <c r="N376" s="34" t="s">
        <v>717</v>
      </c>
      <c r="O376" s="34" t="s">
        <v>717</v>
      </c>
      <c r="P376" s="34" t="s">
        <v>1466</v>
      </c>
      <c r="Q376" s="34" t="s">
        <v>1466</v>
      </c>
      <c r="R376" s="34" t="s">
        <v>1467</v>
      </c>
      <c r="S376" s="34" t="s">
        <v>1467</v>
      </c>
      <c r="T376" s="34" t="s">
        <v>759</v>
      </c>
      <c r="U376" s="34" t="s">
        <v>759</v>
      </c>
      <c r="V376" s="37">
        <v>13.31</v>
      </c>
      <c r="W376" s="45">
        <v>2970.9</v>
      </c>
      <c r="X376" s="37">
        <v>22220.81</v>
      </c>
      <c r="Y376" s="36">
        <v>43864</v>
      </c>
      <c r="Z376" s="34" t="s">
        <v>1448</v>
      </c>
    </row>
    <row r="377" spans="1:26" x14ac:dyDescent="0.25">
      <c r="A377" s="34" t="s">
        <v>1441</v>
      </c>
      <c r="B377" s="34" t="s">
        <v>1442</v>
      </c>
      <c r="C377" s="34" t="s">
        <v>16</v>
      </c>
      <c r="D377" s="34" t="s">
        <v>15</v>
      </c>
      <c r="E377" s="35">
        <v>30041055</v>
      </c>
      <c r="F377" s="34" t="s">
        <v>769</v>
      </c>
      <c r="G377" s="39">
        <v>10052058</v>
      </c>
      <c r="H377" s="42">
        <v>30041055</v>
      </c>
      <c r="I377" s="34" t="s">
        <v>402</v>
      </c>
      <c r="J377" s="34" t="s">
        <v>1443</v>
      </c>
      <c r="K377" s="36">
        <v>41584</v>
      </c>
      <c r="L377" s="34" t="s">
        <v>1444</v>
      </c>
      <c r="M377" s="34" t="s">
        <v>1445</v>
      </c>
      <c r="N377" s="34" t="s">
        <v>717</v>
      </c>
      <c r="O377" s="34" t="s">
        <v>717</v>
      </c>
      <c r="P377" s="34" t="s">
        <v>1486</v>
      </c>
      <c r="Q377" s="34" t="s">
        <v>1486</v>
      </c>
      <c r="R377" s="34" t="s">
        <v>1488</v>
      </c>
      <c r="S377" s="34" t="s">
        <v>1488</v>
      </c>
      <c r="T377" s="34" t="s">
        <v>769</v>
      </c>
      <c r="U377" s="34" t="s">
        <v>769</v>
      </c>
      <c r="V377" s="37">
        <v>8.59</v>
      </c>
      <c r="W377" s="45">
        <v>1917.36</v>
      </c>
      <c r="X377" s="37">
        <v>22220.84</v>
      </c>
      <c r="Y377" s="36">
        <v>43864</v>
      </c>
      <c r="Z377" s="34" t="s">
        <v>1448</v>
      </c>
    </row>
    <row r="378" spans="1:26" x14ac:dyDescent="0.25">
      <c r="A378" s="34" t="s">
        <v>1441</v>
      </c>
      <c r="B378" s="34" t="s">
        <v>1442</v>
      </c>
      <c r="C378" s="34" t="s">
        <v>16</v>
      </c>
      <c r="D378" s="34" t="s">
        <v>15</v>
      </c>
      <c r="E378" s="35">
        <v>30041056</v>
      </c>
      <c r="F378" s="34" t="s">
        <v>759</v>
      </c>
      <c r="G378" s="39">
        <v>10052118</v>
      </c>
      <c r="H378" s="42">
        <v>30041056</v>
      </c>
      <c r="I378" s="34" t="s">
        <v>403</v>
      </c>
      <c r="J378" s="34" t="s">
        <v>1443</v>
      </c>
      <c r="K378" s="36">
        <v>41596</v>
      </c>
      <c r="L378" s="34" t="s">
        <v>1444</v>
      </c>
      <c r="M378" s="34" t="s">
        <v>1445</v>
      </c>
      <c r="N378" s="34" t="s">
        <v>717</v>
      </c>
      <c r="O378" s="34" t="s">
        <v>717</v>
      </c>
      <c r="P378" s="34" t="s">
        <v>1466</v>
      </c>
      <c r="Q378" s="34" t="s">
        <v>1466</v>
      </c>
      <c r="R378" s="34" t="s">
        <v>1467</v>
      </c>
      <c r="S378" s="34" t="s">
        <v>1467</v>
      </c>
      <c r="T378" s="34" t="s">
        <v>759</v>
      </c>
      <c r="U378" s="34" t="s">
        <v>759</v>
      </c>
      <c r="V378" s="37">
        <v>13</v>
      </c>
      <c r="W378" s="45">
        <v>2901.71</v>
      </c>
      <c r="X378" s="37">
        <v>22220.85</v>
      </c>
      <c r="Y378" s="36">
        <v>43864</v>
      </c>
      <c r="Z378" s="34" t="s">
        <v>1448</v>
      </c>
    </row>
    <row r="379" spans="1:26" x14ac:dyDescent="0.25">
      <c r="A379" s="34" t="s">
        <v>1441</v>
      </c>
      <c r="B379" s="34" t="s">
        <v>1442</v>
      </c>
      <c r="C379" s="34" t="s">
        <v>16</v>
      </c>
      <c r="D379" s="34" t="s">
        <v>15</v>
      </c>
      <c r="E379" s="35">
        <v>30041057</v>
      </c>
      <c r="F379" s="34" t="s">
        <v>765</v>
      </c>
      <c r="G379" s="39">
        <v>10052171</v>
      </c>
      <c r="H379" s="42">
        <v>30041057</v>
      </c>
      <c r="I379" s="34" t="s">
        <v>404</v>
      </c>
      <c r="J379" s="34" t="s">
        <v>1443</v>
      </c>
      <c r="K379" s="36">
        <v>41612</v>
      </c>
      <c r="L379" s="34" t="s">
        <v>1444</v>
      </c>
      <c r="M379" s="34" t="s">
        <v>1445</v>
      </c>
      <c r="N379" s="34" t="s">
        <v>717</v>
      </c>
      <c r="O379" s="34" t="s">
        <v>717</v>
      </c>
      <c r="P379" s="34" t="s">
        <v>1490</v>
      </c>
      <c r="Q379" s="34" t="s">
        <v>1490</v>
      </c>
      <c r="R379" s="34" t="s">
        <v>1491</v>
      </c>
      <c r="S379" s="34" t="s">
        <v>1491</v>
      </c>
      <c r="T379" s="34" t="s">
        <v>765</v>
      </c>
      <c r="U379" s="34" t="s">
        <v>765</v>
      </c>
      <c r="V379" s="37">
        <v>8.59</v>
      </c>
      <c r="W379" s="45">
        <v>1917.36</v>
      </c>
      <c r="X379" s="37">
        <v>22220.84</v>
      </c>
      <c r="Y379" s="36">
        <v>43864</v>
      </c>
      <c r="Z379" s="34" t="s">
        <v>1448</v>
      </c>
    </row>
    <row r="380" spans="1:26" x14ac:dyDescent="0.25">
      <c r="A380" s="34" t="s">
        <v>1441</v>
      </c>
      <c r="B380" s="34" t="s">
        <v>1442</v>
      </c>
      <c r="C380" s="34" t="s">
        <v>16</v>
      </c>
      <c r="D380" s="34" t="s">
        <v>15</v>
      </c>
      <c r="E380" s="35">
        <v>30041058</v>
      </c>
      <c r="F380" s="34" t="s">
        <v>19</v>
      </c>
      <c r="G380" s="39">
        <v>10052180</v>
      </c>
      <c r="H380" s="42">
        <v>30041058</v>
      </c>
      <c r="I380" s="34" t="s">
        <v>405</v>
      </c>
      <c r="J380" s="34" t="s">
        <v>1443</v>
      </c>
      <c r="K380" s="36">
        <v>41612</v>
      </c>
      <c r="L380" s="34" t="s">
        <v>1444</v>
      </c>
      <c r="M380" s="34" t="s">
        <v>1445</v>
      </c>
      <c r="N380" s="34" t="s">
        <v>717</v>
      </c>
      <c r="O380" s="34" t="s">
        <v>717</v>
      </c>
      <c r="P380" s="34" t="s">
        <v>1466</v>
      </c>
      <c r="Q380" s="34" t="s">
        <v>1466</v>
      </c>
      <c r="R380" s="34" t="s">
        <v>1467</v>
      </c>
      <c r="S380" s="34" t="s">
        <v>1467</v>
      </c>
      <c r="T380" s="34" t="s">
        <v>19</v>
      </c>
      <c r="U380" s="34" t="s">
        <v>19</v>
      </c>
      <c r="V380" s="37">
        <v>10.26</v>
      </c>
      <c r="W380" s="45">
        <v>2290.12</v>
      </c>
      <c r="X380" s="37">
        <v>22220.86</v>
      </c>
      <c r="Y380" s="36">
        <v>43864</v>
      </c>
      <c r="Z380" s="34" t="s">
        <v>1448</v>
      </c>
    </row>
    <row r="381" spans="1:26" x14ac:dyDescent="0.25">
      <c r="A381" s="34" t="s">
        <v>1441</v>
      </c>
      <c r="B381" s="34" t="s">
        <v>1442</v>
      </c>
      <c r="C381" s="34" t="s">
        <v>16</v>
      </c>
      <c r="D381" s="34" t="s">
        <v>15</v>
      </c>
      <c r="E381" s="35">
        <v>30041059</v>
      </c>
      <c r="F381" s="34" t="s">
        <v>758</v>
      </c>
      <c r="G381" s="39">
        <v>10052214</v>
      </c>
      <c r="H381" s="42">
        <v>30041059</v>
      </c>
      <c r="I381" s="34" t="s">
        <v>406</v>
      </c>
      <c r="J381" s="34" t="s">
        <v>1443</v>
      </c>
      <c r="K381" s="36">
        <v>41612</v>
      </c>
      <c r="L381" s="34" t="s">
        <v>1444</v>
      </c>
      <c r="M381" s="34" t="s">
        <v>1445</v>
      </c>
      <c r="N381" s="34" t="s">
        <v>717</v>
      </c>
      <c r="O381" s="34" t="s">
        <v>717</v>
      </c>
      <c r="P381" s="34" t="s">
        <v>1449</v>
      </c>
      <c r="Q381" s="34" t="s">
        <v>1449</v>
      </c>
      <c r="R381" s="34" t="s">
        <v>1450</v>
      </c>
      <c r="S381" s="34" t="s">
        <v>1450</v>
      </c>
      <c r="T381" s="34" t="s">
        <v>758</v>
      </c>
      <c r="U381" s="34" t="s">
        <v>758</v>
      </c>
      <c r="V381" s="37">
        <v>12.44</v>
      </c>
      <c r="W381" s="45">
        <v>2776.71</v>
      </c>
      <c r="X381" s="37">
        <v>22220.82</v>
      </c>
      <c r="Y381" s="36">
        <v>43864</v>
      </c>
      <c r="Z381" s="34" t="s">
        <v>1448</v>
      </c>
    </row>
    <row r="382" spans="1:26" x14ac:dyDescent="0.25">
      <c r="A382" s="34" t="s">
        <v>1441</v>
      </c>
      <c r="B382" s="34" t="s">
        <v>1442</v>
      </c>
      <c r="C382" s="34" t="s">
        <v>16</v>
      </c>
      <c r="D382" s="34" t="s">
        <v>15</v>
      </c>
      <c r="E382" s="35">
        <v>30041060</v>
      </c>
      <c r="F382" s="34" t="s">
        <v>769</v>
      </c>
      <c r="G382" s="39">
        <v>10052266</v>
      </c>
      <c r="H382" s="42">
        <v>30041060</v>
      </c>
      <c r="I382" s="34" t="s">
        <v>407</v>
      </c>
      <c r="J382" s="34" t="s">
        <v>1443</v>
      </c>
      <c r="K382" s="36">
        <v>41612</v>
      </c>
      <c r="L382" s="34" t="s">
        <v>1444</v>
      </c>
      <c r="M382" s="34" t="s">
        <v>1445</v>
      </c>
      <c r="N382" s="34" t="s">
        <v>717</v>
      </c>
      <c r="O382" s="34" t="s">
        <v>717</v>
      </c>
      <c r="P382" s="34" t="s">
        <v>1486</v>
      </c>
      <c r="Q382" s="34" t="s">
        <v>1486</v>
      </c>
      <c r="R382" s="34" t="s">
        <v>1488</v>
      </c>
      <c r="S382" s="34" t="s">
        <v>1488</v>
      </c>
      <c r="T382" s="34" t="s">
        <v>769</v>
      </c>
      <c r="U382" s="34" t="s">
        <v>769</v>
      </c>
      <c r="V382" s="37">
        <v>8.59</v>
      </c>
      <c r="W382" s="45">
        <v>1917.36</v>
      </c>
      <c r="X382" s="37">
        <v>22220.84</v>
      </c>
      <c r="Y382" s="36">
        <v>43864</v>
      </c>
      <c r="Z382" s="34" t="s">
        <v>1448</v>
      </c>
    </row>
    <row r="383" spans="1:26" x14ac:dyDescent="0.25">
      <c r="A383" s="34" t="s">
        <v>1441</v>
      </c>
      <c r="B383" s="34" t="s">
        <v>1442</v>
      </c>
      <c r="C383" s="34" t="s">
        <v>16</v>
      </c>
      <c r="D383" s="34" t="s">
        <v>15</v>
      </c>
      <c r="E383" s="35">
        <v>30041340</v>
      </c>
      <c r="F383" s="34" t="s">
        <v>761</v>
      </c>
      <c r="G383" s="39">
        <v>10052349</v>
      </c>
      <c r="H383" s="42">
        <v>30041340</v>
      </c>
      <c r="I383" s="34" t="s">
        <v>408</v>
      </c>
      <c r="J383" s="34" t="s">
        <v>1443</v>
      </c>
      <c r="K383" s="36">
        <v>41652</v>
      </c>
      <c r="L383" s="34" t="s">
        <v>1444</v>
      </c>
      <c r="M383" s="34" t="s">
        <v>1445</v>
      </c>
      <c r="N383" s="34" t="s">
        <v>717</v>
      </c>
      <c r="O383" s="34" t="s">
        <v>717</v>
      </c>
      <c r="P383" s="34" t="s">
        <v>1474</v>
      </c>
      <c r="Q383" s="34" t="s">
        <v>1474</v>
      </c>
      <c r="R383" s="34" t="s">
        <v>1485</v>
      </c>
      <c r="S383" s="34" t="s">
        <v>1485</v>
      </c>
      <c r="T383" s="34" t="s">
        <v>761</v>
      </c>
      <c r="U383" s="34" t="s">
        <v>761</v>
      </c>
      <c r="V383" s="37">
        <v>11.71</v>
      </c>
      <c r="W383" s="45">
        <v>2138.54</v>
      </c>
      <c r="X383" s="37">
        <v>18162.509999999998</v>
      </c>
      <c r="Y383" s="36">
        <v>43864</v>
      </c>
      <c r="Z383" s="34" t="s">
        <v>1448</v>
      </c>
    </row>
    <row r="384" spans="1:26" x14ac:dyDescent="0.25">
      <c r="A384" s="34" t="s">
        <v>1441</v>
      </c>
      <c r="B384" s="34" t="s">
        <v>1442</v>
      </c>
      <c r="C384" s="34" t="s">
        <v>16</v>
      </c>
      <c r="D384" s="34" t="s">
        <v>15</v>
      </c>
      <c r="E384" s="35">
        <v>30041062</v>
      </c>
      <c r="F384" s="34" t="s">
        <v>769</v>
      </c>
      <c r="G384" s="39">
        <v>10052364</v>
      </c>
      <c r="H384" s="42">
        <v>30041062</v>
      </c>
      <c r="I384" s="34" t="s">
        <v>409</v>
      </c>
      <c r="J384" s="34" t="s">
        <v>1443</v>
      </c>
      <c r="K384" s="36">
        <v>41652</v>
      </c>
      <c r="L384" s="34" t="s">
        <v>1444</v>
      </c>
      <c r="M384" s="34" t="s">
        <v>1445</v>
      </c>
      <c r="N384" s="34" t="s">
        <v>717</v>
      </c>
      <c r="O384" s="34" t="s">
        <v>717</v>
      </c>
      <c r="P384" s="34" t="s">
        <v>1486</v>
      </c>
      <c r="Q384" s="34" t="s">
        <v>1486</v>
      </c>
      <c r="R384" s="34" t="s">
        <v>1488</v>
      </c>
      <c r="S384" s="34" t="s">
        <v>1488</v>
      </c>
      <c r="T384" s="34" t="s">
        <v>769</v>
      </c>
      <c r="U384" s="34" t="s">
        <v>769</v>
      </c>
      <c r="V384" s="37">
        <v>8.59</v>
      </c>
      <c r="W384" s="45">
        <v>1917.36</v>
      </c>
      <c r="X384" s="37">
        <v>22220.84</v>
      </c>
      <c r="Y384" s="36">
        <v>43864</v>
      </c>
      <c r="Z384" s="34" t="s">
        <v>1448</v>
      </c>
    </row>
    <row r="385" spans="1:26" x14ac:dyDescent="0.25">
      <c r="A385" s="34" t="s">
        <v>1441</v>
      </c>
      <c r="B385" s="34" t="s">
        <v>1442</v>
      </c>
      <c r="C385" s="34" t="s">
        <v>16</v>
      </c>
      <c r="D385" s="34" t="s">
        <v>15</v>
      </c>
      <c r="E385" s="35">
        <v>30041063</v>
      </c>
      <c r="F385" s="34" t="s">
        <v>769</v>
      </c>
      <c r="G385" s="39">
        <v>10052415</v>
      </c>
      <c r="H385" s="42">
        <v>30041063</v>
      </c>
      <c r="I385" s="34" t="s">
        <v>410</v>
      </c>
      <c r="J385" s="34" t="s">
        <v>1443</v>
      </c>
      <c r="K385" s="36">
        <v>41652</v>
      </c>
      <c r="L385" s="34" t="s">
        <v>1444</v>
      </c>
      <c r="M385" s="34" t="s">
        <v>1445</v>
      </c>
      <c r="N385" s="34" t="s">
        <v>717</v>
      </c>
      <c r="O385" s="34" t="s">
        <v>717</v>
      </c>
      <c r="P385" s="34" t="s">
        <v>1497</v>
      </c>
      <c r="Q385" s="34" t="s">
        <v>1497</v>
      </c>
      <c r="R385" s="34" t="s">
        <v>1498</v>
      </c>
      <c r="S385" s="34" t="s">
        <v>1498</v>
      </c>
      <c r="T385" s="34" t="s">
        <v>769</v>
      </c>
      <c r="U385" s="34" t="s">
        <v>769</v>
      </c>
      <c r="V385" s="37">
        <v>8.59</v>
      </c>
      <c r="W385" s="45">
        <v>1917.36</v>
      </c>
      <c r="X385" s="37">
        <v>22220.84</v>
      </c>
      <c r="Y385" s="36">
        <v>43864</v>
      </c>
      <c r="Z385" s="34" t="s">
        <v>1448</v>
      </c>
    </row>
    <row r="386" spans="1:26" x14ac:dyDescent="0.25">
      <c r="A386" s="34" t="s">
        <v>1441</v>
      </c>
      <c r="B386" s="34" t="s">
        <v>1442</v>
      </c>
      <c r="C386" s="34" t="s">
        <v>16</v>
      </c>
      <c r="D386" s="34" t="s">
        <v>15</v>
      </c>
      <c r="E386" s="35">
        <v>30041064</v>
      </c>
      <c r="F386" s="34" t="s">
        <v>769</v>
      </c>
      <c r="G386" s="39">
        <v>10052424</v>
      </c>
      <c r="H386" s="42">
        <v>30041064</v>
      </c>
      <c r="I386" s="34" t="s">
        <v>411</v>
      </c>
      <c r="J386" s="34" t="s">
        <v>1443</v>
      </c>
      <c r="K386" s="36">
        <v>41652</v>
      </c>
      <c r="L386" s="34" t="s">
        <v>1444</v>
      </c>
      <c r="M386" s="34" t="s">
        <v>1445</v>
      </c>
      <c r="N386" s="34" t="s">
        <v>717</v>
      </c>
      <c r="O386" s="34" t="s">
        <v>717</v>
      </c>
      <c r="P386" s="34" t="s">
        <v>1503</v>
      </c>
      <c r="Q386" s="34" t="s">
        <v>1503</v>
      </c>
      <c r="R386" s="34" t="s">
        <v>1504</v>
      </c>
      <c r="S386" s="34" t="s">
        <v>1504</v>
      </c>
      <c r="T386" s="34" t="s">
        <v>769</v>
      </c>
      <c r="U386" s="34" t="s">
        <v>769</v>
      </c>
      <c r="V386" s="37">
        <v>8.59</v>
      </c>
      <c r="W386" s="45">
        <v>1917.36</v>
      </c>
      <c r="X386" s="37">
        <v>22220.84</v>
      </c>
      <c r="Y386" s="36">
        <v>43864</v>
      </c>
      <c r="Z386" s="34" t="s">
        <v>1448</v>
      </c>
    </row>
    <row r="387" spans="1:26" x14ac:dyDescent="0.25">
      <c r="A387" s="34" t="s">
        <v>1441</v>
      </c>
      <c r="B387" s="34" t="s">
        <v>1442</v>
      </c>
      <c r="C387" s="34" t="s">
        <v>16</v>
      </c>
      <c r="D387" s="34" t="s">
        <v>15</v>
      </c>
      <c r="E387" s="35">
        <v>30041065</v>
      </c>
      <c r="F387" s="34" t="s">
        <v>765</v>
      </c>
      <c r="G387" s="39">
        <v>10052487</v>
      </c>
      <c r="H387" s="42">
        <v>30041065</v>
      </c>
      <c r="I387" s="34" t="s">
        <v>412</v>
      </c>
      <c r="J387" s="34" t="s">
        <v>1443</v>
      </c>
      <c r="K387" s="36">
        <v>41659</v>
      </c>
      <c r="L387" s="34" t="s">
        <v>1444</v>
      </c>
      <c r="M387" s="34" t="s">
        <v>1445</v>
      </c>
      <c r="N387" s="34" t="s">
        <v>717</v>
      </c>
      <c r="O387" s="34" t="s">
        <v>717</v>
      </c>
      <c r="P387" s="34" t="s">
        <v>1501</v>
      </c>
      <c r="Q387" s="34" t="s">
        <v>1501</v>
      </c>
      <c r="R387" s="34" t="s">
        <v>1502</v>
      </c>
      <c r="S387" s="34" t="s">
        <v>1502</v>
      </c>
      <c r="T387" s="34" t="s">
        <v>765</v>
      </c>
      <c r="U387" s="34" t="s">
        <v>765</v>
      </c>
      <c r="V387" s="37">
        <v>8.59</v>
      </c>
      <c r="W387" s="45">
        <v>1917.36</v>
      </c>
      <c r="X387" s="37">
        <v>22220.84</v>
      </c>
      <c r="Y387" s="36">
        <v>43864</v>
      </c>
      <c r="Z387" s="34" t="s">
        <v>1448</v>
      </c>
    </row>
    <row r="388" spans="1:26" x14ac:dyDescent="0.25">
      <c r="A388" s="34" t="s">
        <v>1441</v>
      </c>
      <c r="B388" s="34" t="s">
        <v>1442</v>
      </c>
      <c r="C388" s="34" t="s">
        <v>16</v>
      </c>
      <c r="D388" s="34" t="s">
        <v>15</v>
      </c>
      <c r="E388" s="35">
        <v>30041341</v>
      </c>
      <c r="F388" s="34" t="s">
        <v>761</v>
      </c>
      <c r="G388" s="39">
        <v>10052538</v>
      </c>
      <c r="H388" s="42">
        <v>30041341</v>
      </c>
      <c r="I388" s="34" t="s">
        <v>413</v>
      </c>
      <c r="J388" s="34" t="s">
        <v>1443</v>
      </c>
      <c r="K388" s="36">
        <v>41673</v>
      </c>
      <c r="L388" s="34" t="s">
        <v>1444</v>
      </c>
      <c r="M388" s="34" t="s">
        <v>1445</v>
      </c>
      <c r="N388" s="34" t="s">
        <v>717</v>
      </c>
      <c r="O388" s="34" t="s">
        <v>717</v>
      </c>
      <c r="P388" s="34" t="s">
        <v>1474</v>
      </c>
      <c r="Q388" s="34" t="s">
        <v>1474</v>
      </c>
      <c r="R388" s="34" t="s">
        <v>1485</v>
      </c>
      <c r="S388" s="34" t="s">
        <v>1485</v>
      </c>
      <c r="T388" s="34" t="s">
        <v>761</v>
      </c>
      <c r="U388" s="34" t="s">
        <v>761</v>
      </c>
      <c r="V388" s="37">
        <v>11.71</v>
      </c>
      <c r="W388" s="45">
        <v>2138.54</v>
      </c>
      <c r="X388" s="37">
        <v>18162.509999999998</v>
      </c>
      <c r="Y388" s="36">
        <v>43864</v>
      </c>
      <c r="Z388" s="34" t="s">
        <v>1448</v>
      </c>
    </row>
    <row r="389" spans="1:26" x14ac:dyDescent="0.25">
      <c r="A389" s="34" t="s">
        <v>1441</v>
      </c>
      <c r="B389" s="34" t="s">
        <v>1442</v>
      </c>
      <c r="C389" s="34" t="s">
        <v>16</v>
      </c>
      <c r="D389" s="34" t="s">
        <v>15</v>
      </c>
      <c r="E389" s="35">
        <v>30041067</v>
      </c>
      <c r="F389" s="34" t="s">
        <v>756</v>
      </c>
      <c r="G389" s="39">
        <v>10052539</v>
      </c>
      <c r="H389" s="42">
        <v>30041067</v>
      </c>
      <c r="I389" s="34" t="s">
        <v>414</v>
      </c>
      <c r="J389" s="34" t="s">
        <v>1443</v>
      </c>
      <c r="K389" s="36">
        <v>41673</v>
      </c>
      <c r="L389" s="34" t="s">
        <v>1444</v>
      </c>
      <c r="M389" s="34" t="s">
        <v>1445</v>
      </c>
      <c r="N389" s="34" t="s">
        <v>717</v>
      </c>
      <c r="O389" s="34" t="s">
        <v>717</v>
      </c>
      <c r="P389" s="34" t="s">
        <v>1470</v>
      </c>
      <c r="Q389" s="34" t="s">
        <v>1470</v>
      </c>
      <c r="R389" s="34" t="s">
        <v>1471</v>
      </c>
      <c r="S389" s="34" t="s">
        <v>1471</v>
      </c>
      <c r="T389" s="34" t="s">
        <v>756</v>
      </c>
      <c r="U389" s="34" t="s">
        <v>756</v>
      </c>
      <c r="V389" s="37">
        <v>10.3</v>
      </c>
      <c r="W389" s="45">
        <v>2299.0500000000002</v>
      </c>
      <c r="X389" s="37">
        <v>22220.87</v>
      </c>
      <c r="Y389" s="36">
        <v>43864</v>
      </c>
      <c r="Z389" s="34" t="s">
        <v>1448</v>
      </c>
    </row>
    <row r="390" spans="1:26" x14ac:dyDescent="0.25">
      <c r="A390" s="34" t="s">
        <v>1441</v>
      </c>
      <c r="B390" s="34" t="s">
        <v>1442</v>
      </c>
      <c r="C390" s="34" t="s">
        <v>16</v>
      </c>
      <c r="D390" s="34" t="s">
        <v>15</v>
      </c>
      <c r="E390" s="35">
        <v>30041068</v>
      </c>
      <c r="F390" s="34" t="s">
        <v>769</v>
      </c>
      <c r="G390" s="39">
        <v>10052543</v>
      </c>
      <c r="H390" s="42">
        <v>30041068</v>
      </c>
      <c r="I390" s="34" t="s">
        <v>415</v>
      </c>
      <c r="J390" s="34" t="s">
        <v>1443</v>
      </c>
      <c r="K390" s="36">
        <v>41673</v>
      </c>
      <c r="L390" s="34" t="s">
        <v>1444</v>
      </c>
      <c r="M390" s="34" t="s">
        <v>1445</v>
      </c>
      <c r="N390" s="34" t="s">
        <v>717</v>
      </c>
      <c r="O390" s="34" t="s">
        <v>717</v>
      </c>
      <c r="P390" s="34" t="s">
        <v>1452</v>
      </c>
      <c r="Q390" s="34" t="s">
        <v>1452</v>
      </c>
      <c r="R390" s="34" t="s">
        <v>1453</v>
      </c>
      <c r="S390" s="34" t="s">
        <v>1453</v>
      </c>
      <c r="T390" s="34" t="s">
        <v>769</v>
      </c>
      <c r="U390" s="34" t="s">
        <v>769</v>
      </c>
      <c r="V390" s="37">
        <v>8.59</v>
      </c>
      <c r="W390" s="45">
        <v>1917.36</v>
      </c>
      <c r="X390" s="37">
        <v>22220.84</v>
      </c>
      <c r="Y390" s="36">
        <v>43864</v>
      </c>
      <c r="Z390" s="34" t="s">
        <v>1448</v>
      </c>
    </row>
    <row r="391" spans="1:26" x14ac:dyDescent="0.25">
      <c r="A391" s="34" t="s">
        <v>1441</v>
      </c>
      <c r="B391" s="34" t="s">
        <v>1442</v>
      </c>
      <c r="C391" s="34" t="s">
        <v>16</v>
      </c>
      <c r="D391" s="34" t="s">
        <v>15</v>
      </c>
      <c r="E391" s="35">
        <v>30041069</v>
      </c>
      <c r="F391" s="34" t="s">
        <v>755</v>
      </c>
      <c r="G391" s="39">
        <v>10052545</v>
      </c>
      <c r="H391" s="42">
        <v>30041069</v>
      </c>
      <c r="I391" s="34" t="s">
        <v>416</v>
      </c>
      <c r="J391" s="34" t="s">
        <v>1443</v>
      </c>
      <c r="K391" s="36">
        <v>41673</v>
      </c>
      <c r="L391" s="34" t="s">
        <v>1444</v>
      </c>
      <c r="M391" s="34" t="s">
        <v>1445</v>
      </c>
      <c r="N391" s="34" t="s">
        <v>717</v>
      </c>
      <c r="O391" s="34" t="s">
        <v>717</v>
      </c>
      <c r="P391" s="34" t="s">
        <v>1468</v>
      </c>
      <c r="Q391" s="34" t="s">
        <v>1468</v>
      </c>
      <c r="R391" s="34" t="s">
        <v>1469</v>
      </c>
      <c r="S391" s="34" t="s">
        <v>1469</v>
      </c>
      <c r="T391" s="34" t="s">
        <v>755</v>
      </c>
      <c r="U391" s="34" t="s">
        <v>755</v>
      </c>
      <c r="V391" s="37">
        <v>9.4499999999999993</v>
      </c>
      <c r="W391" s="45">
        <v>2109.3200000000002</v>
      </c>
      <c r="X391" s="37">
        <v>22220.85</v>
      </c>
      <c r="Y391" s="36">
        <v>43864</v>
      </c>
      <c r="Z391" s="34" t="s">
        <v>1448</v>
      </c>
    </row>
    <row r="392" spans="1:26" x14ac:dyDescent="0.25">
      <c r="A392" s="34" t="s">
        <v>1441</v>
      </c>
      <c r="B392" s="34" t="s">
        <v>1442</v>
      </c>
      <c r="C392" s="34" t="s">
        <v>16</v>
      </c>
      <c r="D392" s="34" t="s">
        <v>15</v>
      </c>
      <c r="E392" s="35">
        <v>30041070</v>
      </c>
      <c r="F392" s="34" t="s">
        <v>765</v>
      </c>
      <c r="G392" s="39">
        <v>10052554</v>
      </c>
      <c r="H392" s="42">
        <v>30041070</v>
      </c>
      <c r="I392" s="34" t="s">
        <v>417</v>
      </c>
      <c r="J392" s="34" t="s">
        <v>1443</v>
      </c>
      <c r="K392" s="36">
        <v>41673</v>
      </c>
      <c r="L392" s="34" t="s">
        <v>1444</v>
      </c>
      <c r="M392" s="34" t="s">
        <v>1445</v>
      </c>
      <c r="N392" s="34" t="s">
        <v>717</v>
      </c>
      <c r="O392" s="34" t="s">
        <v>717</v>
      </c>
      <c r="P392" s="34" t="s">
        <v>1462</v>
      </c>
      <c r="Q392" s="34" t="s">
        <v>1462</v>
      </c>
      <c r="R392" s="34" t="s">
        <v>1494</v>
      </c>
      <c r="S392" s="34" t="s">
        <v>1494</v>
      </c>
      <c r="T392" s="34" t="s">
        <v>765</v>
      </c>
      <c r="U392" s="34" t="s">
        <v>765</v>
      </c>
      <c r="V392" s="37">
        <v>8.59</v>
      </c>
      <c r="W392" s="45">
        <v>1917.36</v>
      </c>
      <c r="X392" s="37">
        <v>22220.84</v>
      </c>
      <c r="Y392" s="36">
        <v>43864</v>
      </c>
      <c r="Z392" s="34" t="s">
        <v>1448</v>
      </c>
    </row>
    <row r="393" spans="1:26" x14ac:dyDescent="0.25">
      <c r="A393" s="34" t="s">
        <v>1441</v>
      </c>
      <c r="B393" s="34" t="s">
        <v>1442</v>
      </c>
      <c r="C393" s="34" t="s">
        <v>16</v>
      </c>
      <c r="D393" s="34" t="s">
        <v>15</v>
      </c>
      <c r="E393" s="35">
        <v>30041071</v>
      </c>
      <c r="F393" s="34" t="s">
        <v>21</v>
      </c>
      <c r="G393" s="39">
        <v>10052555</v>
      </c>
      <c r="H393" s="42">
        <v>30041071</v>
      </c>
      <c r="I393" s="34" t="s">
        <v>418</v>
      </c>
      <c r="J393" s="34" t="s">
        <v>1443</v>
      </c>
      <c r="K393" s="36">
        <v>41673</v>
      </c>
      <c r="L393" s="34" t="s">
        <v>1444</v>
      </c>
      <c r="M393" s="34" t="s">
        <v>1445</v>
      </c>
      <c r="N393" s="34" t="s">
        <v>717</v>
      </c>
      <c r="O393" s="34" t="s">
        <v>717</v>
      </c>
      <c r="P393" s="34" t="s">
        <v>1462</v>
      </c>
      <c r="Q393" s="34" t="s">
        <v>1462</v>
      </c>
      <c r="R393" s="34" t="s">
        <v>1494</v>
      </c>
      <c r="S393" s="34" t="s">
        <v>1494</v>
      </c>
      <c r="T393" s="34" t="s">
        <v>21</v>
      </c>
      <c r="U393" s="34" t="s">
        <v>21</v>
      </c>
      <c r="V393" s="37">
        <v>10.31</v>
      </c>
      <c r="W393" s="45">
        <v>2301.2800000000002</v>
      </c>
      <c r="X393" s="37">
        <v>22220.85</v>
      </c>
      <c r="Y393" s="36">
        <v>43864</v>
      </c>
      <c r="Z393" s="34" t="s">
        <v>1448</v>
      </c>
    </row>
    <row r="394" spans="1:26" x14ac:dyDescent="0.25">
      <c r="A394" s="34" t="s">
        <v>1441</v>
      </c>
      <c r="B394" s="34" t="s">
        <v>1442</v>
      </c>
      <c r="C394" s="34" t="s">
        <v>16</v>
      </c>
      <c r="D394" s="34" t="s">
        <v>15</v>
      </c>
      <c r="E394" s="35">
        <v>30041072</v>
      </c>
      <c r="F394" s="34" t="s">
        <v>765</v>
      </c>
      <c r="G394" s="39">
        <v>10052705</v>
      </c>
      <c r="H394" s="42">
        <v>30041072</v>
      </c>
      <c r="I394" s="34" t="s">
        <v>419</v>
      </c>
      <c r="J394" s="34" t="s">
        <v>1443</v>
      </c>
      <c r="K394" s="36">
        <v>41689</v>
      </c>
      <c r="L394" s="34" t="s">
        <v>1444</v>
      </c>
      <c r="M394" s="34" t="s">
        <v>1445</v>
      </c>
      <c r="N394" s="34" t="s">
        <v>717</v>
      </c>
      <c r="O394" s="34" t="s">
        <v>717</v>
      </c>
      <c r="P394" s="34" t="s">
        <v>1501</v>
      </c>
      <c r="Q394" s="34" t="s">
        <v>1501</v>
      </c>
      <c r="R394" s="34" t="s">
        <v>1502</v>
      </c>
      <c r="S394" s="34" t="s">
        <v>1502</v>
      </c>
      <c r="T394" s="34" t="s">
        <v>765</v>
      </c>
      <c r="U394" s="34" t="s">
        <v>765</v>
      </c>
      <c r="V394" s="37">
        <v>8.59</v>
      </c>
      <c r="W394" s="45">
        <v>1917.36</v>
      </c>
      <c r="X394" s="37">
        <v>22220.84</v>
      </c>
      <c r="Y394" s="36">
        <v>43864</v>
      </c>
      <c r="Z394" s="34" t="s">
        <v>1448</v>
      </c>
    </row>
    <row r="395" spans="1:26" x14ac:dyDescent="0.25">
      <c r="A395" s="34" t="s">
        <v>1441</v>
      </c>
      <c r="B395" s="34" t="s">
        <v>1442</v>
      </c>
      <c r="C395" s="34" t="s">
        <v>16</v>
      </c>
      <c r="D395" s="34" t="s">
        <v>15</v>
      </c>
      <c r="E395" s="35">
        <v>30041073</v>
      </c>
      <c r="F395" s="34" t="s">
        <v>765</v>
      </c>
      <c r="G395" s="39">
        <v>10052790</v>
      </c>
      <c r="H395" s="42">
        <v>30041073</v>
      </c>
      <c r="I395" s="34" t="s">
        <v>420</v>
      </c>
      <c r="J395" s="34" t="s">
        <v>1443</v>
      </c>
      <c r="K395" s="36">
        <v>41710</v>
      </c>
      <c r="L395" s="34" t="s">
        <v>1444</v>
      </c>
      <c r="M395" s="34" t="s">
        <v>1445</v>
      </c>
      <c r="N395" s="34" t="s">
        <v>717</v>
      </c>
      <c r="O395" s="34" t="s">
        <v>717</v>
      </c>
      <c r="P395" s="34" t="s">
        <v>1503</v>
      </c>
      <c r="Q395" s="34" t="s">
        <v>1503</v>
      </c>
      <c r="R395" s="34" t="s">
        <v>1504</v>
      </c>
      <c r="S395" s="34" t="s">
        <v>1504</v>
      </c>
      <c r="T395" s="34" t="s">
        <v>765</v>
      </c>
      <c r="U395" s="34" t="s">
        <v>765</v>
      </c>
      <c r="V395" s="37">
        <v>8.59</v>
      </c>
      <c r="W395" s="45">
        <v>1917.36</v>
      </c>
      <c r="X395" s="37">
        <v>22220.84</v>
      </c>
      <c r="Y395" s="36">
        <v>43864</v>
      </c>
      <c r="Z395" s="34" t="s">
        <v>1448</v>
      </c>
    </row>
    <row r="396" spans="1:26" x14ac:dyDescent="0.25">
      <c r="A396" s="34" t="s">
        <v>1441</v>
      </c>
      <c r="B396" s="34" t="s">
        <v>1442</v>
      </c>
      <c r="C396" s="34" t="s">
        <v>16</v>
      </c>
      <c r="D396" s="34" t="s">
        <v>15</v>
      </c>
      <c r="E396" s="35">
        <v>30041074</v>
      </c>
      <c r="F396" s="34" t="s">
        <v>765</v>
      </c>
      <c r="G396" s="39">
        <v>10052808</v>
      </c>
      <c r="H396" s="42">
        <v>30041074</v>
      </c>
      <c r="I396" s="34" t="s">
        <v>421</v>
      </c>
      <c r="J396" s="34" t="s">
        <v>1443</v>
      </c>
      <c r="K396" s="36">
        <v>41710</v>
      </c>
      <c r="L396" s="34" t="s">
        <v>1444</v>
      </c>
      <c r="M396" s="34" t="s">
        <v>1445</v>
      </c>
      <c r="N396" s="34" t="s">
        <v>717</v>
      </c>
      <c r="O396" s="34" t="s">
        <v>717</v>
      </c>
      <c r="P396" s="34" t="s">
        <v>1492</v>
      </c>
      <c r="Q396" s="34" t="s">
        <v>1492</v>
      </c>
      <c r="R396" s="34" t="s">
        <v>1493</v>
      </c>
      <c r="S396" s="34" t="s">
        <v>1493</v>
      </c>
      <c r="T396" s="34" t="s">
        <v>765</v>
      </c>
      <c r="U396" s="34" t="s">
        <v>765</v>
      </c>
      <c r="V396" s="37">
        <v>8.59</v>
      </c>
      <c r="W396" s="45">
        <v>1917.36</v>
      </c>
      <c r="X396" s="37">
        <v>22220.84</v>
      </c>
      <c r="Y396" s="36">
        <v>43864</v>
      </c>
      <c r="Z396" s="34" t="s">
        <v>1448</v>
      </c>
    </row>
    <row r="397" spans="1:26" x14ac:dyDescent="0.25">
      <c r="A397" s="34" t="s">
        <v>1441</v>
      </c>
      <c r="B397" s="34" t="s">
        <v>1442</v>
      </c>
      <c r="C397" s="34" t="s">
        <v>16</v>
      </c>
      <c r="D397" s="34" t="s">
        <v>15</v>
      </c>
      <c r="E397" s="35">
        <v>30041075</v>
      </c>
      <c r="F397" s="34" t="s">
        <v>765</v>
      </c>
      <c r="G397" s="39">
        <v>10052816</v>
      </c>
      <c r="H397" s="42">
        <v>30041075</v>
      </c>
      <c r="I397" s="34" t="s">
        <v>422</v>
      </c>
      <c r="J397" s="34" t="s">
        <v>1443</v>
      </c>
      <c r="K397" s="36">
        <v>41710</v>
      </c>
      <c r="L397" s="34" t="s">
        <v>1444</v>
      </c>
      <c r="M397" s="34" t="s">
        <v>1445</v>
      </c>
      <c r="N397" s="34" t="s">
        <v>717</v>
      </c>
      <c r="O397" s="34" t="s">
        <v>717</v>
      </c>
      <c r="P397" s="34" t="s">
        <v>1501</v>
      </c>
      <c r="Q397" s="34" t="s">
        <v>1501</v>
      </c>
      <c r="R397" s="34" t="s">
        <v>1502</v>
      </c>
      <c r="S397" s="34" t="s">
        <v>1502</v>
      </c>
      <c r="T397" s="34" t="s">
        <v>765</v>
      </c>
      <c r="U397" s="34" t="s">
        <v>765</v>
      </c>
      <c r="V397" s="37">
        <v>8.59</v>
      </c>
      <c r="W397" s="45">
        <v>1917.36</v>
      </c>
      <c r="X397" s="37">
        <v>22220.84</v>
      </c>
      <c r="Y397" s="36">
        <v>43864</v>
      </c>
      <c r="Z397" s="34" t="s">
        <v>1448</v>
      </c>
    </row>
    <row r="398" spans="1:26" x14ac:dyDescent="0.25">
      <c r="A398" s="34" t="s">
        <v>1441</v>
      </c>
      <c r="B398" s="34" t="s">
        <v>1442</v>
      </c>
      <c r="C398" s="34" t="s">
        <v>16</v>
      </c>
      <c r="D398" s="34" t="s">
        <v>15</v>
      </c>
      <c r="E398" s="35">
        <v>30041076</v>
      </c>
      <c r="F398" s="34" t="s">
        <v>20</v>
      </c>
      <c r="G398" s="39">
        <v>10052819</v>
      </c>
      <c r="H398" s="42">
        <v>30041076</v>
      </c>
      <c r="I398" s="34" t="s">
        <v>423</v>
      </c>
      <c r="J398" s="34" t="s">
        <v>1443</v>
      </c>
      <c r="K398" s="36">
        <v>41710</v>
      </c>
      <c r="L398" s="34" t="s">
        <v>1444</v>
      </c>
      <c r="M398" s="34" t="s">
        <v>1445</v>
      </c>
      <c r="N398" s="34" t="s">
        <v>717</v>
      </c>
      <c r="O398" s="34" t="s">
        <v>717</v>
      </c>
      <c r="P398" s="34" t="s">
        <v>1462</v>
      </c>
      <c r="Q398" s="34" t="s">
        <v>1462</v>
      </c>
      <c r="R398" s="34" t="s">
        <v>1478</v>
      </c>
      <c r="S398" s="34" t="s">
        <v>1478</v>
      </c>
      <c r="T398" s="34" t="s">
        <v>20</v>
      </c>
      <c r="U398" s="34" t="s">
        <v>20</v>
      </c>
      <c r="V398" s="37">
        <v>13.39</v>
      </c>
      <c r="W398" s="45">
        <v>2988.76</v>
      </c>
      <c r="X398" s="37">
        <v>22220.84</v>
      </c>
      <c r="Y398" s="36">
        <v>43864</v>
      </c>
      <c r="Z398" s="34" t="s">
        <v>1448</v>
      </c>
    </row>
    <row r="399" spans="1:26" x14ac:dyDescent="0.25">
      <c r="A399" s="34" t="s">
        <v>1441</v>
      </c>
      <c r="B399" s="34" t="s">
        <v>1442</v>
      </c>
      <c r="C399" s="34" t="s">
        <v>16</v>
      </c>
      <c r="D399" s="34" t="s">
        <v>15</v>
      </c>
      <c r="E399" s="35">
        <v>30041077</v>
      </c>
      <c r="F399" s="34" t="s">
        <v>765</v>
      </c>
      <c r="G399" s="39">
        <v>10052922</v>
      </c>
      <c r="H399" s="42">
        <v>30041077</v>
      </c>
      <c r="I399" s="34" t="s">
        <v>424</v>
      </c>
      <c r="J399" s="34" t="s">
        <v>1443</v>
      </c>
      <c r="K399" s="36">
        <v>41730</v>
      </c>
      <c r="L399" s="34" t="s">
        <v>1444</v>
      </c>
      <c r="M399" s="34" t="s">
        <v>1445</v>
      </c>
      <c r="N399" s="34" t="s">
        <v>717</v>
      </c>
      <c r="O399" s="34" t="s">
        <v>717</v>
      </c>
      <c r="P399" s="34" t="s">
        <v>1490</v>
      </c>
      <c r="Q399" s="34" t="s">
        <v>1490</v>
      </c>
      <c r="R399" s="34" t="s">
        <v>1491</v>
      </c>
      <c r="S399" s="34" t="s">
        <v>1491</v>
      </c>
      <c r="T399" s="34" t="s">
        <v>765</v>
      </c>
      <c r="U399" s="34" t="s">
        <v>765</v>
      </c>
      <c r="V399" s="37">
        <v>8.59</v>
      </c>
      <c r="W399" s="45">
        <v>1917.36</v>
      </c>
      <c r="X399" s="37">
        <v>22220.84</v>
      </c>
      <c r="Y399" s="36">
        <v>43864</v>
      </c>
      <c r="Z399" s="34" t="s">
        <v>1448</v>
      </c>
    </row>
    <row r="400" spans="1:26" x14ac:dyDescent="0.25">
      <c r="A400" s="34" t="s">
        <v>1441</v>
      </c>
      <c r="B400" s="34" t="s">
        <v>1442</v>
      </c>
      <c r="C400" s="34" t="s">
        <v>16</v>
      </c>
      <c r="D400" s="34" t="s">
        <v>15</v>
      </c>
      <c r="E400" s="35">
        <v>30041078</v>
      </c>
      <c r="F400" s="34" t="s">
        <v>765</v>
      </c>
      <c r="G400" s="39">
        <v>10052943</v>
      </c>
      <c r="H400" s="42">
        <v>30041078</v>
      </c>
      <c r="I400" s="34" t="s">
        <v>425</v>
      </c>
      <c r="J400" s="34" t="s">
        <v>1443</v>
      </c>
      <c r="K400" s="36">
        <v>41730</v>
      </c>
      <c r="L400" s="34" t="s">
        <v>1444</v>
      </c>
      <c r="M400" s="34" t="s">
        <v>1445</v>
      </c>
      <c r="N400" s="34" t="s">
        <v>717</v>
      </c>
      <c r="O400" s="34" t="s">
        <v>717</v>
      </c>
      <c r="P400" s="34" t="s">
        <v>1492</v>
      </c>
      <c r="Q400" s="34" t="s">
        <v>1492</v>
      </c>
      <c r="R400" s="34" t="s">
        <v>1493</v>
      </c>
      <c r="S400" s="34" t="s">
        <v>1493</v>
      </c>
      <c r="T400" s="34" t="s">
        <v>765</v>
      </c>
      <c r="U400" s="34" t="s">
        <v>765</v>
      </c>
      <c r="V400" s="37">
        <v>8.59</v>
      </c>
      <c r="W400" s="45">
        <v>1917.36</v>
      </c>
      <c r="X400" s="37">
        <v>22220.84</v>
      </c>
      <c r="Y400" s="36">
        <v>43864</v>
      </c>
      <c r="Z400" s="34" t="s">
        <v>1448</v>
      </c>
    </row>
    <row r="401" spans="1:26" x14ac:dyDescent="0.25">
      <c r="A401" s="34" t="s">
        <v>1441</v>
      </c>
      <c r="B401" s="34" t="s">
        <v>1442</v>
      </c>
      <c r="C401" s="34" t="s">
        <v>16</v>
      </c>
      <c r="D401" s="34" t="s">
        <v>15</v>
      </c>
      <c r="E401" s="35">
        <v>30041079</v>
      </c>
      <c r="F401" s="34" t="s">
        <v>765</v>
      </c>
      <c r="G401" s="39">
        <v>10052949</v>
      </c>
      <c r="H401" s="42">
        <v>30041079</v>
      </c>
      <c r="I401" s="34" t="s">
        <v>426</v>
      </c>
      <c r="J401" s="34" t="s">
        <v>1443</v>
      </c>
      <c r="K401" s="36">
        <v>41730</v>
      </c>
      <c r="L401" s="34" t="s">
        <v>1444</v>
      </c>
      <c r="M401" s="34" t="s">
        <v>1445</v>
      </c>
      <c r="N401" s="34" t="s">
        <v>717</v>
      </c>
      <c r="O401" s="34" t="s">
        <v>717</v>
      </c>
      <c r="P401" s="34" t="s">
        <v>1490</v>
      </c>
      <c r="Q401" s="34" t="s">
        <v>1490</v>
      </c>
      <c r="R401" s="34" t="s">
        <v>1491</v>
      </c>
      <c r="S401" s="34" t="s">
        <v>1491</v>
      </c>
      <c r="T401" s="34" t="s">
        <v>765</v>
      </c>
      <c r="U401" s="34" t="s">
        <v>765</v>
      </c>
      <c r="V401" s="37">
        <v>8.59</v>
      </c>
      <c r="W401" s="45">
        <v>1917.36</v>
      </c>
      <c r="X401" s="37">
        <v>22220.84</v>
      </c>
      <c r="Y401" s="36">
        <v>43864</v>
      </c>
      <c r="Z401" s="34" t="s">
        <v>1448</v>
      </c>
    </row>
    <row r="402" spans="1:26" x14ac:dyDescent="0.25">
      <c r="A402" s="34" t="s">
        <v>1441</v>
      </c>
      <c r="B402" s="34" t="s">
        <v>1442</v>
      </c>
      <c r="C402" s="34" t="s">
        <v>16</v>
      </c>
      <c r="D402" s="34" t="s">
        <v>15</v>
      </c>
      <c r="E402" s="35">
        <v>30041080</v>
      </c>
      <c r="F402" s="34" t="s">
        <v>21</v>
      </c>
      <c r="G402" s="39">
        <v>10053018</v>
      </c>
      <c r="H402" s="42">
        <v>30041080</v>
      </c>
      <c r="I402" s="34" t="s">
        <v>427</v>
      </c>
      <c r="J402" s="34" t="s">
        <v>1443</v>
      </c>
      <c r="K402" s="36">
        <v>41731</v>
      </c>
      <c r="L402" s="34" t="s">
        <v>1444</v>
      </c>
      <c r="M402" s="34" t="s">
        <v>1445</v>
      </c>
      <c r="N402" s="34" t="s">
        <v>717</v>
      </c>
      <c r="O402" s="34" t="s">
        <v>717</v>
      </c>
      <c r="P402" s="34" t="s">
        <v>1462</v>
      </c>
      <c r="Q402" s="34" t="s">
        <v>1462</v>
      </c>
      <c r="R402" s="34" t="s">
        <v>1463</v>
      </c>
      <c r="S402" s="34" t="s">
        <v>1463</v>
      </c>
      <c r="T402" s="34" t="s">
        <v>21</v>
      </c>
      <c r="U402" s="34" t="s">
        <v>21</v>
      </c>
      <c r="V402" s="37">
        <v>10.59</v>
      </c>
      <c r="W402" s="45">
        <v>2363.7800000000002</v>
      </c>
      <c r="X402" s="37">
        <v>22220.87</v>
      </c>
      <c r="Y402" s="36">
        <v>43864</v>
      </c>
      <c r="Z402" s="34" t="s">
        <v>1448</v>
      </c>
    </row>
    <row r="403" spans="1:26" x14ac:dyDescent="0.25">
      <c r="A403" s="34" t="s">
        <v>1441</v>
      </c>
      <c r="B403" s="34" t="s">
        <v>1442</v>
      </c>
      <c r="C403" s="34" t="s">
        <v>16</v>
      </c>
      <c r="D403" s="34" t="s">
        <v>15</v>
      </c>
      <c r="E403" s="35">
        <v>30041342</v>
      </c>
      <c r="F403" s="34" t="s">
        <v>761</v>
      </c>
      <c r="G403" s="39">
        <v>10053019</v>
      </c>
      <c r="H403" s="42">
        <v>30041342</v>
      </c>
      <c r="I403" s="34" t="s">
        <v>428</v>
      </c>
      <c r="J403" s="34" t="s">
        <v>1443</v>
      </c>
      <c r="K403" s="36">
        <v>41731</v>
      </c>
      <c r="L403" s="34" t="s">
        <v>1444</v>
      </c>
      <c r="M403" s="34" t="s">
        <v>1445</v>
      </c>
      <c r="N403" s="34" t="s">
        <v>717</v>
      </c>
      <c r="O403" s="34" t="s">
        <v>717</v>
      </c>
      <c r="P403" s="34" t="s">
        <v>1474</v>
      </c>
      <c r="Q403" s="34" t="s">
        <v>1474</v>
      </c>
      <c r="R403" s="34" t="s">
        <v>1485</v>
      </c>
      <c r="S403" s="34" t="s">
        <v>1485</v>
      </c>
      <c r="T403" s="34" t="s">
        <v>761</v>
      </c>
      <c r="U403" s="34" t="s">
        <v>761</v>
      </c>
      <c r="V403" s="37">
        <v>11.71</v>
      </c>
      <c r="W403" s="45">
        <v>2138.54</v>
      </c>
      <c r="X403" s="37">
        <v>18162.509999999998</v>
      </c>
      <c r="Y403" s="36">
        <v>43864</v>
      </c>
      <c r="Z403" s="34" t="s">
        <v>1448</v>
      </c>
    </row>
    <row r="404" spans="1:26" x14ac:dyDescent="0.25">
      <c r="A404" s="34" t="s">
        <v>1441</v>
      </c>
      <c r="B404" s="34" t="s">
        <v>1442</v>
      </c>
      <c r="C404" s="34" t="s">
        <v>16</v>
      </c>
      <c r="D404" s="34" t="s">
        <v>15</v>
      </c>
      <c r="E404" s="35">
        <v>30041082</v>
      </c>
      <c r="F404" s="34" t="s">
        <v>765</v>
      </c>
      <c r="G404" s="39">
        <v>10053170</v>
      </c>
      <c r="H404" s="42">
        <v>30041082</v>
      </c>
      <c r="I404" s="34" t="s">
        <v>429</v>
      </c>
      <c r="J404" s="34" t="s">
        <v>1443</v>
      </c>
      <c r="K404" s="36">
        <v>41745</v>
      </c>
      <c r="L404" s="34" t="s">
        <v>1444</v>
      </c>
      <c r="M404" s="34" t="s">
        <v>1445</v>
      </c>
      <c r="N404" s="34" t="s">
        <v>717</v>
      </c>
      <c r="O404" s="34" t="s">
        <v>717</v>
      </c>
      <c r="P404" s="34" t="s">
        <v>1503</v>
      </c>
      <c r="Q404" s="34" t="s">
        <v>1503</v>
      </c>
      <c r="R404" s="34" t="s">
        <v>1504</v>
      </c>
      <c r="S404" s="34" t="s">
        <v>1504</v>
      </c>
      <c r="T404" s="34" t="s">
        <v>765</v>
      </c>
      <c r="U404" s="34" t="s">
        <v>765</v>
      </c>
      <c r="V404" s="37">
        <v>8.59</v>
      </c>
      <c r="W404" s="45">
        <v>1917.36</v>
      </c>
      <c r="X404" s="37">
        <v>22220.84</v>
      </c>
      <c r="Y404" s="36">
        <v>43864</v>
      </c>
      <c r="Z404" s="34" t="s">
        <v>1448</v>
      </c>
    </row>
    <row r="405" spans="1:26" x14ac:dyDescent="0.25">
      <c r="A405" s="34" t="s">
        <v>1441</v>
      </c>
      <c r="B405" s="34" t="s">
        <v>1442</v>
      </c>
      <c r="C405" s="34" t="s">
        <v>16</v>
      </c>
      <c r="D405" s="34" t="s">
        <v>15</v>
      </c>
      <c r="E405" s="35">
        <v>30041083</v>
      </c>
      <c r="F405" s="34" t="s">
        <v>765</v>
      </c>
      <c r="G405" s="39">
        <v>10053215</v>
      </c>
      <c r="H405" s="42">
        <v>30041083</v>
      </c>
      <c r="I405" s="34" t="s">
        <v>430</v>
      </c>
      <c r="J405" s="34" t="s">
        <v>1443</v>
      </c>
      <c r="K405" s="36">
        <v>41745</v>
      </c>
      <c r="L405" s="34" t="s">
        <v>1444</v>
      </c>
      <c r="M405" s="34" t="s">
        <v>1445</v>
      </c>
      <c r="N405" s="34" t="s">
        <v>717</v>
      </c>
      <c r="O405" s="34" t="s">
        <v>717</v>
      </c>
      <c r="P405" s="34" t="s">
        <v>1501</v>
      </c>
      <c r="Q405" s="34" t="s">
        <v>1501</v>
      </c>
      <c r="R405" s="34" t="s">
        <v>1502</v>
      </c>
      <c r="S405" s="34" t="s">
        <v>1502</v>
      </c>
      <c r="T405" s="34" t="s">
        <v>765</v>
      </c>
      <c r="U405" s="34" t="s">
        <v>765</v>
      </c>
      <c r="V405" s="37">
        <v>8.59</v>
      </c>
      <c r="W405" s="45">
        <v>1917.36</v>
      </c>
      <c r="X405" s="37">
        <v>22220.84</v>
      </c>
      <c r="Y405" s="36">
        <v>43864</v>
      </c>
      <c r="Z405" s="34" t="s">
        <v>1448</v>
      </c>
    </row>
    <row r="406" spans="1:26" x14ac:dyDescent="0.25">
      <c r="A406" s="34" t="s">
        <v>1441</v>
      </c>
      <c r="B406" s="34" t="s">
        <v>1442</v>
      </c>
      <c r="C406" s="34" t="s">
        <v>16</v>
      </c>
      <c r="D406" s="34" t="s">
        <v>15</v>
      </c>
      <c r="E406" s="35">
        <v>30041084</v>
      </c>
      <c r="F406" s="34" t="s">
        <v>765</v>
      </c>
      <c r="G406" s="39">
        <v>10053320</v>
      </c>
      <c r="H406" s="42">
        <v>30041084</v>
      </c>
      <c r="I406" s="34" t="s">
        <v>431</v>
      </c>
      <c r="J406" s="34" t="s">
        <v>1443</v>
      </c>
      <c r="K406" s="36">
        <v>41764</v>
      </c>
      <c r="L406" s="34" t="s">
        <v>1444</v>
      </c>
      <c r="M406" s="34" t="s">
        <v>1445</v>
      </c>
      <c r="N406" s="34" t="s">
        <v>717</v>
      </c>
      <c r="O406" s="34" t="s">
        <v>717</v>
      </c>
      <c r="P406" s="34" t="s">
        <v>1503</v>
      </c>
      <c r="Q406" s="34" t="s">
        <v>1503</v>
      </c>
      <c r="R406" s="34" t="s">
        <v>1504</v>
      </c>
      <c r="S406" s="34" t="s">
        <v>1504</v>
      </c>
      <c r="T406" s="34" t="s">
        <v>765</v>
      </c>
      <c r="U406" s="34" t="s">
        <v>765</v>
      </c>
      <c r="V406" s="37">
        <v>8.59</v>
      </c>
      <c r="W406" s="45">
        <v>1917.36</v>
      </c>
      <c r="X406" s="37">
        <v>22220.84</v>
      </c>
      <c r="Y406" s="36">
        <v>43864</v>
      </c>
      <c r="Z406" s="34" t="s">
        <v>1448</v>
      </c>
    </row>
    <row r="407" spans="1:26" x14ac:dyDescent="0.25">
      <c r="A407" s="34" t="s">
        <v>1441</v>
      </c>
      <c r="B407" s="34" t="s">
        <v>1442</v>
      </c>
      <c r="C407" s="34" t="s">
        <v>16</v>
      </c>
      <c r="D407" s="34" t="s">
        <v>15</v>
      </c>
      <c r="E407" s="35">
        <v>30041085</v>
      </c>
      <c r="F407" s="34" t="s">
        <v>769</v>
      </c>
      <c r="G407" s="39">
        <v>10053332</v>
      </c>
      <c r="H407" s="42">
        <v>30041085</v>
      </c>
      <c r="I407" s="34" t="s">
        <v>432</v>
      </c>
      <c r="J407" s="34" t="s">
        <v>1443</v>
      </c>
      <c r="K407" s="36">
        <v>41766</v>
      </c>
      <c r="L407" s="34" t="s">
        <v>1444</v>
      </c>
      <c r="M407" s="34" t="s">
        <v>1445</v>
      </c>
      <c r="N407" s="34" t="s">
        <v>717</v>
      </c>
      <c r="O407" s="34" t="s">
        <v>717</v>
      </c>
      <c r="P407" s="34" t="s">
        <v>1486</v>
      </c>
      <c r="Q407" s="34" t="s">
        <v>1486</v>
      </c>
      <c r="R407" s="34" t="s">
        <v>1487</v>
      </c>
      <c r="S407" s="34" t="s">
        <v>1487</v>
      </c>
      <c r="T407" s="34" t="s">
        <v>769</v>
      </c>
      <c r="U407" s="34" t="s">
        <v>769</v>
      </c>
      <c r="V407" s="37">
        <v>8.59</v>
      </c>
      <c r="W407" s="45">
        <v>1917.36</v>
      </c>
      <c r="X407" s="37">
        <v>22220.84</v>
      </c>
      <c r="Y407" s="36">
        <v>43864</v>
      </c>
      <c r="Z407" s="34" t="s">
        <v>1448</v>
      </c>
    </row>
    <row r="408" spans="1:26" x14ac:dyDescent="0.25">
      <c r="A408" s="34" t="s">
        <v>1441</v>
      </c>
      <c r="B408" s="34" t="s">
        <v>1442</v>
      </c>
      <c r="C408" s="34" t="s">
        <v>16</v>
      </c>
      <c r="D408" s="34" t="s">
        <v>15</v>
      </c>
      <c r="E408" s="35">
        <v>30041086</v>
      </c>
      <c r="F408" s="34" t="s">
        <v>765</v>
      </c>
      <c r="G408" s="39">
        <v>10053517</v>
      </c>
      <c r="H408" s="42">
        <v>30041086</v>
      </c>
      <c r="I408" s="34" t="s">
        <v>433</v>
      </c>
      <c r="J408" s="34" t="s">
        <v>1443</v>
      </c>
      <c r="K408" s="36">
        <v>41792</v>
      </c>
      <c r="L408" s="34" t="s">
        <v>1444</v>
      </c>
      <c r="M408" s="34" t="s">
        <v>1445</v>
      </c>
      <c r="N408" s="34" t="s">
        <v>717</v>
      </c>
      <c r="O408" s="34" t="s">
        <v>717</v>
      </c>
      <c r="P408" s="34" t="s">
        <v>1503</v>
      </c>
      <c r="Q408" s="34" t="s">
        <v>1503</v>
      </c>
      <c r="R408" s="34" t="s">
        <v>1504</v>
      </c>
      <c r="S408" s="34" t="s">
        <v>1504</v>
      </c>
      <c r="T408" s="34" t="s">
        <v>765</v>
      </c>
      <c r="U408" s="34" t="s">
        <v>765</v>
      </c>
      <c r="V408" s="37">
        <v>8.59</v>
      </c>
      <c r="W408" s="45">
        <v>1917.36</v>
      </c>
      <c r="X408" s="37">
        <v>22220.84</v>
      </c>
      <c r="Y408" s="36">
        <v>43864</v>
      </c>
      <c r="Z408" s="34" t="s">
        <v>1448</v>
      </c>
    </row>
    <row r="409" spans="1:26" x14ac:dyDescent="0.25">
      <c r="A409" s="34" t="s">
        <v>1441</v>
      </c>
      <c r="B409" s="34" t="s">
        <v>1442</v>
      </c>
      <c r="C409" s="34" t="s">
        <v>16</v>
      </c>
      <c r="D409" s="34" t="s">
        <v>15</v>
      </c>
      <c r="E409" s="35">
        <v>30041087</v>
      </c>
      <c r="F409" s="34" t="s">
        <v>21</v>
      </c>
      <c r="G409" s="39">
        <v>10053616</v>
      </c>
      <c r="H409" s="42">
        <v>30041087</v>
      </c>
      <c r="I409" s="34" t="s">
        <v>434</v>
      </c>
      <c r="J409" s="34" t="s">
        <v>1443</v>
      </c>
      <c r="K409" s="36">
        <v>41806</v>
      </c>
      <c r="L409" s="34" t="s">
        <v>1444</v>
      </c>
      <c r="M409" s="34" t="s">
        <v>1445</v>
      </c>
      <c r="N409" s="34" t="s">
        <v>717</v>
      </c>
      <c r="O409" s="34" t="s">
        <v>717</v>
      </c>
      <c r="P409" s="34" t="s">
        <v>1462</v>
      </c>
      <c r="Q409" s="34" t="s">
        <v>1462</v>
      </c>
      <c r="R409" s="34" t="s">
        <v>1478</v>
      </c>
      <c r="S409" s="34" t="s">
        <v>1478</v>
      </c>
      <c r="T409" s="34" t="s">
        <v>21</v>
      </c>
      <c r="U409" s="34" t="s">
        <v>21</v>
      </c>
      <c r="V409" s="37">
        <v>10.55</v>
      </c>
      <c r="W409" s="45">
        <v>2354.85</v>
      </c>
      <c r="X409" s="37">
        <v>22220.85</v>
      </c>
      <c r="Y409" s="36">
        <v>43864</v>
      </c>
      <c r="Z409" s="34" t="s">
        <v>1448</v>
      </c>
    </row>
    <row r="410" spans="1:26" x14ac:dyDescent="0.25">
      <c r="A410" s="34" t="s">
        <v>1441</v>
      </c>
      <c r="B410" s="34" t="s">
        <v>1442</v>
      </c>
      <c r="C410" s="34" t="s">
        <v>6</v>
      </c>
      <c r="D410" s="34" t="s">
        <v>15</v>
      </c>
      <c r="E410" s="35">
        <v>30041088</v>
      </c>
      <c r="F410" s="34" t="s">
        <v>772</v>
      </c>
      <c r="G410" s="39">
        <v>10053625</v>
      </c>
      <c r="H410" s="42">
        <v>30041088</v>
      </c>
      <c r="I410" s="34" t="s">
        <v>435</v>
      </c>
      <c r="J410" s="34" t="s">
        <v>1443</v>
      </c>
      <c r="K410" s="36">
        <v>41806</v>
      </c>
      <c r="L410" s="34" t="s">
        <v>1444</v>
      </c>
      <c r="M410" s="34" t="s">
        <v>1445</v>
      </c>
      <c r="N410" s="34" t="s">
        <v>717</v>
      </c>
      <c r="O410" s="34" t="s">
        <v>717</v>
      </c>
      <c r="P410" s="34" t="s">
        <v>1459</v>
      </c>
      <c r="Q410" s="34" t="s">
        <v>1446</v>
      </c>
      <c r="R410" s="34" t="s">
        <v>1451</v>
      </c>
      <c r="S410" s="34" t="s">
        <v>1451</v>
      </c>
      <c r="T410" s="34" t="s">
        <v>772</v>
      </c>
      <c r="U410" s="34" t="s">
        <v>772</v>
      </c>
      <c r="V410" s="37">
        <v>8.59</v>
      </c>
      <c r="W410" s="45">
        <v>1917.36</v>
      </c>
      <c r="X410" s="37">
        <v>22220.84</v>
      </c>
      <c r="Y410" s="36">
        <v>43864</v>
      </c>
      <c r="Z410" s="34" t="s">
        <v>1448</v>
      </c>
    </row>
    <row r="411" spans="1:26" x14ac:dyDescent="0.25">
      <c r="A411" s="34" t="s">
        <v>1441</v>
      </c>
      <c r="B411" s="34" t="s">
        <v>1442</v>
      </c>
      <c r="C411" s="34" t="s">
        <v>16</v>
      </c>
      <c r="D411" s="34" t="s">
        <v>15</v>
      </c>
      <c r="E411" s="35">
        <v>30041089</v>
      </c>
      <c r="F411" s="34" t="s">
        <v>759</v>
      </c>
      <c r="G411" s="39">
        <v>10053645</v>
      </c>
      <c r="H411" s="42">
        <v>30041089</v>
      </c>
      <c r="I411" s="34" t="s">
        <v>436</v>
      </c>
      <c r="J411" s="34" t="s">
        <v>1443</v>
      </c>
      <c r="K411" s="36">
        <v>41821</v>
      </c>
      <c r="L411" s="34" t="s">
        <v>1444</v>
      </c>
      <c r="M411" s="34" t="s">
        <v>1445</v>
      </c>
      <c r="N411" s="34" t="s">
        <v>717</v>
      </c>
      <c r="O411" s="34" t="s">
        <v>717</v>
      </c>
      <c r="P411" s="34" t="s">
        <v>1466</v>
      </c>
      <c r="Q411" s="34" t="s">
        <v>1466</v>
      </c>
      <c r="R411" s="34" t="s">
        <v>1467</v>
      </c>
      <c r="S411" s="34" t="s">
        <v>1467</v>
      </c>
      <c r="T411" s="34" t="s">
        <v>759</v>
      </c>
      <c r="U411" s="34" t="s">
        <v>759</v>
      </c>
      <c r="V411" s="37">
        <v>9.4499999999999993</v>
      </c>
      <c r="W411" s="45">
        <v>2109.3200000000002</v>
      </c>
      <c r="X411" s="37">
        <v>22220.85</v>
      </c>
      <c r="Y411" s="36">
        <v>43864</v>
      </c>
      <c r="Z411" s="34" t="s">
        <v>1448</v>
      </c>
    </row>
    <row r="412" spans="1:26" x14ac:dyDescent="0.25">
      <c r="A412" s="34" t="s">
        <v>1441</v>
      </c>
      <c r="B412" s="34" t="s">
        <v>1442</v>
      </c>
      <c r="C412" s="34" t="s">
        <v>16</v>
      </c>
      <c r="D412" s="34" t="s">
        <v>15</v>
      </c>
      <c r="E412" s="35">
        <v>30041090</v>
      </c>
      <c r="F412" s="34" t="s">
        <v>769</v>
      </c>
      <c r="G412" s="39">
        <v>10053667</v>
      </c>
      <c r="H412" s="42">
        <v>30041090</v>
      </c>
      <c r="I412" s="34" t="s">
        <v>437</v>
      </c>
      <c r="J412" s="34" t="s">
        <v>1443</v>
      </c>
      <c r="K412" s="36">
        <v>41822</v>
      </c>
      <c r="L412" s="34" t="s">
        <v>1444</v>
      </c>
      <c r="M412" s="34" t="s">
        <v>1445</v>
      </c>
      <c r="N412" s="34" t="s">
        <v>717</v>
      </c>
      <c r="O412" s="34" t="s">
        <v>717</v>
      </c>
      <c r="P412" s="34" t="s">
        <v>1486</v>
      </c>
      <c r="Q412" s="34" t="s">
        <v>1486</v>
      </c>
      <c r="R412" s="34" t="s">
        <v>1487</v>
      </c>
      <c r="S412" s="34" t="s">
        <v>1487</v>
      </c>
      <c r="T412" s="34" t="s">
        <v>769</v>
      </c>
      <c r="U412" s="34" t="s">
        <v>769</v>
      </c>
      <c r="V412" s="37">
        <v>8.59</v>
      </c>
      <c r="W412" s="45">
        <v>1917.36</v>
      </c>
      <c r="X412" s="37">
        <v>22220.84</v>
      </c>
      <c r="Y412" s="36">
        <v>43864</v>
      </c>
      <c r="Z412" s="34" t="s">
        <v>1448</v>
      </c>
    </row>
    <row r="413" spans="1:26" x14ac:dyDescent="0.25">
      <c r="A413" s="34" t="s">
        <v>1441</v>
      </c>
      <c r="B413" s="34" t="s">
        <v>1442</v>
      </c>
      <c r="C413" s="34" t="s">
        <v>16</v>
      </c>
      <c r="D413" s="34" t="s">
        <v>15</v>
      </c>
      <c r="E413" s="35">
        <v>30041091</v>
      </c>
      <c r="F413" s="34" t="s">
        <v>769</v>
      </c>
      <c r="G413" s="39">
        <v>10053671</v>
      </c>
      <c r="H413" s="42">
        <v>30041091</v>
      </c>
      <c r="I413" s="34" t="s">
        <v>438</v>
      </c>
      <c r="J413" s="34" t="s">
        <v>1443</v>
      </c>
      <c r="K413" s="36">
        <v>41822</v>
      </c>
      <c r="L413" s="34" t="s">
        <v>1444</v>
      </c>
      <c r="M413" s="34" t="s">
        <v>1445</v>
      </c>
      <c r="N413" s="34" t="s">
        <v>717</v>
      </c>
      <c r="O413" s="34" t="s">
        <v>717</v>
      </c>
      <c r="P413" s="34" t="s">
        <v>1456</v>
      </c>
      <c r="Q413" s="34" t="s">
        <v>1456</v>
      </c>
      <c r="R413" s="34" t="s">
        <v>1457</v>
      </c>
      <c r="S413" s="34" t="s">
        <v>1457</v>
      </c>
      <c r="T413" s="34" t="s">
        <v>769</v>
      </c>
      <c r="U413" s="34" t="s">
        <v>769</v>
      </c>
      <c r="V413" s="37">
        <v>8.59</v>
      </c>
      <c r="W413" s="45">
        <v>1917.36</v>
      </c>
      <c r="X413" s="37">
        <v>22220.84</v>
      </c>
      <c r="Y413" s="36">
        <v>43864</v>
      </c>
      <c r="Z413" s="34" t="s">
        <v>1448</v>
      </c>
    </row>
    <row r="414" spans="1:26" x14ac:dyDescent="0.25">
      <c r="A414" s="34" t="s">
        <v>1441</v>
      </c>
      <c r="B414" s="34" t="s">
        <v>1442</v>
      </c>
      <c r="C414" s="34" t="s">
        <v>16</v>
      </c>
      <c r="D414" s="34" t="s">
        <v>15</v>
      </c>
      <c r="E414" s="35">
        <v>30041092</v>
      </c>
      <c r="F414" s="34" t="s">
        <v>765</v>
      </c>
      <c r="G414" s="39">
        <v>10053907</v>
      </c>
      <c r="H414" s="42">
        <v>30041092</v>
      </c>
      <c r="I414" s="34" t="s">
        <v>439</v>
      </c>
      <c r="J414" s="34" t="s">
        <v>1443</v>
      </c>
      <c r="K414" s="36">
        <v>41855</v>
      </c>
      <c r="L414" s="34" t="s">
        <v>1444</v>
      </c>
      <c r="M414" s="34" t="s">
        <v>1445</v>
      </c>
      <c r="N414" s="34" t="s">
        <v>717</v>
      </c>
      <c r="O414" s="34" t="s">
        <v>717</v>
      </c>
      <c r="P414" s="34" t="s">
        <v>1490</v>
      </c>
      <c r="Q414" s="34" t="s">
        <v>1490</v>
      </c>
      <c r="R414" s="34" t="s">
        <v>1491</v>
      </c>
      <c r="S414" s="34" t="s">
        <v>1491</v>
      </c>
      <c r="T414" s="34" t="s">
        <v>765</v>
      </c>
      <c r="U414" s="34" t="s">
        <v>765</v>
      </c>
      <c r="V414" s="37">
        <v>8.59</v>
      </c>
      <c r="W414" s="45">
        <v>1917.36</v>
      </c>
      <c r="X414" s="37">
        <v>22220.84</v>
      </c>
      <c r="Y414" s="36">
        <v>43864</v>
      </c>
      <c r="Z414" s="34" t="s">
        <v>1448</v>
      </c>
    </row>
    <row r="415" spans="1:26" x14ac:dyDescent="0.25">
      <c r="A415" s="34" t="s">
        <v>1441</v>
      </c>
      <c r="B415" s="34" t="s">
        <v>1442</v>
      </c>
      <c r="C415" s="34" t="s">
        <v>16</v>
      </c>
      <c r="D415" s="34" t="s">
        <v>15</v>
      </c>
      <c r="E415" s="35">
        <v>30041093</v>
      </c>
      <c r="F415" s="34" t="s">
        <v>765</v>
      </c>
      <c r="G415" s="39">
        <v>10053908</v>
      </c>
      <c r="H415" s="42">
        <v>30041093</v>
      </c>
      <c r="I415" s="34" t="s">
        <v>440</v>
      </c>
      <c r="J415" s="34" t="s">
        <v>1443</v>
      </c>
      <c r="K415" s="36">
        <v>41855</v>
      </c>
      <c r="L415" s="34" t="s">
        <v>1444</v>
      </c>
      <c r="M415" s="34" t="s">
        <v>1445</v>
      </c>
      <c r="N415" s="34" t="s">
        <v>717</v>
      </c>
      <c r="O415" s="34" t="s">
        <v>717</v>
      </c>
      <c r="P415" s="34" t="s">
        <v>1490</v>
      </c>
      <c r="Q415" s="34" t="s">
        <v>1490</v>
      </c>
      <c r="R415" s="34" t="s">
        <v>1491</v>
      </c>
      <c r="S415" s="34" t="s">
        <v>1491</v>
      </c>
      <c r="T415" s="34" t="s">
        <v>765</v>
      </c>
      <c r="U415" s="34" t="s">
        <v>765</v>
      </c>
      <c r="V415" s="37">
        <v>8.59</v>
      </c>
      <c r="W415" s="45">
        <v>1917.36</v>
      </c>
      <c r="X415" s="37">
        <v>22220.84</v>
      </c>
      <c r="Y415" s="36">
        <v>43864</v>
      </c>
      <c r="Z415" s="34" t="s">
        <v>1448</v>
      </c>
    </row>
    <row r="416" spans="1:26" x14ac:dyDescent="0.25">
      <c r="A416" s="34" t="s">
        <v>1441</v>
      </c>
      <c r="B416" s="34" t="s">
        <v>1442</v>
      </c>
      <c r="C416" s="34" t="s">
        <v>16</v>
      </c>
      <c r="D416" s="34" t="s">
        <v>15</v>
      </c>
      <c r="E416" s="35">
        <v>30041094</v>
      </c>
      <c r="F416" s="34" t="s">
        <v>765</v>
      </c>
      <c r="G416" s="39">
        <v>10053911</v>
      </c>
      <c r="H416" s="42">
        <v>30041094</v>
      </c>
      <c r="I416" s="34" t="s">
        <v>441</v>
      </c>
      <c r="J416" s="34" t="s">
        <v>1443</v>
      </c>
      <c r="K416" s="36">
        <v>41855</v>
      </c>
      <c r="L416" s="34" t="s">
        <v>1444</v>
      </c>
      <c r="M416" s="34" t="s">
        <v>1445</v>
      </c>
      <c r="N416" s="34" t="s">
        <v>717</v>
      </c>
      <c r="O416" s="34" t="s">
        <v>717</v>
      </c>
      <c r="P416" s="34" t="s">
        <v>1503</v>
      </c>
      <c r="Q416" s="34" t="s">
        <v>1503</v>
      </c>
      <c r="R416" s="34" t="s">
        <v>1504</v>
      </c>
      <c r="S416" s="34" t="s">
        <v>1504</v>
      </c>
      <c r="T416" s="34" t="s">
        <v>765</v>
      </c>
      <c r="U416" s="34" t="s">
        <v>765</v>
      </c>
      <c r="V416" s="37">
        <v>8.59</v>
      </c>
      <c r="W416" s="45">
        <v>1917.36</v>
      </c>
      <c r="X416" s="37">
        <v>22220.84</v>
      </c>
      <c r="Y416" s="36">
        <v>43864</v>
      </c>
      <c r="Z416" s="34" t="s">
        <v>1448</v>
      </c>
    </row>
    <row r="417" spans="1:26" x14ac:dyDescent="0.25">
      <c r="A417" s="34" t="s">
        <v>1441</v>
      </c>
      <c r="B417" s="34" t="s">
        <v>1442</v>
      </c>
      <c r="C417" s="34" t="s">
        <v>16</v>
      </c>
      <c r="D417" s="34" t="s">
        <v>15</v>
      </c>
      <c r="E417" s="35">
        <v>30041095</v>
      </c>
      <c r="F417" s="34" t="s">
        <v>765</v>
      </c>
      <c r="G417" s="39">
        <v>10059019</v>
      </c>
      <c r="H417" s="42">
        <v>30041095</v>
      </c>
      <c r="I417" s="34" t="s">
        <v>442</v>
      </c>
      <c r="J417" s="34" t="s">
        <v>1443</v>
      </c>
      <c r="K417" s="36">
        <v>41869</v>
      </c>
      <c r="L417" s="34" t="s">
        <v>1444</v>
      </c>
      <c r="M417" s="34" t="s">
        <v>1445</v>
      </c>
      <c r="N417" s="34" t="s">
        <v>717</v>
      </c>
      <c r="O417" s="34" t="s">
        <v>717</v>
      </c>
      <c r="P417" s="34" t="s">
        <v>1490</v>
      </c>
      <c r="Q417" s="34" t="s">
        <v>1490</v>
      </c>
      <c r="R417" s="34" t="s">
        <v>1491</v>
      </c>
      <c r="S417" s="34" t="s">
        <v>1491</v>
      </c>
      <c r="T417" s="34" t="s">
        <v>765</v>
      </c>
      <c r="U417" s="34" t="s">
        <v>765</v>
      </c>
      <c r="V417" s="37">
        <v>8.59</v>
      </c>
      <c r="W417" s="45">
        <v>1917.36</v>
      </c>
      <c r="X417" s="37">
        <v>22220.84</v>
      </c>
      <c r="Y417" s="36">
        <v>43864</v>
      </c>
      <c r="Z417" s="34" t="s">
        <v>1448</v>
      </c>
    </row>
    <row r="418" spans="1:26" x14ac:dyDescent="0.25">
      <c r="A418" s="34" t="s">
        <v>1441</v>
      </c>
      <c r="B418" s="34" t="s">
        <v>1442</v>
      </c>
      <c r="C418" s="34" t="s">
        <v>16</v>
      </c>
      <c r="D418" s="34" t="s">
        <v>15</v>
      </c>
      <c r="E418" s="35">
        <v>30041096</v>
      </c>
      <c r="F418" s="34" t="s">
        <v>765</v>
      </c>
      <c r="G418" s="39">
        <v>10059022</v>
      </c>
      <c r="H418" s="42">
        <v>30041096</v>
      </c>
      <c r="I418" s="34" t="s">
        <v>443</v>
      </c>
      <c r="J418" s="34" t="s">
        <v>1443</v>
      </c>
      <c r="K418" s="36">
        <v>41869</v>
      </c>
      <c r="L418" s="34" t="s">
        <v>1444</v>
      </c>
      <c r="M418" s="34" t="s">
        <v>1445</v>
      </c>
      <c r="N418" s="34" t="s">
        <v>717</v>
      </c>
      <c r="O418" s="34" t="s">
        <v>717</v>
      </c>
      <c r="P418" s="34" t="s">
        <v>1497</v>
      </c>
      <c r="Q418" s="34" t="s">
        <v>1497</v>
      </c>
      <c r="R418" s="34" t="s">
        <v>1498</v>
      </c>
      <c r="S418" s="34" t="s">
        <v>1498</v>
      </c>
      <c r="T418" s="34" t="s">
        <v>765</v>
      </c>
      <c r="U418" s="34" t="s">
        <v>765</v>
      </c>
      <c r="V418" s="37">
        <v>8.59</v>
      </c>
      <c r="W418" s="45">
        <v>1917.36</v>
      </c>
      <c r="X418" s="37">
        <v>22220.84</v>
      </c>
      <c r="Y418" s="36">
        <v>43864</v>
      </c>
      <c r="Z418" s="34" t="s">
        <v>1448</v>
      </c>
    </row>
    <row r="419" spans="1:26" x14ac:dyDescent="0.25">
      <c r="A419" s="34" t="s">
        <v>1441</v>
      </c>
      <c r="B419" s="34" t="s">
        <v>1442</v>
      </c>
      <c r="C419" s="34" t="s">
        <v>16</v>
      </c>
      <c r="D419" s="34" t="s">
        <v>15</v>
      </c>
      <c r="E419" s="35">
        <v>30041343</v>
      </c>
      <c r="F419" s="34" t="s">
        <v>761</v>
      </c>
      <c r="G419" s="39">
        <v>10059215</v>
      </c>
      <c r="H419" s="42">
        <v>30041343</v>
      </c>
      <c r="I419" s="34" t="s">
        <v>444</v>
      </c>
      <c r="J419" s="34" t="s">
        <v>1443</v>
      </c>
      <c r="K419" s="36">
        <v>41899</v>
      </c>
      <c r="L419" s="34" t="s">
        <v>1444</v>
      </c>
      <c r="M419" s="34" t="s">
        <v>1445</v>
      </c>
      <c r="N419" s="34" t="s">
        <v>717</v>
      </c>
      <c r="O419" s="34" t="s">
        <v>717</v>
      </c>
      <c r="P419" s="34" t="s">
        <v>1474</v>
      </c>
      <c r="Q419" s="34" t="s">
        <v>1474</v>
      </c>
      <c r="R419" s="34" t="s">
        <v>1485</v>
      </c>
      <c r="S419" s="34" t="s">
        <v>1485</v>
      </c>
      <c r="T419" s="34" t="s">
        <v>761</v>
      </c>
      <c r="U419" s="34" t="s">
        <v>761</v>
      </c>
      <c r="V419" s="37">
        <v>11.71</v>
      </c>
      <c r="W419" s="45">
        <v>2138.54</v>
      </c>
      <c r="X419" s="37">
        <v>18162.509999999998</v>
      </c>
      <c r="Y419" s="36">
        <v>43864</v>
      </c>
      <c r="Z419" s="34" t="s">
        <v>1448</v>
      </c>
    </row>
    <row r="420" spans="1:26" x14ac:dyDescent="0.25">
      <c r="A420" s="34" t="s">
        <v>1441</v>
      </c>
      <c r="B420" s="34" t="s">
        <v>1442</v>
      </c>
      <c r="C420" s="34" t="s">
        <v>16</v>
      </c>
      <c r="D420" s="34" t="s">
        <v>15</v>
      </c>
      <c r="E420" s="35">
        <v>30041098</v>
      </c>
      <c r="F420" s="34" t="s">
        <v>765</v>
      </c>
      <c r="G420" s="39">
        <v>10059697</v>
      </c>
      <c r="H420" s="42">
        <v>30041098</v>
      </c>
      <c r="I420" s="34" t="s">
        <v>445</v>
      </c>
      <c r="J420" s="34" t="s">
        <v>1443</v>
      </c>
      <c r="K420" s="36">
        <v>42009</v>
      </c>
      <c r="L420" s="34" t="s">
        <v>1444</v>
      </c>
      <c r="M420" s="34" t="s">
        <v>1445</v>
      </c>
      <c r="N420" s="34" t="s">
        <v>717</v>
      </c>
      <c r="O420" s="34" t="s">
        <v>717</v>
      </c>
      <c r="P420" s="34" t="s">
        <v>1462</v>
      </c>
      <c r="Q420" s="34" t="s">
        <v>1462</v>
      </c>
      <c r="R420" s="34" t="s">
        <v>1463</v>
      </c>
      <c r="S420" s="34" t="s">
        <v>1463</v>
      </c>
      <c r="T420" s="34" t="s">
        <v>765</v>
      </c>
      <c r="U420" s="34" t="s">
        <v>765</v>
      </c>
      <c r="V420" s="37">
        <v>8.59</v>
      </c>
      <c r="W420" s="45">
        <v>1917.36</v>
      </c>
      <c r="X420" s="37">
        <v>22220.84</v>
      </c>
      <c r="Y420" s="36">
        <v>43864</v>
      </c>
      <c r="Z420" s="34" t="s">
        <v>1448</v>
      </c>
    </row>
    <row r="421" spans="1:26" x14ac:dyDescent="0.25">
      <c r="A421" s="34" t="s">
        <v>1441</v>
      </c>
      <c r="B421" s="34" t="s">
        <v>1442</v>
      </c>
      <c r="C421" s="34" t="s">
        <v>6</v>
      </c>
      <c r="D421" s="34" t="s">
        <v>15</v>
      </c>
      <c r="E421" s="35">
        <v>30041099</v>
      </c>
      <c r="F421" s="34" t="s">
        <v>753</v>
      </c>
      <c r="G421" s="39">
        <v>10060043</v>
      </c>
      <c r="H421" s="42">
        <v>30041099</v>
      </c>
      <c r="I421" s="34" t="s">
        <v>446</v>
      </c>
      <c r="J421" s="34" t="s">
        <v>1443</v>
      </c>
      <c r="K421" s="36">
        <v>42045</v>
      </c>
      <c r="L421" s="34" t="s">
        <v>1444</v>
      </c>
      <c r="M421" s="34" t="s">
        <v>1445</v>
      </c>
      <c r="N421" s="34" t="s">
        <v>717</v>
      </c>
      <c r="O421" s="34" t="s">
        <v>717</v>
      </c>
      <c r="P421" s="34" t="s">
        <v>1454</v>
      </c>
      <c r="Q421" s="34" t="s">
        <v>1454</v>
      </c>
      <c r="R421" s="34" t="s">
        <v>1455</v>
      </c>
      <c r="S421" s="34" t="s">
        <v>1455</v>
      </c>
      <c r="T421" s="34" t="s">
        <v>753</v>
      </c>
      <c r="U421" s="34" t="s">
        <v>753</v>
      </c>
      <c r="V421" s="37">
        <v>17.170000000000002</v>
      </c>
      <c r="W421" s="45">
        <v>3832.49</v>
      </c>
      <c r="X421" s="37">
        <v>22220.85</v>
      </c>
      <c r="Y421" s="36">
        <v>43864</v>
      </c>
      <c r="Z421" s="34" t="s">
        <v>1448</v>
      </c>
    </row>
    <row r="422" spans="1:26" x14ac:dyDescent="0.25">
      <c r="A422" s="34" t="s">
        <v>1441</v>
      </c>
      <c r="B422" s="34" t="s">
        <v>1442</v>
      </c>
      <c r="C422" s="34" t="s">
        <v>6</v>
      </c>
      <c r="D422" s="34" t="s">
        <v>15</v>
      </c>
      <c r="E422" s="35">
        <v>30041100</v>
      </c>
      <c r="F422" s="34" t="s">
        <v>766</v>
      </c>
      <c r="G422" s="39">
        <v>10061186</v>
      </c>
      <c r="H422" s="42">
        <v>30041100</v>
      </c>
      <c r="I422" s="34" t="s">
        <v>447</v>
      </c>
      <c r="J422" s="34" t="s">
        <v>1443</v>
      </c>
      <c r="K422" s="36">
        <v>42219</v>
      </c>
      <c r="L422" s="34" t="s">
        <v>1444</v>
      </c>
      <c r="M422" s="34" t="s">
        <v>1445</v>
      </c>
      <c r="N422" s="34" t="s">
        <v>717</v>
      </c>
      <c r="O422" s="34" t="s">
        <v>717</v>
      </c>
      <c r="P422" s="34" t="s">
        <v>1460</v>
      </c>
      <c r="Q422" s="34" t="s">
        <v>1460</v>
      </c>
      <c r="R422" s="34" t="s">
        <v>1461</v>
      </c>
      <c r="S422" s="34" t="s">
        <v>1461</v>
      </c>
      <c r="T422" s="34" t="s">
        <v>766</v>
      </c>
      <c r="U422" s="34" t="s">
        <v>766</v>
      </c>
      <c r="V422" s="37">
        <v>8.26</v>
      </c>
      <c r="W422" s="45">
        <v>1843.7</v>
      </c>
      <c r="X422" s="37">
        <v>22220.82</v>
      </c>
      <c r="Y422" s="36">
        <v>43864</v>
      </c>
      <c r="Z422" s="34" t="s">
        <v>1448</v>
      </c>
    </row>
    <row r="423" spans="1:26" x14ac:dyDescent="0.25">
      <c r="A423" s="34" t="s">
        <v>1441</v>
      </c>
      <c r="B423" s="34" t="s">
        <v>1442</v>
      </c>
      <c r="C423" s="34" t="s">
        <v>16</v>
      </c>
      <c r="D423" s="34" t="s">
        <v>15</v>
      </c>
      <c r="E423" s="35">
        <v>30041101</v>
      </c>
      <c r="F423" s="34" t="s">
        <v>759</v>
      </c>
      <c r="G423" s="39">
        <v>10061331</v>
      </c>
      <c r="H423" s="42">
        <v>30041101</v>
      </c>
      <c r="I423" s="34" t="s">
        <v>448</v>
      </c>
      <c r="J423" s="34" t="s">
        <v>1443</v>
      </c>
      <c r="K423" s="36">
        <v>42235</v>
      </c>
      <c r="L423" s="34" t="s">
        <v>1444</v>
      </c>
      <c r="M423" s="34" t="s">
        <v>1445</v>
      </c>
      <c r="N423" s="34" t="s">
        <v>717</v>
      </c>
      <c r="O423" s="34" t="s">
        <v>717</v>
      </c>
      <c r="P423" s="34" t="s">
        <v>1466</v>
      </c>
      <c r="Q423" s="34" t="s">
        <v>1466</v>
      </c>
      <c r="R423" s="34" t="s">
        <v>1467</v>
      </c>
      <c r="S423" s="34" t="s">
        <v>1467</v>
      </c>
      <c r="T423" s="34" t="s">
        <v>759</v>
      </c>
      <c r="U423" s="34" t="s">
        <v>759</v>
      </c>
      <c r="V423" s="37">
        <v>11.4</v>
      </c>
      <c r="W423" s="45">
        <v>2544.58</v>
      </c>
      <c r="X423" s="37">
        <v>22220.880000000001</v>
      </c>
      <c r="Y423" s="36">
        <v>43864</v>
      </c>
      <c r="Z423" s="34" t="s">
        <v>1448</v>
      </c>
    </row>
    <row r="424" spans="1:26" x14ac:dyDescent="0.25">
      <c r="A424" s="34" t="s">
        <v>1441</v>
      </c>
      <c r="B424" s="34" t="s">
        <v>1442</v>
      </c>
      <c r="C424" s="34" t="s">
        <v>16</v>
      </c>
      <c r="D424" s="34" t="s">
        <v>15</v>
      </c>
      <c r="E424" s="35">
        <v>30041102</v>
      </c>
      <c r="F424" s="34" t="s">
        <v>755</v>
      </c>
      <c r="G424" s="39">
        <v>10061538</v>
      </c>
      <c r="H424" s="42">
        <v>30041102</v>
      </c>
      <c r="I424" s="34" t="s">
        <v>449</v>
      </c>
      <c r="J424" s="34" t="s">
        <v>1443</v>
      </c>
      <c r="K424" s="36">
        <v>42282</v>
      </c>
      <c r="L424" s="34" t="s">
        <v>1444</v>
      </c>
      <c r="M424" s="34" t="s">
        <v>1445</v>
      </c>
      <c r="N424" s="34" t="s">
        <v>717</v>
      </c>
      <c r="O424" s="34" t="s">
        <v>717</v>
      </c>
      <c r="P424" s="34" t="s">
        <v>1468</v>
      </c>
      <c r="Q424" s="34" t="s">
        <v>1468</v>
      </c>
      <c r="R424" s="34" t="s">
        <v>1469</v>
      </c>
      <c r="S424" s="34" t="s">
        <v>1469</v>
      </c>
      <c r="T424" s="34" t="s">
        <v>755</v>
      </c>
      <c r="U424" s="34" t="s">
        <v>755</v>
      </c>
      <c r="V424" s="37">
        <v>11.02</v>
      </c>
      <c r="W424" s="45">
        <v>2459.7600000000002</v>
      </c>
      <c r="X424" s="37">
        <v>22220.87</v>
      </c>
      <c r="Y424" s="36">
        <v>43864</v>
      </c>
      <c r="Z424" s="34" t="s">
        <v>1448</v>
      </c>
    </row>
    <row r="425" spans="1:26" x14ac:dyDescent="0.25">
      <c r="A425" s="34" t="s">
        <v>1441</v>
      </c>
      <c r="B425" s="34" t="s">
        <v>1442</v>
      </c>
      <c r="C425" s="34" t="s">
        <v>16</v>
      </c>
      <c r="D425" s="34" t="s">
        <v>15</v>
      </c>
      <c r="E425" s="35">
        <v>30041103</v>
      </c>
      <c r="F425" s="34" t="s">
        <v>769</v>
      </c>
      <c r="G425" s="39">
        <v>10061540</v>
      </c>
      <c r="H425" s="42">
        <v>30041103</v>
      </c>
      <c r="I425" s="34" t="s">
        <v>450</v>
      </c>
      <c r="J425" s="34" t="s">
        <v>1443</v>
      </c>
      <c r="K425" s="36">
        <v>42282</v>
      </c>
      <c r="L425" s="34" t="s">
        <v>1444</v>
      </c>
      <c r="M425" s="34" t="s">
        <v>1445</v>
      </c>
      <c r="N425" s="34" t="s">
        <v>717</v>
      </c>
      <c r="O425" s="34" t="s">
        <v>717</v>
      </c>
      <c r="P425" s="34" t="s">
        <v>1486</v>
      </c>
      <c r="Q425" s="34" t="s">
        <v>1486</v>
      </c>
      <c r="R425" s="34" t="s">
        <v>1487</v>
      </c>
      <c r="S425" s="34" t="s">
        <v>1487</v>
      </c>
      <c r="T425" s="34" t="s">
        <v>769</v>
      </c>
      <c r="U425" s="34" t="s">
        <v>769</v>
      </c>
      <c r="V425" s="37">
        <v>8.59</v>
      </c>
      <c r="W425" s="45">
        <v>1917.36</v>
      </c>
      <c r="X425" s="37">
        <v>22220.84</v>
      </c>
      <c r="Y425" s="36">
        <v>43864</v>
      </c>
      <c r="Z425" s="34" t="s">
        <v>1448</v>
      </c>
    </row>
    <row r="426" spans="1:26" x14ac:dyDescent="0.25">
      <c r="A426" s="34" t="s">
        <v>1441</v>
      </c>
      <c r="B426" s="34" t="s">
        <v>1442</v>
      </c>
      <c r="C426" s="34" t="s">
        <v>16</v>
      </c>
      <c r="D426" s="34" t="s">
        <v>15</v>
      </c>
      <c r="E426" s="35">
        <v>30041104</v>
      </c>
      <c r="F426" s="34" t="s">
        <v>769</v>
      </c>
      <c r="G426" s="39">
        <v>10061541</v>
      </c>
      <c r="H426" s="42">
        <v>30041104</v>
      </c>
      <c r="I426" s="34" t="s">
        <v>451</v>
      </c>
      <c r="J426" s="34" t="s">
        <v>1443</v>
      </c>
      <c r="K426" s="36">
        <v>42282</v>
      </c>
      <c r="L426" s="34" t="s">
        <v>1444</v>
      </c>
      <c r="M426" s="34" t="s">
        <v>1445</v>
      </c>
      <c r="N426" s="34" t="s">
        <v>717</v>
      </c>
      <c r="O426" s="34" t="s">
        <v>717</v>
      </c>
      <c r="P426" s="34" t="s">
        <v>1486</v>
      </c>
      <c r="Q426" s="34" t="s">
        <v>1486</v>
      </c>
      <c r="R426" s="34" t="s">
        <v>1487</v>
      </c>
      <c r="S426" s="34" t="s">
        <v>1487</v>
      </c>
      <c r="T426" s="34" t="s">
        <v>769</v>
      </c>
      <c r="U426" s="34" t="s">
        <v>769</v>
      </c>
      <c r="V426" s="37">
        <v>8.59</v>
      </c>
      <c r="W426" s="45">
        <v>1917.36</v>
      </c>
      <c r="X426" s="37">
        <v>22220.84</v>
      </c>
      <c r="Y426" s="36">
        <v>43864</v>
      </c>
      <c r="Z426" s="34" t="s">
        <v>1448</v>
      </c>
    </row>
    <row r="427" spans="1:26" x14ac:dyDescent="0.25">
      <c r="A427" s="34" t="s">
        <v>1441</v>
      </c>
      <c r="B427" s="34" t="s">
        <v>1442</v>
      </c>
      <c r="C427" s="34" t="s">
        <v>6</v>
      </c>
      <c r="D427" s="34" t="s">
        <v>15</v>
      </c>
      <c r="E427" s="35">
        <v>30041105</v>
      </c>
      <c r="F427" s="34" t="s">
        <v>19</v>
      </c>
      <c r="G427" s="39">
        <v>10061689</v>
      </c>
      <c r="H427" s="42">
        <v>30041105</v>
      </c>
      <c r="I427" s="34" t="s">
        <v>452</v>
      </c>
      <c r="J427" s="34" t="s">
        <v>1443</v>
      </c>
      <c r="K427" s="36">
        <v>42311</v>
      </c>
      <c r="L427" s="34" t="s">
        <v>1444</v>
      </c>
      <c r="M427" s="34" t="s">
        <v>1445</v>
      </c>
      <c r="N427" s="34" t="s">
        <v>717</v>
      </c>
      <c r="O427" s="34" t="s">
        <v>717</v>
      </c>
      <c r="P427" s="34" t="s">
        <v>1460</v>
      </c>
      <c r="Q427" s="34" t="s">
        <v>1460</v>
      </c>
      <c r="R427" s="34" t="s">
        <v>1461</v>
      </c>
      <c r="S427" s="34" t="s">
        <v>1461</v>
      </c>
      <c r="T427" s="34" t="s">
        <v>19</v>
      </c>
      <c r="U427" s="34" t="s">
        <v>19</v>
      </c>
      <c r="V427" s="37">
        <v>10.26</v>
      </c>
      <c r="W427" s="45">
        <v>2290.12</v>
      </c>
      <c r="X427" s="37">
        <v>22220.86</v>
      </c>
      <c r="Y427" s="36">
        <v>43864</v>
      </c>
      <c r="Z427" s="34" t="s">
        <v>1448</v>
      </c>
    </row>
    <row r="428" spans="1:26" x14ac:dyDescent="0.25">
      <c r="A428" s="34" t="s">
        <v>1441</v>
      </c>
      <c r="B428" s="34" t="s">
        <v>1442</v>
      </c>
      <c r="C428" s="34" t="s">
        <v>16</v>
      </c>
      <c r="D428" s="34" t="s">
        <v>15</v>
      </c>
      <c r="E428" s="35">
        <v>30041106</v>
      </c>
      <c r="F428" s="34" t="s">
        <v>765</v>
      </c>
      <c r="G428" s="39">
        <v>10061711</v>
      </c>
      <c r="H428" s="42">
        <v>30041106</v>
      </c>
      <c r="I428" s="34" t="s">
        <v>453</v>
      </c>
      <c r="J428" s="34" t="s">
        <v>1443</v>
      </c>
      <c r="K428" s="36">
        <v>42311</v>
      </c>
      <c r="L428" s="34" t="s">
        <v>1444</v>
      </c>
      <c r="M428" s="34" t="s">
        <v>1445</v>
      </c>
      <c r="N428" s="34" t="s">
        <v>717</v>
      </c>
      <c r="O428" s="34" t="s">
        <v>717</v>
      </c>
      <c r="P428" s="34" t="s">
        <v>1462</v>
      </c>
      <c r="Q428" s="34" t="s">
        <v>1462</v>
      </c>
      <c r="R428" s="34" t="s">
        <v>1494</v>
      </c>
      <c r="S428" s="34" t="s">
        <v>1494</v>
      </c>
      <c r="T428" s="34" t="s">
        <v>765</v>
      </c>
      <c r="U428" s="34" t="s">
        <v>765</v>
      </c>
      <c r="V428" s="37">
        <v>8.59</v>
      </c>
      <c r="W428" s="45">
        <v>1917.36</v>
      </c>
      <c r="X428" s="37">
        <v>22220.84</v>
      </c>
      <c r="Y428" s="36">
        <v>43864</v>
      </c>
      <c r="Z428" s="34" t="s">
        <v>1448</v>
      </c>
    </row>
    <row r="429" spans="1:26" x14ac:dyDescent="0.25">
      <c r="A429" s="34" t="s">
        <v>1441</v>
      </c>
      <c r="B429" s="34" t="s">
        <v>1442</v>
      </c>
      <c r="C429" s="34" t="s">
        <v>16</v>
      </c>
      <c r="D429" s="34" t="s">
        <v>15</v>
      </c>
      <c r="E429" s="35">
        <v>30041107</v>
      </c>
      <c r="F429" s="34" t="s">
        <v>757</v>
      </c>
      <c r="G429" s="39">
        <v>10061717</v>
      </c>
      <c r="H429" s="42">
        <v>30041107</v>
      </c>
      <c r="I429" s="34" t="s">
        <v>454</v>
      </c>
      <c r="J429" s="34" t="s">
        <v>1443</v>
      </c>
      <c r="K429" s="36">
        <v>42311</v>
      </c>
      <c r="L429" s="34" t="s">
        <v>1444</v>
      </c>
      <c r="M429" s="34" t="s">
        <v>1445</v>
      </c>
      <c r="N429" s="34" t="s">
        <v>717</v>
      </c>
      <c r="O429" s="34" t="s">
        <v>717</v>
      </c>
      <c r="P429" s="34" t="s">
        <v>1462</v>
      </c>
      <c r="Q429" s="34" t="s">
        <v>1462</v>
      </c>
      <c r="R429" s="34" t="s">
        <v>1478</v>
      </c>
      <c r="S429" s="34" t="s">
        <v>1478</v>
      </c>
      <c r="T429" s="34" t="s">
        <v>757</v>
      </c>
      <c r="U429" s="34" t="s">
        <v>757</v>
      </c>
      <c r="V429" s="37">
        <v>7.37</v>
      </c>
      <c r="W429" s="45">
        <v>1645.05</v>
      </c>
      <c r="X429" s="37">
        <v>22220.9</v>
      </c>
      <c r="Y429" s="36">
        <v>43864</v>
      </c>
      <c r="Z429" s="34" t="s">
        <v>1448</v>
      </c>
    </row>
    <row r="430" spans="1:26" x14ac:dyDescent="0.25">
      <c r="A430" s="34" t="s">
        <v>1441</v>
      </c>
      <c r="B430" s="34" t="s">
        <v>1442</v>
      </c>
      <c r="C430" s="34" t="s">
        <v>16</v>
      </c>
      <c r="D430" s="34" t="s">
        <v>15</v>
      </c>
      <c r="E430" s="35">
        <v>30041108</v>
      </c>
      <c r="F430" s="34" t="s">
        <v>765</v>
      </c>
      <c r="G430" s="39">
        <v>10061766</v>
      </c>
      <c r="H430" s="42">
        <v>30041108</v>
      </c>
      <c r="I430" s="34" t="s">
        <v>455</v>
      </c>
      <c r="J430" s="34" t="s">
        <v>1443</v>
      </c>
      <c r="K430" s="36">
        <v>42325</v>
      </c>
      <c r="L430" s="34" t="s">
        <v>1444</v>
      </c>
      <c r="M430" s="34" t="s">
        <v>1445</v>
      </c>
      <c r="N430" s="34" t="s">
        <v>717</v>
      </c>
      <c r="O430" s="34" t="s">
        <v>717</v>
      </c>
      <c r="P430" s="34" t="s">
        <v>1462</v>
      </c>
      <c r="Q430" s="34" t="s">
        <v>1462</v>
      </c>
      <c r="R430" s="34" t="s">
        <v>1494</v>
      </c>
      <c r="S430" s="34" t="s">
        <v>1494</v>
      </c>
      <c r="T430" s="34" t="s">
        <v>765</v>
      </c>
      <c r="U430" s="34" t="s">
        <v>765</v>
      </c>
      <c r="V430" s="37">
        <v>8.59</v>
      </c>
      <c r="W430" s="45">
        <v>1917.36</v>
      </c>
      <c r="X430" s="37">
        <v>22220.84</v>
      </c>
      <c r="Y430" s="36">
        <v>43864</v>
      </c>
      <c r="Z430" s="34" t="s">
        <v>1448</v>
      </c>
    </row>
    <row r="431" spans="1:26" x14ac:dyDescent="0.25">
      <c r="A431" s="34" t="s">
        <v>1441</v>
      </c>
      <c r="B431" s="34" t="s">
        <v>1442</v>
      </c>
      <c r="C431" s="34" t="s">
        <v>16</v>
      </c>
      <c r="D431" s="34" t="s">
        <v>15</v>
      </c>
      <c r="E431" s="35">
        <v>30041109</v>
      </c>
      <c r="F431" s="34" t="s">
        <v>765</v>
      </c>
      <c r="G431" s="39">
        <v>10061768</v>
      </c>
      <c r="H431" s="42">
        <v>30041109</v>
      </c>
      <c r="I431" s="34" t="s">
        <v>456</v>
      </c>
      <c r="J431" s="34" t="s">
        <v>1443</v>
      </c>
      <c r="K431" s="36">
        <v>42325</v>
      </c>
      <c r="L431" s="34" t="s">
        <v>1444</v>
      </c>
      <c r="M431" s="34" t="s">
        <v>1445</v>
      </c>
      <c r="N431" s="34" t="s">
        <v>717</v>
      </c>
      <c r="O431" s="34" t="s">
        <v>717</v>
      </c>
      <c r="P431" s="34" t="s">
        <v>1462</v>
      </c>
      <c r="Q431" s="34" t="s">
        <v>1462</v>
      </c>
      <c r="R431" s="34" t="s">
        <v>1494</v>
      </c>
      <c r="S431" s="34" t="s">
        <v>1494</v>
      </c>
      <c r="T431" s="34" t="s">
        <v>765</v>
      </c>
      <c r="U431" s="34" t="s">
        <v>765</v>
      </c>
      <c r="V431" s="37">
        <v>8.59</v>
      </c>
      <c r="W431" s="45">
        <v>1917.36</v>
      </c>
      <c r="X431" s="37">
        <v>22220.84</v>
      </c>
      <c r="Y431" s="36">
        <v>43864</v>
      </c>
      <c r="Z431" s="34" t="s">
        <v>1448</v>
      </c>
    </row>
    <row r="432" spans="1:26" x14ac:dyDescent="0.25">
      <c r="A432" s="34" t="s">
        <v>1441</v>
      </c>
      <c r="B432" s="34" t="s">
        <v>1442</v>
      </c>
      <c r="C432" s="34" t="s">
        <v>16</v>
      </c>
      <c r="D432" s="34" t="s">
        <v>15</v>
      </c>
      <c r="E432" s="35">
        <v>30041110</v>
      </c>
      <c r="F432" s="34" t="s">
        <v>21</v>
      </c>
      <c r="G432" s="39">
        <v>10061793</v>
      </c>
      <c r="H432" s="42">
        <v>30041110</v>
      </c>
      <c r="I432" s="34" t="s">
        <v>457</v>
      </c>
      <c r="J432" s="34" t="s">
        <v>1443</v>
      </c>
      <c r="K432" s="36">
        <v>42325</v>
      </c>
      <c r="L432" s="34" t="s">
        <v>1444</v>
      </c>
      <c r="M432" s="34" t="s">
        <v>1445</v>
      </c>
      <c r="N432" s="34" t="s">
        <v>717</v>
      </c>
      <c r="O432" s="34" t="s">
        <v>717</v>
      </c>
      <c r="P432" s="34" t="s">
        <v>1462</v>
      </c>
      <c r="Q432" s="34" t="s">
        <v>1462</v>
      </c>
      <c r="R432" s="34" t="s">
        <v>1478</v>
      </c>
      <c r="S432" s="34" t="s">
        <v>1478</v>
      </c>
      <c r="T432" s="34" t="s">
        <v>21</v>
      </c>
      <c r="U432" s="34" t="s">
        <v>21</v>
      </c>
      <c r="V432" s="37">
        <v>10.31</v>
      </c>
      <c r="W432" s="45">
        <v>2301.2800000000002</v>
      </c>
      <c r="X432" s="37">
        <v>22220.85</v>
      </c>
      <c r="Y432" s="36">
        <v>43864</v>
      </c>
      <c r="Z432" s="34" t="s">
        <v>1448</v>
      </c>
    </row>
    <row r="433" spans="1:26" x14ac:dyDescent="0.25">
      <c r="A433" s="34" t="s">
        <v>1441</v>
      </c>
      <c r="B433" s="34" t="s">
        <v>1442</v>
      </c>
      <c r="C433" s="34" t="s">
        <v>16</v>
      </c>
      <c r="D433" s="34" t="s">
        <v>15</v>
      </c>
      <c r="E433" s="35">
        <v>30041111</v>
      </c>
      <c r="F433" s="34" t="s">
        <v>765</v>
      </c>
      <c r="G433" s="39">
        <v>10071295</v>
      </c>
      <c r="H433" s="42">
        <v>30041111</v>
      </c>
      <c r="I433" s="34" t="s">
        <v>458</v>
      </c>
      <c r="J433" s="34" t="s">
        <v>1443</v>
      </c>
      <c r="K433" s="36">
        <v>42415</v>
      </c>
      <c r="L433" s="34" t="s">
        <v>1444</v>
      </c>
      <c r="M433" s="34" t="s">
        <v>1445</v>
      </c>
      <c r="N433" s="34" t="s">
        <v>717</v>
      </c>
      <c r="O433" s="34" t="s">
        <v>717</v>
      </c>
      <c r="P433" s="34" t="s">
        <v>1497</v>
      </c>
      <c r="Q433" s="34" t="s">
        <v>1497</v>
      </c>
      <c r="R433" s="34" t="s">
        <v>1498</v>
      </c>
      <c r="S433" s="34" t="s">
        <v>1498</v>
      </c>
      <c r="T433" s="34" t="s">
        <v>765</v>
      </c>
      <c r="U433" s="34" t="s">
        <v>765</v>
      </c>
      <c r="V433" s="37">
        <v>8.59</v>
      </c>
      <c r="W433" s="45">
        <v>1917.36</v>
      </c>
      <c r="X433" s="37">
        <v>22220.84</v>
      </c>
      <c r="Y433" s="36">
        <v>43864</v>
      </c>
      <c r="Z433" s="34" t="s">
        <v>1448</v>
      </c>
    </row>
    <row r="434" spans="1:26" x14ac:dyDescent="0.25">
      <c r="A434" s="34" t="s">
        <v>1441</v>
      </c>
      <c r="B434" s="34" t="s">
        <v>1442</v>
      </c>
      <c r="C434" s="34" t="s">
        <v>16</v>
      </c>
      <c r="D434" s="34" t="s">
        <v>15</v>
      </c>
      <c r="E434" s="35">
        <v>30041112</v>
      </c>
      <c r="F434" s="34" t="s">
        <v>769</v>
      </c>
      <c r="G434" s="39">
        <v>10071298</v>
      </c>
      <c r="H434" s="42">
        <v>30041112</v>
      </c>
      <c r="I434" s="34" t="s">
        <v>459</v>
      </c>
      <c r="J434" s="34" t="s">
        <v>1443</v>
      </c>
      <c r="K434" s="36">
        <v>42415</v>
      </c>
      <c r="L434" s="34" t="s">
        <v>1444</v>
      </c>
      <c r="M434" s="34" t="s">
        <v>1445</v>
      </c>
      <c r="N434" s="34" t="s">
        <v>717</v>
      </c>
      <c r="O434" s="34" t="s">
        <v>717</v>
      </c>
      <c r="P434" s="34" t="s">
        <v>1456</v>
      </c>
      <c r="Q434" s="34" t="s">
        <v>1456</v>
      </c>
      <c r="R434" s="34" t="s">
        <v>1457</v>
      </c>
      <c r="S434" s="34" t="s">
        <v>1457</v>
      </c>
      <c r="T434" s="34" t="s">
        <v>769</v>
      </c>
      <c r="U434" s="34" t="s">
        <v>769</v>
      </c>
      <c r="V434" s="37">
        <v>8.59</v>
      </c>
      <c r="W434" s="45">
        <v>1917.36</v>
      </c>
      <c r="X434" s="37">
        <v>22220.84</v>
      </c>
      <c r="Y434" s="36">
        <v>43864</v>
      </c>
      <c r="Z434" s="34" t="s">
        <v>1448</v>
      </c>
    </row>
    <row r="435" spans="1:26" x14ac:dyDescent="0.25">
      <c r="A435" s="34" t="s">
        <v>1441</v>
      </c>
      <c r="B435" s="34" t="s">
        <v>1442</v>
      </c>
      <c r="C435" s="34" t="s">
        <v>6</v>
      </c>
      <c r="D435" s="34" t="s">
        <v>15</v>
      </c>
      <c r="E435" s="35">
        <v>30041113</v>
      </c>
      <c r="F435" s="34" t="s">
        <v>19</v>
      </c>
      <c r="G435" s="39">
        <v>10071301</v>
      </c>
      <c r="H435" s="42">
        <v>30041113</v>
      </c>
      <c r="I435" s="34" t="s">
        <v>460</v>
      </c>
      <c r="J435" s="34" t="s">
        <v>1443</v>
      </c>
      <c r="K435" s="36">
        <v>42415</v>
      </c>
      <c r="L435" s="34" t="s">
        <v>1444</v>
      </c>
      <c r="M435" s="34" t="s">
        <v>1445</v>
      </c>
      <c r="N435" s="34" t="s">
        <v>717</v>
      </c>
      <c r="O435" s="34" t="s">
        <v>717</v>
      </c>
      <c r="P435" s="34" t="s">
        <v>1460</v>
      </c>
      <c r="Q435" s="34" t="s">
        <v>1460</v>
      </c>
      <c r="R435" s="34" t="s">
        <v>1461</v>
      </c>
      <c r="S435" s="34" t="s">
        <v>1461</v>
      </c>
      <c r="T435" s="34" t="s">
        <v>19</v>
      </c>
      <c r="U435" s="34" t="s">
        <v>19</v>
      </c>
      <c r="V435" s="37">
        <v>10.26</v>
      </c>
      <c r="W435" s="45">
        <v>2290.12</v>
      </c>
      <c r="X435" s="37">
        <v>22220.86</v>
      </c>
      <c r="Y435" s="36">
        <v>43864</v>
      </c>
      <c r="Z435" s="34" t="s">
        <v>1448</v>
      </c>
    </row>
    <row r="436" spans="1:26" x14ac:dyDescent="0.25">
      <c r="A436" s="34" t="s">
        <v>1441</v>
      </c>
      <c r="B436" s="34" t="s">
        <v>1442</v>
      </c>
      <c r="C436" s="34" t="s">
        <v>16</v>
      </c>
      <c r="D436" s="34" t="s">
        <v>15</v>
      </c>
      <c r="E436" s="35">
        <v>30041114</v>
      </c>
      <c r="F436" s="34" t="s">
        <v>765</v>
      </c>
      <c r="G436" s="39">
        <v>10071302</v>
      </c>
      <c r="H436" s="42">
        <v>30041114</v>
      </c>
      <c r="I436" s="34" t="s">
        <v>461</v>
      </c>
      <c r="J436" s="34" t="s">
        <v>1443</v>
      </c>
      <c r="K436" s="36">
        <v>42415</v>
      </c>
      <c r="L436" s="34" t="s">
        <v>1444</v>
      </c>
      <c r="M436" s="34" t="s">
        <v>1445</v>
      </c>
      <c r="N436" s="34" t="s">
        <v>717</v>
      </c>
      <c r="O436" s="34" t="s">
        <v>717</v>
      </c>
      <c r="P436" s="34" t="s">
        <v>1462</v>
      </c>
      <c r="Q436" s="34" t="s">
        <v>1462</v>
      </c>
      <c r="R436" s="34" t="s">
        <v>1478</v>
      </c>
      <c r="S436" s="34" t="s">
        <v>1478</v>
      </c>
      <c r="T436" s="34" t="s">
        <v>765</v>
      </c>
      <c r="U436" s="34" t="s">
        <v>765</v>
      </c>
      <c r="V436" s="37">
        <v>8.59</v>
      </c>
      <c r="W436" s="45">
        <v>1917.36</v>
      </c>
      <c r="X436" s="37">
        <v>22220.84</v>
      </c>
      <c r="Y436" s="36">
        <v>43864</v>
      </c>
      <c r="Z436" s="34" t="s">
        <v>1448</v>
      </c>
    </row>
    <row r="437" spans="1:26" x14ac:dyDescent="0.25">
      <c r="A437" s="34" t="s">
        <v>1441</v>
      </c>
      <c r="B437" s="34" t="s">
        <v>1442</v>
      </c>
      <c r="C437" s="34" t="s">
        <v>16</v>
      </c>
      <c r="D437" s="34" t="s">
        <v>15</v>
      </c>
      <c r="E437" s="35">
        <v>30041115</v>
      </c>
      <c r="F437" s="34" t="s">
        <v>765</v>
      </c>
      <c r="G437" s="39">
        <v>10071305</v>
      </c>
      <c r="H437" s="42">
        <v>30041115</v>
      </c>
      <c r="I437" s="34" t="s">
        <v>462</v>
      </c>
      <c r="J437" s="34" t="s">
        <v>1443</v>
      </c>
      <c r="K437" s="36">
        <v>42415</v>
      </c>
      <c r="L437" s="34" t="s">
        <v>1444</v>
      </c>
      <c r="M437" s="34" t="s">
        <v>1445</v>
      </c>
      <c r="N437" s="34" t="s">
        <v>717</v>
      </c>
      <c r="O437" s="34" t="s">
        <v>717</v>
      </c>
      <c r="P437" s="34" t="s">
        <v>1462</v>
      </c>
      <c r="Q437" s="34" t="s">
        <v>1462</v>
      </c>
      <c r="R437" s="34" t="s">
        <v>1478</v>
      </c>
      <c r="S437" s="34" t="s">
        <v>1478</v>
      </c>
      <c r="T437" s="34" t="s">
        <v>765</v>
      </c>
      <c r="U437" s="34" t="s">
        <v>765</v>
      </c>
      <c r="V437" s="37">
        <v>8.59</v>
      </c>
      <c r="W437" s="45">
        <v>1917.36</v>
      </c>
      <c r="X437" s="37">
        <v>22220.84</v>
      </c>
      <c r="Y437" s="36">
        <v>43864</v>
      </c>
      <c r="Z437" s="34" t="s">
        <v>1448</v>
      </c>
    </row>
    <row r="438" spans="1:26" x14ac:dyDescent="0.25">
      <c r="A438" s="34" t="s">
        <v>1441</v>
      </c>
      <c r="B438" s="34" t="s">
        <v>1442</v>
      </c>
      <c r="C438" s="34" t="s">
        <v>16</v>
      </c>
      <c r="D438" s="34" t="s">
        <v>15</v>
      </c>
      <c r="E438" s="35">
        <v>30041116</v>
      </c>
      <c r="F438" s="34" t="s">
        <v>765</v>
      </c>
      <c r="G438" s="39">
        <v>10071307</v>
      </c>
      <c r="H438" s="42">
        <v>30041116</v>
      </c>
      <c r="I438" s="34" t="s">
        <v>463</v>
      </c>
      <c r="J438" s="34" t="s">
        <v>1443</v>
      </c>
      <c r="K438" s="36">
        <v>42415</v>
      </c>
      <c r="L438" s="34" t="s">
        <v>1444</v>
      </c>
      <c r="M438" s="34" t="s">
        <v>1445</v>
      </c>
      <c r="N438" s="34" t="s">
        <v>717</v>
      </c>
      <c r="O438" s="34" t="s">
        <v>717</v>
      </c>
      <c r="P438" s="34" t="s">
        <v>1462</v>
      </c>
      <c r="Q438" s="34" t="s">
        <v>1462</v>
      </c>
      <c r="R438" s="34" t="s">
        <v>1494</v>
      </c>
      <c r="S438" s="34" t="s">
        <v>1494</v>
      </c>
      <c r="T438" s="34" t="s">
        <v>765</v>
      </c>
      <c r="U438" s="34" t="s">
        <v>765</v>
      </c>
      <c r="V438" s="37">
        <v>8.59</v>
      </c>
      <c r="W438" s="45">
        <v>1917.36</v>
      </c>
      <c r="X438" s="37">
        <v>22220.84</v>
      </c>
      <c r="Y438" s="36">
        <v>43864</v>
      </c>
      <c r="Z438" s="34" t="s">
        <v>1448</v>
      </c>
    </row>
    <row r="439" spans="1:26" x14ac:dyDescent="0.25">
      <c r="A439" s="34" t="s">
        <v>1441</v>
      </c>
      <c r="B439" s="34" t="s">
        <v>1442</v>
      </c>
      <c r="C439" s="34" t="s">
        <v>16</v>
      </c>
      <c r="D439" s="34" t="s">
        <v>15</v>
      </c>
      <c r="E439" s="35">
        <v>30041117</v>
      </c>
      <c r="F439" s="34" t="s">
        <v>755</v>
      </c>
      <c r="G439" s="39">
        <v>10071310</v>
      </c>
      <c r="H439" s="42">
        <v>30041117</v>
      </c>
      <c r="I439" s="34" t="s">
        <v>464</v>
      </c>
      <c r="J439" s="34" t="s">
        <v>1443</v>
      </c>
      <c r="K439" s="36">
        <v>42415</v>
      </c>
      <c r="L439" s="34" t="s">
        <v>1444</v>
      </c>
      <c r="M439" s="34" t="s">
        <v>1445</v>
      </c>
      <c r="N439" s="34" t="s">
        <v>717</v>
      </c>
      <c r="O439" s="34" t="s">
        <v>717</v>
      </c>
      <c r="P439" s="34" t="s">
        <v>1468</v>
      </c>
      <c r="Q439" s="34" t="s">
        <v>1468</v>
      </c>
      <c r="R439" s="34" t="s">
        <v>1469</v>
      </c>
      <c r="S439" s="34" t="s">
        <v>1469</v>
      </c>
      <c r="T439" s="34" t="s">
        <v>755</v>
      </c>
      <c r="U439" s="34" t="s">
        <v>755</v>
      </c>
      <c r="V439" s="37">
        <v>9.4499999999999993</v>
      </c>
      <c r="W439" s="45">
        <v>2109.3200000000002</v>
      </c>
      <c r="X439" s="37">
        <v>22220.85</v>
      </c>
      <c r="Y439" s="36">
        <v>43864</v>
      </c>
      <c r="Z439" s="34" t="s">
        <v>1448</v>
      </c>
    </row>
    <row r="440" spans="1:26" x14ac:dyDescent="0.25">
      <c r="A440" s="34" t="s">
        <v>1441</v>
      </c>
      <c r="B440" s="34" t="s">
        <v>1442</v>
      </c>
      <c r="C440" s="34" t="s">
        <v>6</v>
      </c>
      <c r="D440" s="34" t="s">
        <v>15</v>
      </c>
      <c r="E440" s="35">
        <v>30041118</v>
      </c>
      <c r="F440" s="34" t="s">
        <v>766</v>
      </c>
      <c r="G440" s="39">
        <v>10071311</v>
      </c>
      <c r="H440" s="42">
        <v>30041118</v>
      </c>
      <c r="I440" s="34" t="s">
        <v>465</v>
      </c>
      <c r="J440" s="34" t="s">
        <v>1443</v>
      </c>
      <c r="K440" s="36">
        <v>42415</v>
      </c>
      <c r="L440" s="34" t="s">
        <v>1444</v>
      </c>
      <c r="M440" s="34" t="s">
        <v>1445</v>
      </c>
      <c r="N440" s="34" t="s">
        <v>717</v>
      </c>
      <c r="O440" s="34" t="s">
        <v>717</v>
      </c>
      <c r="P440" s="34" t="s">
        <v>1460</v>
      </c>
      <c r="Q440" s="34" t="s">
        <v>1460</v>
      </c>
      <c r="R440" s="34" t="s">
        <v>1461</v>
      </c>
      <c r="S440" s="34" t="s">
        <v>1461</v>
      </c>
      <c r="T440" s="34" t="s">
        <v>766</v>
      </c>
      <c r="U440" s="34" t="s">
        <v>766</v>
      </c>
      <c r="V440" s="37">
        <v>8.26</v>
      </c>
      <c r="W440" s="45">
        <v>1843.7</v>
      </c>
      <c r="X440" s="37">
        <v>22220.82</v>
      </c>
      <c r="Y440" s="36">
        <v>43864</v>
      </c>
      <c r="Z440" s="34" t="s">
        <v>1448</v>
      </c>
    </row>
    <row r="441" spans="1:26" x14ac:dyDescent="0.25">
      <c r="A441" s="34" t="s">
        <v>1441</v>
      </c>
      <c r="B441" s="34" t="s">
        <v>1442</v>
      </c>
      <c r="C441" s="34" t="s">
        <v>6</v>
      </c>
      <c r="D441" s="34" t="s">
        <v>15</v>
      </c>
      <c r="E441" s="35">
        <v>30041119</v>
      </c>
      <c r="F441" s="34" t="s">
        <v>19</v>
      </c>
      <c r="G441" s="39">
        <v>10071314</v>
      </c>
      <c r="H441" s="42">
        <v>30041119</v>
      </c>
      <c r="I441" s="34" t="s">
        <v>466</v>
      </c>
      <c r="J441" s="34" t="s">
        <v>1443</v>
      </c>
      <c r="K441" s="36">
        <v>42415</v>
      </c>
      <c r="L441" s="34" t="s">
        <v>1444</v>
      </c>
      <c r="M441" s="34" t="s">
        <v>1445</v>
      </c>
      <c r="N441" s="34" t="s">
        <v>717</v>
      </c>
      <c r="O441" s="34" t="s">
        <v>717</v>
      </c>
      <c r="P441" s="34" t="s">
        <v>1460</v>
      </c>
      <c r="Q441" s="34" t="s">
        <v>1460</v>
      </c>
      <c r="R441" s="34" t="s">
        <v>1506</v>
      </c>
      <c r="S441" s="34" t="s">
        <v>1506</v>
      </c>
      <c r="T441" s="34" t="s">
        <v>19</v>
      </c>
      <c r="U441" s="34" t="s">
        <v>19</v>
      </c>
      <c r="V441" s="37">
        <v>10.26</v>
      </c>
      <c r="W441" s="45">
        <v>2290.12</v>
      </c>
      <c r="X441" s="37">
        <v>22220.86</v>
      </c>
      <c r="Y441" s="36">
        <v>43864</v>
      </c>
      <c r="Z441" s="34" t="s">
        <v>1448</v>
      </c>
    </row>
    <row r="442" spans="1:26" x14ac:dyDescent="0.25">
      <c r="A442" s="34" t="s">
        <v>1441</v>
      </c>
      <c r="B442" s="34" t="s">
        <v>1442</v>
      </c>
      <c r="C442" s="34" t="s">
        <v>6</v>
      </c>
      <c r="D442" s="34" t="s">
        <v>15</v>
      </c>
      <c r="E442" s="35">
        <v>30041120</v>
      </c>
      <c r="F442" s="34" t="s">
        <v>766</v>
      </c>
      <c r="G442" s="39">
        <v>10071443</v>
      </c>
      <c r="H442" s="42">
        <v>30041120</v>
      </c>
      <c r="I442" s="34" t="s">
        <v>467</v>
      </c>
      <c r="J442" s="34" t="s">
        <v>1443</v>
      </c>
      <c r="K442" s="36">
        <v>42436</v>
      </c>
      <c r="L442" s="34" t="s">
        <v>1444</v>
      </c>
      <c r="M442" s="34" t="s">
        <v>1445</v>
      </c>
      <c r="N442" s="34" t="s">
        <v>717</v>
      </c>
      <c r="O442" s="34" t="s">
        <v>717</v>
      </c>
      <c r="P442" s="34" t="s">
        <v>1460</v>
      </c>
      <c r="Q442" s="34" t="s">
        <v>1460</v>
      </c>
      <c r="R442" s="34" t="s">
        <v>1461</v>
      </c>
      <c r="S442" s="34" t="s">
        <v>1461</v>
      </c>
      <c r="T442" s="34" t="s">
        <v>766</v>
      </c>
      <c r="U442" s="34" t="s">
        <v>766</v>
      </c>
      <c r="V442" s="37">
        <v>8.26</v>
      </c>
      <c r="W442" s="45">
        <v>1843.7</v>
      </c>
      <c r="X442" s="37">
        <v>22220.82</v>
      </c>
      <c r="Y442" s="36">
        <v>43864</v>
      </c>
      <c r="Z442" s="34" t="s">
        <v>1448</v>
      </c>
    </row>
    <row r="443" spans="1:26" x14ac:dyDescent="0.25">
      <c r="A443" s="34" t="s">
        <v>1441</v>
      </c>
      <c r="B443" s="34" t="s">
        <v>1442</v>
      </c>
      <c r="C443" s="34" t="s">
        <v>6</v>
      </c>
      <c r="D443" s="34" t="s">
        <v>15</v>
      </c>
      <c r="E443" s="35">
        <v>30041121</v>
      </c>
      <c r="F443" s="34" t="s">
        <v>766</v>
      </c>
      <c r="G443" s="39">
        <v>10071455</v>
      </c>
      <c r="H443" s="42">
        <v>30041121</v>
      </c>
      <c r="I443" s="34" t="s">
        <v>468</v>
      </c>
      <c r="J443" s="34" t="s">
        <v>1443</v>
      </c>
      <c r="K443" s="36">
        <v>42436</v>
      </c>
      <c r="L443" s="34" t="s">
        <v>1444</v>
      </c>
      <c r="M443" s="34" t="s">
        <v>1445</v>
      </c>
      <c r="N443" s="34" t="s">
        <v>717</v>
      </c>
      <c r="O443" s="34" t="s">
        <v>717</v>
      </c>
      <c r="P443" s="34" t="s">
        <v>1460</v>
      </c>
      <c r="Q443" s="34" t="s">
        <v>1460</v>
      </c>
      <c r="R443" s="34" t="s">
        <v>1461</v>
      </c>
      <c r="S443" s="34" t="s">
        <v>1461</v>
      </c>
      <c r="T443" s="34" t="s">
        <v>766</v>
      </c>
      <c r="U443" s="34" t="s">
        <v>766</v>
      </c>
      <c r="V443" s="37">
        <v>8.26</v>
      </c>
      <c r="W443" s="45">
        <v>1843.7</v>
      </c>
      <c r="X443" s="37">
        <v>22220.82</v>
      </c>
      <c r="Y443" s="36">
        <v>43864</v>
      </c>
      <c r="Z443" s="34" t="s">
        <v>1448</v>
      </c>
    </row>
    <row r="444" spans="1:26" x14ac:dyDescent="0.25">
      <c r="A444" s="34" t="s">
        <v>1441</v>
      </c>
      <c r="B444" s="34" t="s">
        <v>1442</v>
      </c>
      <c r="C444" s="34" t="s">
        <v>6</v>
      </c>
      <c r="D444" s="34" t="s">
        <v>15</v>
      </c>
      <c r="E444" s="35">
        <v>30041122</v>
      </c>
      <c r="F444" s="34" t="s">
        <v>766</v>
      </c>
      <c r="G444" s="39">
        <v>10071471</v>
      </c>
      <c r="H444" s="42">
        <v>30041122</v>
      </c>
      <c r="I444" s="34" t="s">
        <v>469</v>
      </c>
      <c r="J444" s="34" t="s">
        <v>1443</v>
      </c>
      <c r="K444" s="36">
        <v>42436</v>
      </c>
      <c r="L444" s="34" t="s">
        <v>1444</v>
      </c>
      <c r="M444" s="34" t="s">
        <v>1445</v>
      </c>
      <c r="N444" s="34" t="s">
        <v>717</v>
      </c>
      <c r="O444" s="34" t="s">
        <v>717</v>
      </c>
      <c r="P444" s="34" t="s">
        <v>1460</v>
      </c>
      <c r="Q444" s="34" t="s">
        <v>1460</v>
      </c>
      <c r="R444" s="34" t="s">
        <v>1506</v>
      </c>
      <c r="S444" s="34" t="s">
        <v>1506</v>
      </c>
      <c r="T444" s="34" t="s">
        <v>766</v>
      </c>
      <c r="U444" s="34" t="s">
        <v>766</v>
      </c>
      <c r="V444" s="37">
        <v>8.26</v>
      </c>
      <c r="W444" s="45">
        <v>1843.7</v>
      </c>
      <c r="X444" s="37">
        <v>22220.82</v>
      </c>
      <c r="Y444" s="36">
        <v>43864</v>
      </c>
      <c r="Z444" s="34" t="s">
        <v>1448</v>
      </c>
    </row>
    <row r="445" spans="1:26" x14ac:dyDescent="0.25">
      <c r="A445" s="34" t="s">
        <v>1441</v>
      </c>
      <c r="B445" s="34" t="s">
        <v>1442</v>
      </c>
      <c r="C445" s="34" t="s">
        <v>16</v>
      </c>
      <c r="D445" s="34" t="s">
        <v>15</v>
      </c>
      <c r="E445" s="35">
        <v>30041123</v>
      </c>
      <c r="F445" s="34" t="s">
        <v>765</v>
      </c>
      <c r="G445" s="39">
        <v>10071653</v>
      </c>
      <c r="H445" s="42">
        <v>30041123</v>
      </c>
      <c r="I445" s="34" t="s">
        <v>470</v>
      </c>
      <c r="J445" s="34" t="s">
        <v>1443</v>
      </c>
      <c r="K445" s="36">
        <v>42450</v>
      </c>
      <c r="L445" s="34" t="s">
        <v>1444</v>
      </c>
      <c r="M445" s="34" t="s">
        <v>1445</v>
      </c>
      <c r="N445" s="34" t="s">
        <v>717</v>
      </c>
      <c r="O445" s="34" t="s">
        <v>717</v>
      </c>
      <c r="P445" s="34" t="s">
        <v>1503</v>
      </c>
      <c r="Q445" s="34" t="s">
        <v>1503</v>
      </c>
      <c r="R445" s="34" t="s">
        <v>1504</v>
      </c>
      <c r="S445" s="34" t="s">
        <v>1504</v>
      </c>
      <c r="T445" s="34" t="s">
        <v>765</v>
      </c>
      <c r="U445" s="34" t="s">
        <v>765</v>
      </c>
      <c r="V445" s="37">
        <v>8.59</v>
      </c>
      <c r="W445" s="45">
        <v>1917.36</v>
      </c>
      <c r="X445" s="37">
        <v>22220.84</v>
      </c>
      <c r="Y445" s="36">
        <v>43864</v>
      </c>
      <c r="Z445" s="34" t="s">
        <v>1448</v>
      </c>
    </row>
    <row r="446" spans="1:26" x14ac:dyDescent="0.25">
      <c r="A446" s="34" t="s">
        <v>1441</v>
      </c>
      <c r="B446" s="34" t="s">
        <v>1442</v>
      </c>
      <c r="C446" s="34" t="s">
        <v>6</v>
      </c>
      <c r="D446" s="34" t="s">
        <v>15</v>
      </c>
      <c r="E446" s="35">
        <v>30041124</v>
      </c>
      <c r="F446" s="34" t="s">
        <v>766</v>
      </c>
      <c r="G446" s="39">
        <v>10071661</v>
      </c>
      <c r="H446" s="42">
        <v>30041124</v>
      </c>
      <c r="I446" s="34" t="s">
        <v>471</v>
      </c>
      <c r="J446" s="34" t="s">
        <v>1443</v>
      </c>
      <c r="K446" s="36">
        <v>42450</v>
      </c>
      <c r="L446" s="34" t="s">
        <v>1444</v>
      </c>
      <c r="M446" s="34" t="s">
        <v>1445</v>
      </c>
      <c r="N446" s="34" t="s">
        <v>717</v>
      </c>
      <c r="O446" s="34" t="s">
        <v>717</v>
      </c>
      <c r="P446" s="34" t="s">
        <v>1460</v>
      </c>
      <c r="Q446" s="34" t="s">
        <v>1460</v>
      </c>
      <c r="R446" s="34" t="s">
        <v>1461</v>
      </c>
      <c r="S446" s="34" t="s">
        <v>1461</v>
      </c>
      <c r="T446" s="34" t="s">
        <v>766</v>
      </c>
      <c r="U446" s="34" t="s">
        <v>766</v>
      </c>
      <c r="V446" s="37">
        <v>8.26</v>
      </c>
      <c r="W446" s="45">
        <v>1843.7</v>
      </c>
      <c r="X446" s="37">
        <v>22220.82</v>
      </c>
      <c r="Y446" s="36">
        <v>43864</v>
      </c>
      <c r="Z446" s="34" t="s">
        <v>1448</v>
      </c>
    </row>
    <row r="447" spans="1:26" x14ac:dyDescent="0.25">
      <c r="A447" s="34" t="s">
        <v>1441</v>
      </c>
      <c r="B447" s="34" t="s">
        <v>1442</v>
      </c>
      <c r="C447" s="34" t="s">
        <v>16</v>
      </c>
      <c r="D447" s="34" t="s">
        <v>15</v>
      </c>
      <c r="E447" s="35">
        <v>30041125</v>
      </c>
      <c r="F447" s="34" t="s">
        <v>757</v>
      </c>
      <c r="G447" s="39">
        <v>10071971</v>
      </c>
      <c r="H447" s="42">
        <v>30041125</v>
      </c>
      <c r="I447" s="34" t="s">
        <v>472</v>
      </c>
      <c r="J447" s="34" t="s">
        <v>1443</v>
      </c>
      <c r="K447" s="36">
        <v>42493</v>
      </c>
      <c r="L447" s="34" t="s">
        <v>1444</v>
      </c>
      <c r="M447" s="34" t="s">
        <v>1445</v>
      </c>
      <c r="N447" s="34" t="s">
        <v>717</v>
      </c>
      <c r="O447" s="34" t="s">
        <v>717</v>
      </c>
      <c r="P447" s="34" t="s">
        <v>1474</v>
      </c>
      <c r="Q447" s="34" t="s">
        <v>1474</v>
      </c>
      <c r="R447" s="34" t="s">
        <v>1485</v>
      </c>
      <c r="S447" s="34" t="s">
        <v>1485</v>
      </c>
      <c r="T447" s="34" t="s">
        <v>757</v>
      </c>
      <c r="U447" s="34" t="s">
        <v>757</v>
      </c>
      <c r="V447" s="37">
        <v>9.01</v>
      </c>
      <c r="W447" s="45">
        <v>9.01</v>
      </c>
      <c r="X447" s="37">
        <v>0</v>
      </c>
      <c r="Y447" s="36">
        <v>43864</v>
      </c>
      <c r="Z447" s="34" t="s">
        <v>1448</v>
      </c>
    </row>
    <row r="448" spans="1:26" x14ac:dyDescent="0.25">
      <c r="A448" s="34" t="s">
        <v>1441</v>
      </c>
      <c r="B448" s="34" t="s">
        <v>1442</v>
      </c>
      <c r="C448" s="34" t="s">
        <v>16</v>
      </c>
      <c r="D448" s="34" t="s">
        <v>15</v>
      </c>
      <c r="E448" s="35">
        <v>30041126</v>
      </c>
      <c r="F448" s="34" t="s">
        <v>765</v>
      </c>
      <c r="G448" s="39">
        <v>10071975</v>
      </c>
      <c r="H448" s="42">
        <v>30041126</v>
      </c>
      <c r="I448" s="34" t="s">
        <v>473</v>
      </c>
      <c r="J448" s="34" t="s">
        <v>1443</v>
      </c>
      <c r="K448" s="36">
        <v>42493</v>
      </c>
      <c r="L448" s="34" t="s">
        <v>1444</v>
      </c>
      <c r="M448" s="34" t="s">
        <v>1445</v>
      </c>
      <c r="N448" s="34" t="s">
        <v>717</v>
      </c>
      <c r="O448" s="34" t="s">
        <v>717</v>
      </c>
      <c r="P448" s="34" t="s">
        <v>1462</v>
      </c>
      <c r="Q448" s="34" t="s">
        <v>1462</v>
      </c>
      <c r="R448" s="34" t="s">
        <v>1463</v>
      </c>
      <c r="S448" s="34" t="s">
        <v>1463</v>
      </c>
      <c r="T448" s="34" t="s">
        <v>765</v>
      </c>
      <c r="U448" s="34" t="s">
        <v>765</v>
      </c>
      <c r="V448" s="37">
        <v>8.59</v>
      </c>
      <c r="W448" s="45">
        <v>1917.36</v>
      </c>
      <c r="X448" s="37">
        <v>22220.84</v>
      </c>
      <c r="Y448" s="36">
        <v>43864</v>
      </c>
      <c r="Z448" s="34" t="s">
        <v>1448</v>
      </c>
    </row>
    <row r="449" spans="1:26" x14ac:dyDescent="0.25">
      <c r="A449" s="34" t="s">
        <v>1441</v>
      </c>
      <c r="B449" s="34" t="s">
        <v>1442</v>
      </c>
      <c r="C449" s="34" t="s">
        <v>16</v>
      </c>
      <c r="D449" s="34" t="s">
        <v>15</v>
      </c>
      <c r="E449" s="35">
        <v>30041127</v>
      </c>
      <c r="F449" s="34" t="s">
        <v>757</v>
      </c>
      <c r="G449" s="39">
        <v>10072058</v>
      </c>
      <c r="H449" s="42">
        <v>30041127</v>
      </c>
      <c r="I449" s="34" t="s">
        <v>474</v>
      </c>
      <c r="J449" s="34" t="s">
        <v>1443</v>
      </c>
      <c r="K449" s="36">
        <v>42501</v>
      </c>
      <c r="L449" s="34" t="s">
        <v>1444</v>
      </c>
      <c r="M449" s="34" t="s">
        <v>1445</v>
      </c>
      <c r="N449" s="34" t="s">
        <v>717</v>
      </c>
      <c r="O449" s="34" t="s">
        <v>717</v>
      </c>
      <c r="P449" s="34" t="s">
        <v>1474</v>
      </c>
      <c r="Q449" s="34" t="s">
        <v>1474</v>
      </c>
      <c r="R449" s="34" t="s">
        <v>1485</v>
      </c>
      <c r="S449" s="34" t="s">
        <v>1485</v>
      </c>
      <c r="T449" s="34" t="s">
        <v>757</v>
      </c>
      <c r="U449" s="34" t="s">
        <v>757</v>
      </c>
      <c r="V449" s="37">
        <v>9.01</v>
      </c>
      <c r="W449" s="45">
        <v>9.01</v>
      </c>
      <c r="X449" s="37">
        <v>0</v>
      </c>
      <c r="Y449" s="36">
        <v>43864</v>
      </c>
      <c r="Z449" s="34" t="s">
        <v>1448</v>
      </c>
    </row>
    <row r="450" spans="1:26" x14ac:dyDescent="0.25">
      <c r="A450" s="34" t="s">
        <v>1441</v>
      </c>
      <c r="B450" s="34" t="s">
        <v>1442</v>
      </c>
      <c r="C450" s="34" t="s">
        <v>6</v>
      </c>
      <c r="D450" s="34" t="s">
        <v>15</v>
      </c>
      <c r="E450" s="35">
        <v>30041128</v>
      </c>
      <c r="F450" s="34" t="s">
        <v>753</v>
      </c>
      <c r="G450" s="39">
        <v>10072547</v>
      </c>
      <c r="H450" s="42">
        <v>30041128</v>
      </c>
      <c r="I450" s="34" t="s">
        <v>475</v>
      </c>
      <c r="J450" s="34" t="s">
        <v>1443</v>
      </c>
      <c r="K450" s="36">
        <v>42562</v>
      </c>
      <c r="L450" s="34" t="s">
        <v>1444</v>
      </c>
      <c r="M450" s="34" t="s">
        <v>1445</v>
      </c>
      <c r="N450" s="34" t="s">
        <v>717</v>
      </c>
      <c r="O450" s="34" t="s">
        <v>717</v>
      </c>
      <c r="P450" s="34" t="s">
        <v>1454</v>
      </c>
      <c r="Q450" s="34" t="s">
        <v>1454</v>
      </c>
      <c r="R450" s="34" t="s">
        <v>1455</v>
      </c>
      <c r="S450" s="34" t="s">
        <v>1455</v>
      </c>
      <c r="T450" s="34" t="s">
        <v>753</v>
      </c>
      <c r="U450" s="34" t="s">
        <v>753</v>
      </c>
      <c r="V450" s="37">
        <v>16.68</v>
      </c>
      <c r="W450" s="45">
        <v>3723.12</v>
      </c>
      <c r="X450" s="37">
        <v>22220.86</v>
      </c>
      <c r="Y450" s="36">
        <v>43864</v>
      </c>
      <c r="Z450" s="34" t="s">
        <v>1448</v>
      </c>
    </row>
    <row r="451" spans="1:26" x14ac:dyDescent="0.25">
      <c r="A451" s="34" t="s">
        <v>1441</v>
      </c>
      <c r="B451" s="34" t="s">
        <v>1442</v>
      </c>
      <c r="C451" s="34" t="s">
        <v>6</v>
      </c>
      <c r="D451" s="34" t="s">
        <v>15</v>
      </c>
      <c r="E451" s="35">
        <v>30041129</v>
      </c>
      <c r="F451" s="34" t="s">
        <v>757</v>
      </c>
      <c r="G451" s="39">
        <v>10072716</v>
      </c>
      <c r="H451" s="42">
        <v>30041129</v>
      </c>
      <c r="I451" s="34" t="s">
        <v>476</v>
      </c>
      <c r="J451" s="34" t="s">
        <v>1443</v>
      </c>
      <c r="K451" s="36">
        <v>42583</v>
      </c>
      <c r="L451" s="34" t="s">
        <v>1444</v>
      </c>
      <c r="M451" s="34" t="s">
        <v>1445</v>
      </c>
      <c r="N451" s="34" t="s">
        <v>717</v>
      </c>
      <c r="O451" s="34" t="s">
        <v>717</v>
      </c>
      <c r="P451" s="34" t="s">
        <v>1459</v>
      </c>
      <c r="Q451" s="34" t="s">
        <v>1462</v>
      </c>
      <c r="R451" s="34" t="s">
        <v>1463</v>
      </c>
      <c r="S451" s="34" t="s">
        <v>1463</v>
      </c>
      <c r="T451" s="34" t="s">
        <v>757</v>
      </c>
      <c r="U451" s="34" t="s">
        <v>757</v>
      </c>
      <c r="V451" s="37">
        <v>7.37</v>
      </c>
      <c r="W451" s="45">
        <v>1645.05</v>
      </c>
      <c r="X451" s="37">
        <v>22220.9</v>
      </c>
      <c r="Y451" s="36">
        <v>43864</v>
      </c>
      <c r="Z451" s="34" t="s">
        <v>1448</v>
      </c>
    </row>
    <row r="452" spans="1:26" x14ac:dyDescent="0.25">
      <c r="A452" s="34" t="s">
        <v>1441</v>
      </c>
      <c r="B452" s="34" t="s">
        <v>1442</v>
      </c>
      <c r="C452" s="34" t="s">
        <v>16</v>
      </c>
      <c r="D452" s="34" t="s">
        <v>15</v>
      </c>
      <c r="E452" s="35">
        <v>30041130</v>
      </c>
      <c r="F452" s="34" t="s">
        <v>765</v>
      </c>
      <c r="G452" s="39">
        <v>10072724</v>
      </c>
      <c r="H452" s="42">
        <v>30041130</v>
      </c>
      <c r="I452" s="34" t="s">
        <v>477</v>
      </c>
      <c r="J452" s="34" t="s">
        <v>1443</v>
      </c>
      <c r="K452" s="36">
        <v>42585</v>
      </c>
      <c r="L452" s="34" t="s">
        <v>1444</v>
      </c>
      <c r="M452" s="34" t="s">
        <v>1445</v>
      </c>
      <c r="N452" s="34" t="s">
        <v>717</v>
      </c>
      <c r="O452" s="34" t="s">
        <v>717</v>
      </c>
      <c r="P452" s="34" t="s">
        <v>1501</v>
      </c>
      <c r="Q452" s="34" t="s">
        <v>1501</v>
      </c>
      <c r="R452" s="34" t="s">
        <v>1502</v>
      </c>
      <c r="S452" s="34" t="s">
        <v>1502</v>
      </c>
      <c r="T452" s="34" t="s">
        <v>765</v>
      </c>
      <c r="U452" s="34" t="s">
        <v>765</v>
      </c>
      <c r="V452" s="37">
        <v>8.59</v>
      </c>
      <c r="W452" s="45">
        <v>1917.36</v>
      </c>
      <c r="X452" s="37">
        <v>22220.84</v>
      </c>
      <c r="Y452" s="36">
        <v>43864</v>
      </c>
      <c r="Z452" s="34" t="s">
        <v>1448</v>
      </c>
    </row>
    <row r="453" spans="1:26" x14ac:dyDescent="0.25">
      <c r="A453" s="34" t="s">
        <v>1441</v>
      </c>
      <c r="B453" s="34" t="s">
        <v>1442</v>
      </c>
      <c r="C453" s="34" t="s">
        <v>16</v>
      </c>
      <c r="D453" s="34" t="s">
        <v>15</v>
      </c>
      <c r="E453" s="35">
        <v>30041131</v>
      </c>
      <c r="F453" s="34" t="s">
        <v>765</v>
      </c>
      <c r="G453" s="39">
        <v>10073060</v>
      </c>
      <c r="H453" s="42">
        <v>30041131</v>
      </c>
      <c r="I453" s="34" t="s">
        <v>478</v>
      </c>
      <c r="J453" s="34" t="s">
        <v>1443</v>
      </c>
      <c r="K453" s="36">
        <v>42632</v>
      </c>
      <c r="L453" s="34" t="s">
        <v>1444</v>
      </c>
      <c r="M453" s="34" t="s">
        <v>1445</v>
      </c>
      <c r="N453" s="34" t="s">
        <v>717</v>
      </c>
      <c r="O453" s="34" t="s">
        <v>717</v>
      </c>
      <c r="P453" s="34" t="s">
        <v>1499</v>
      </c>
      <c r="Q453" s="34" t="s">
        <v>1499</v>
      </c>
      <c r="R453" s="34" t="s">
        <v>1500</v>
      </c>
      <c r="S453" s="34" t="s">
        <v>1500</v>
      </c>
      <c r="T453" s="34" t="s">
        <v>765</v>
      </c>
      <c r="U453" s="34" t="s">
        <v>765</v>
      </c>
      <c r="V453" s="37">
        <v>8.59</v>
      </c>
      <c r="W453" s="45">
        <v>1917.36</v>
      </c>
      <c r="X453" s="37">
        <v>22220.84</v>
      </c>
      <c r="Y453" s="36">
        <v>43864</v>
      </c>
      <c r="Z453" s="34" t="s">
        <v>1448</v>
      </c>
    </row>
    <row r="454" spans="1:26" x14ac:dyDescent="0.25">
      <c r="A454" s="34" t="s">
        <v>1441</v>
      </c>
      <c r="B454" s="34" t="s">
        <v>1442</v>
      </c>
      <c r="C454" s="34" t="s">
        <v>6</v>
      </c>
      <c r="D454" s="34" t="s">
        <v>15</v>
      </c>
      <c r="E454" s="35">
        <v>30041132</v>
      </c>
      <c r="F454" s="34" t="s">
        <v>19</v>
      </c>
      <c r="G454" s="39">
        <v>10073125</v>
      </c>
      <c r="H454" s="42">
        <v>30041132</v>
      </c>
      <c r="I454" s="34" t="s">
        <v>479</v>
      </c>
      <c r="J454" s="34" t="s">
        <v>1443</v>
      </c>
      <c r="K454" s="36">
        <v>42653</v>
      </c>
      <c r="L454" s="34" t="s">
        <v>1444</v>
      </c>
      <c r="M454" s="34" t="s">
        <v>1445</v>
      </c>
      <c r="N454" s="34" t="s">
        <v>717</v>
      </c>
      <c r="O454" s="34" t="s">
        <v>717</v>
      </c>
      <c r="P454" s="34" t="s">
        <v>1460</v>
      </c>
      <c r="Q454" s="34" t="s">
        <v>1460</v>
      </c>
      <c r="R454" s="34" t="s">
        <v>1506</v>
      </c>
      <c r="S454" s="34" t="s">
        <v>1506</v>
      </c>
      <c r="T454" s="34" t="s">
        <v>19</v>
      </c>
      <c r="U454" s="34" t="s">
        <v>19</v>
      </c>
      <c r="V454" s="37">
        <v>10.26</v>
      </c>
      <c r="W454" s="45">
        <v>2290.12</v>
      </c>
      <c r="X454" s="37">
        <v>22220.86</v>
      </c>
      <c r="Y454" s="36">
        <v>43864</v>
      </c>
      <c r="Z454" s="34" t="s">
        <v>1448</v>
      </c>
    </row>
    <row r="455" spans="1:26" x14ac:dyDescent="0.25">
      <c r="A455" s="34" t="s">
        <v>1441</v>
      </c>
      <c r="B455" s="34" t="s">
        <v>1442</v>
      </c>
      <c r="C455" s="34" t="s">
        <v>6</v>
      </c>
      <c r="D455" s="34" t="s">
        <v>15</v>
      </c>
      <c r="E455" s="35">
        <v>30041133</v>
      </c>
      <c r="F455" s="34" t="s">
        <v>766</v>
      </c>
      <c r="G455" s="39">
        <v>10073126</v>
      </c>
      <c r="H455" s="42">
        <v>30041133</v>
      </c>
      <c r="I455" s="34" t="s">
        <v>480</v>
      </c>
      <c r="J455" s="34" t="s">
        <v>1443</v>
      </c>
      <c r="K455" s="36">
        <v>42653</v>
      </c>
      <c r="L455" s="34" t="s">
        <v>1444</v>
      </c>
      <c r="M455" s="34" t="s">
        <v>1445</v>
      </c>
      <c r="N455" s="34" t="s">
        <v>717</v>
      </c>
      <c r="O455" s="34" t="s">
        <v>717</v>
      </c>
      <c r="P455" s="34" t="s">
        <v>1460</v>
      </c>
      <c r="Q455" s="34" t="s">
        <v>1460</v>
      </c>
      <c r="R455" s="34" t="s">
        <v>1461</v>
      </c>
      <c r="S455" s="34" t="s">
        <v>1461</v>
      </c>
      <c r="T455" s="34" t="s">
        <v>766</v>
      </c>
      <c r="U455" s="34" t="s">
        <v>766</v>
      </c>
      <c r="V455" s="37">
        <v>8.26</v>
      </c>
      <c r="W455" s="45">
        <v>1843.7</v>
      </c>
      <c r="X455" s="37">
        <v>22220.82</v>
      </c>
      <c r="Y455" s="36">
        <v>43864</v>
      </c>
      <c r="Z455" s="34" t="s">
        <v>1448</v>
      </c>
    </row>
    <row r="456" spans="1:26" x14ac:dyDescent="0.25">
      <c r="A456" s="34" t="s">
        <v>1441</v>
      </c>
      <c r="B456" s="34" t="s">
        <v>1442</v>
      </c>
      <c r="C456" s="34" t="s">
        <v>16</v>
      </c>
      <c r="D456" s="34" t="s">
        <v>15</v>
      </c>
      <c r="E456" s="35">
        <v>30041134</v>
      </c>
      <c r="F456" s="34" t="s">
        <v>21</v>
      </c>
      <c r="G456" s="39">
        <v>10073202</v>
      </c>
      <c r="H456" s="42">
        <v>30041134</v>
      </c>
      <c r="I456" s="34" t="s">
        <v>481</v>
      </c>
      <c r="J456" s="34" t="s">
        <v>1443</v>
      </c>
      <c r="K456" s="36">
        <v>42660</v>
      </c>
      <c r="L456" s="34" t="s">
        <v>1444</v>
      </c>
      <c r="M456" s="34" t="s">
        <v>1445</v>
      </c>
      <c r="N456" s="34" t="s">
        <v>717</v>
      </c>
      <c r="O456" s="34" t="s">
        <v>717</v>
      </c>
      <c r="P456" s="34" t="s">
        <v>1462</v>
      </c>
      <c r="Q456" s="34" t="s">
        <v>1462</v>
      </c>
      <c r="R456" s="34" t="s">
        <v>1478</v>
      </c>
      <c r="S456" s="34" t="s">
        <v>1478</v>
      </c>
      <c r="T456" s="34" t="s">
        <v>21</v>
      </c>
      <c r="U456" s="34" t="s">
        <v>21</v>
      </c>
      <c r="V456" s="37">
        <v>10.27</v>
      </c>
      <c r="W456" s="45">
        <v>2292.35</v>
      </c>
      <c r="X456" s="37">
        <v>22220.84</v>
      </c>
      <c r="Y456" s="36">
        <v>43864</v>
      </c>
      <c r="Z456" s="34" t="s">
        <v>1448</v>
      </c>
    </row>
    <row r="457" spans="1:26" x14ac:dyDescent="0.25">
      <c r="A457" s="34" t="s">
        <v>1441</v>
      </c>
      <c r="B457" s="34" t="s">
        <v>1442</v>
      </c>
      <c r="C457" s="34" t="s">
        <v>16</v>
      </c>
      <c r="D457" s="34" t="s">
        <v>15</v>
      </c>
      <c r="E457" s="35">
        <v>30041135</v>
      </c>
      <c r="F457" s="34" t="s">
        <v>21</v>
      </c>
      <c r="G457" s="39">
        <v>10073367</v>
      </c>
      <c r="H457" s="42">
        <v>30041135</v>
      </c>
      <c r="I457" s="34" t="s">
        <v>482</v>
      </c>
      <c r="J457" s="34" t="s">
        <v>1443</v>
      </c>
      <c r="K457" s="36">
        <v>42695</v>
      </c>
      <c r="L457" s="34" t="s">
        <v>1444</v>
      </c>
      <c r="M457" s="34" t="s">
        <v>1445</v>
      </c>
      <c r="N457" s="34" t="s">
        <v>717</v>
      </c>
      <c r="O457" s="34" t="s">
        <v>717</v>
      </c>
      <c r="P457" s="34" t="s">
        <v>1462</v>
      </c>
      <c r="Q457" s="34" t="s">
        <v>1462</v>
      </c>
      <c r="R457" s="34" t="s">
        <v>1478</v>
      </c>
      <c r="S457" s="34" t="s">
        <v>1478</v>
      </c>
      <c r="T457" s="34" t="s">
        <v>21</v>
      </c>
      <c r="U457" s="34" t="s">
        <v>21</v>
      </c>
      <c r="V457" s="37">
        <v>10.27</v>
      </c>
      <c r="W457" s="45">
        <v>2292.35</v>
      </c>
      <c r="X457" s="37">
        <v>22220.84</v>
      </c>
      <c r="Y457" s="36">
        <v>43864</v>
      </c>
      <c r="Z457" s="34" t="s">
        <v>1448</v>
      </c>
    </row>
    <row r="458" spans="1:26" x14ac:dyDescent="0.25">
      <c r="A458" s="34" t="s">
        <v>1441</v>
      </c>
      <c r="B458" s="34" t="s">
        <v>1442</v>
      </c>
      <c r="C458" s="34" t="s">
        <v>16</v>
      </c>
      <c r="D458" s="34" t="s">
        <v>15</v>
      </c>
      <c r="E458" s="35">
        <v>30041136</v>
      </c>
      <c r="F458" s="34" t="s">
        <v>765</v>
      </c>
      <c r="G458" s="39">
        <v>10073369</v>
      </c>
      <c r="H458" s="42">
        <v>30041136</v>
      </c>
      <c r="I458" s="34" t="s">
        <v>483</v>
      </c>
      <c r="J458" s="34" t="s">
        <v>1443</v>
      </c>
      <c r="K458" s="36">
        <v>42695</v>
      </c>
      <c r="L458" s="34" t="s">
        <v>1444</v>
      </c>
      <c r="M458" s="34" t="s">
        <v>1445</v>
      </c>
      <c r="N458" s="34" t="s">
        <v>717</v>
      </c>
      <c r="O458" s="34" t="s">
        <v>717</v>
      </c>
      <c r="P458" s="34" t="s">
        <v>1449</v>
      </c>
      <c r="Q458" s="34" t="s">
        <v>1449</v>
      </c>
      <c r="R458" s="34" t="s">
        <v>1450</v>
      </c>
      <c r="S458" s="34" t="s">
        <v>1450</v>
      </c>
      <c r="T458" s="34" t="s">
        <v>765</v>
      </c>
      <c r="U458" s="34" t="s">
        <v>765</v>
      </c>
      <c r="V458" s="37">
        <v>8.59</v>
      </c>
      <c r="W458" s="45">
        <v>1917.36</v>
      </c>
      <c r="X458" s="37">
        <v>22220.84</v>
      </c>
      <c r="Y458" s="36">
        <v>43864</v>
      </c>
      <c r="Z458" s="34" t="s">
        <v>1448</v>
      </c>
    </row>
    <row r="459" spans="1:26" x14ac:dyDescent="0.25">
      <c r="A459" s="34" t="s">
        <v>1441</v>
      </c>
      <c r="B459" s="34" t="s">
        <v>1442</v>
      </c>
      <c r="C459" s="34" t="s">
        <v>16</v>
      </c>
      <c r="D459" s="34" t="s">
        <v>15</v>
      </c>
      <c r="E459" s="35">
        <v>30041137</v>
      </c>
      <c r="F459" s="34" t="s">
        <v>765</v>
      </c>
      <c r="G459" s="39">
        <v>10073408</v>
      </c>
      <c r="H459" s="42">
        <v>30041137</v>
      </c>
      <c r="I459" s="34" t="s">
        <v>484</v>
      </c>
      <c r="J459" s="34" t="s">
        <v>1443</v>
      </c>
      <c r="K459" s="36">
        <v>42709</v>
      </c>
      <c r="L459" s="34" t="s">
        <v>1444</v>
      </c>
      <c r="M459" s="34" t="s">
        <v>1445</v>
      </c>
      <c r="N459" s="34" t="s">
        <v>717</v>
      </c>
      <c r="O459" s="34" t="s">
        <v>717</v>
      </c>
      <c r="P459" s="34" t="s">
        <v>1449</v>
      </c>
      <c r="Q459" s="34" t="s">
        <v>1449</v>
      </c>
      <c r="R459" s="34" t="s">
        <v>1450</v>
      </c>
      <c r="S459" s="34" t="s">
        <v>1450</v>
      </c>
      <c r="T459" s="34" t="s">
        <v>765</v>
      </c>
      <c r="U459" s="34" t="s">
        <v>765</v>
      </c>
      <c r="V459" s="37">
        <v>8.59</v>
      </c>
      <c r="W459" s="45">
        <v>1917.36</v>
      </c>
      <c r="X459" s="37">
        <v>22220.84</v>
      </c>
      <c r="Y459" s="36">
        <v>43864</v>
      </c>
      <c r="Z459" s="34" t="s">
        <v>1448</v>
      </c>
    </row>
    <row r="460" spans="1:26" x14ac:dyDescent="0.25">
      <c r="A460" s="34" t="s">
        <v>1441</v>
      </c>
      <c r="B460" s="34" t="s">
        <v>1442</v>
      </c>
      <c r="C460" s="34" t="s">
        <v>16</v>
      </c>
      <c r="D460" s="34" t="s">
        <v>15</v>
      </c>
      <c r="E460" s="35">
        <v>30041138</v>
      </c>
      <c r="F460" s="34" t="s">
        <v>755</v>
      </c>
      <c r="G460" s="39">
        <v>10073411</v>
      </c>
      <c r="H460" s="42">
        <v>30041138</v>
      </c>
      <c r="I460" s="34" t="s">
        <v>485</v>
      </c>
      <c r="J460" s="34" t="s">
        <v>1443</v>
      </c>
      <c r="K460" s="36">
        <v>42709</v>
      </c>
      <c r="L460" s="34" t="s">
        <v>1444</v>
      </c>
      <c r="M460" s="34" t="s">
        <v>1445</v>
      </c>
      <c r="N460" s="34" t="s">
        <v>717</v>
      </c>
      <c r="O460" s="34" t="s">
        <v>717</v>
      </c>
      <c r="P460" s="34" t="s">
        <v>1468</v>
      </c>
      <c r="Q460" s="34" t="s">
        <v>1468</v>
      </c>
      <c r="R460" s="34" t="s">
        <v>1469</v>
      </c>
      <c r="S460" s="34" t="s">
        <v>1469</v>
      </c>
      <c r="T460" s="34" t="s">
        <v>755</v>
      </c>
      <c r="U460" s="34" t="s">
        <v>755</v>
      </c>
      <c r="V460" s="37">
        <v>9.4499999999999993</v>
      </c>
      <c r="W460" s="45">
        <v>2109.3200000000002</v>
      </c>
      <c r="X460" s="37">
        <v>22220.85</v>
      </c>
      <c r="Y460" s="36">
        <v>43864</v>
      </c>
      <c r="Z460" s="34" t="s">
        <v>1448</v>
      </c>
    </row>
    <row r="461" spans="1:26" x14ac:dyDescent="0.25">
      <c r="A461" s="34" t="s">
        <v>1441</v>
      </c>
      <c r="B461" s="34" t="s">
        <v>1442</v>
      </c>
      <c r="C461" s="34" t="s">
        <v>16</v>
      </c>
      <c r="D461" s="34" t="s">
        <v>15</v>
      </c>
      <c r="E461" s="35">
        <v>30041139</v>
      </c>
      <c r="F461" s="34" t="s">
        <v>751</v>
      </c>
      <c r="G461" s="39">
        <v>10073412</v>
      </c>
      <c r="H461" s="42">
        <v>30041139</v>
      </c>
      <c r="I461" s="34" t="s">
        <v>486</v>
      </c>
      <c r="J461" s="34" t="s">
        <v>1443</v>
      </c>
      <c r="K461" s="36">
        <v>42709</v>
      </c>
      <c r="L461" s="34" t="s">
        <v>1444</v>
      </c>
      <c r="M461" s="34" t="s">
        <v>1445</v>
      </c>
      <c r="N461" s="34" t="s">
        <v>717</v>
      </c>
      <c r="O461" s="34" t="s">
        <v>717</v>
      </c>
      <c r="P461" s="34" t="s">
        <v>1446</v>
      </c>
      <c r="Q461" s="34" t="s">
        <v>1446</v>
      </c>
      <c r="R461" s="34" t="s">
        <v>1447</v>
      </c>
      <c r="S461" s="34" t="s">
        <v>1447</v>
      </c>
      <c r="T461" s="34" t="s">
        <v>751</v>
      </c>
      <c r="U461" s="34" t="s">
        <v>751</v>
      </c>
      <c r="V461" s="37">
        <v>17.73</v>
      </c>
      <c r="W461" s="45">
        <v>3957.48</v>
      </c>
      <c r="X461" s="37">
        <v>22220.81</v>
      </c>
      <c r="Y461" s="36">
        <v>43864</v>
      </c>
      <c r="Z461" s="34" t="s">
        <v>1448</v>
      </c>
    </row>
    <row r="462" spans="1:26" x14ac:dyDescent="0.25">
      <c r="A462" s="34" t="s">
        <v>1441</v>
      </c>
      <c r="B462" s="34" t="s">
        <v>1442</v>
      </c>
      <c r="C462" s="34" t="s">
        <v>16</v>
      </c>
      <c r="D462" s="34" t="s">
        <v>15</v>
      </c>
      <c r="E462" s="35">
        <v>30041140</v>
      </c>
      <c r="F462" s="34" t="s">
        <v>765</v>
      </c>
      <c r="G462" s="39">
        <v>10073413</v>
      </c>
      <c r="H462" s="42">
        <v>30041140</v>
      </c>
      <c r="I462" s="34" t="s">
        <v>487</v>
      </c>
      <c r="J462" s="34" t="s">
        <v>1443</v>
      </c>
      <c r="K462" s="36">
        <v>42709</v>
      </c>
      <c r="L462" s="34" t="s">
        <v>1444</v>
      </c>
      <c r="M462" s="34" t="s">
        <v>1445</v>
      </c>
      <c r="N462" s="34" t="s">
        <v>717</v>
      </c>
      <c r="O462" s="34" t="s">
        <v>717</v>
      </c>
      <c r="P462" s="34" t="s">
        <v>1449</v>
      </c>
      <c r="Q462" s="34" t="s">
        <v>1449</v>
      </c>
      <c r="R462" s="34" t="s">
        <v>1450</v>
      </c>
      <c r="S462" s="34" t="s">
        <v>1450</v>
      </c>
      <c r="T462" s="34" t="s">
        <v>765</v>
      </c>
      <c r="U462" s="34" t="s">
        <v>765</v>
      </c>
      <c r="V462" s="37">
        <v>8.59</v>
      </c>
      <c r="W462" s="45">
        <v>1917.36</v>
      </c>
      <c r="X462" s="37">
        <v>22220.84</v>
      </c>
      <c r="Y462" s="36">
        <v>43864</v>
      </c>
      <c r="Z462" s="34" t="s">
        <v>1448</v>
      </c>
    </row>
    <row r="463" spans="1:26" x14ac:dyDescent="0.25">
      <c r="A463" s="34" t="s">
        <v>1441</v>
      </c>
      <c r="B463" s="34" t="s">
        <v>1442</v>
      </c>
      <c r="C463" s="34" t="s">
        <v>6</v>
      </c>
      <c r="D463" s="34" t="s">
        <v>15</v>
      </c>
      <c r="E463" s="35">
        <v>30041141</v>
      </c>
      <c r="F463" s="34" t="s">
        <v>753</v>
      </c>
      <c r="G463" s="39">
        <v>10073450</v>
      </c>
      <c r="H463" s="42">
        <v>30041141</v>
      </c>
      <c r="I463" s="34" t="s">
        <v>488</v>
      </c>
      <c r="J463" s="34" t="s">
        <v>1443</v>
      </c>
      <c r="K463" s="36">
        <v>42723</v>
      </c>
      <c r="L463" s="34" t="s">
        <v>1444</v>
      </c>
      <c r="M463" s="34" t="s">
        <v>1445</v>
      </c>
      <c r="N463" s="34" t="s">
        <v>717</v>
      </c>
      <c r="O463" s="34" t="s">
        <v>717</v>
      </c>
      <c r="P463" s="34" t="s">
        <v>1454</v>
      </c>
      <c r="Q463" s="34" t="s">
        <v>1454</v>
      </c>
      <c r="R463" s="34" t="s">
        <v>1455</v>
      </c>
      <c r="S463" s="34" t="s">
        <v>1455</v>
      </c>
      <c r="T463" s="34" t="s">
        <v>753</v>
      </c>
      <c r="U463" s="34" t="s">
        <v>753</v>
      </c>
      <c r="V463" s="37">
        <v>13.42</v>
      </c>
      <c r="W463" s="45">
        <v>2995.46</v>
      </c>
      <c r="X463" s="37">
        <v>22220.86</v>
      </c>
      <c r="Y463" s="36">
        <v>43864</v>
      </c>
      <c r="Z463" s="34" t="s">
        <v>1448</v>
      </c>
    </row>
    <row r="464" spans="1:26" x14ac:dyDescent="0.25">
      <c r="A464" s="34" t="s">
        <v>1441</v>
      </c>
      <c r="B464" s="34" t="s">
        <v>1442</v>
      </c>
      <c r="C464" s="34" t="s">
        <v>6</v>
      </c>
      <c r="D464" s="34" t="s">
        <v>15</v>
      </c>
      <c r="E464" s="35">
        <v>30041142</v>
      </c>
      <c r="F464" s="34" t="s">
        <v>766</v>
      </c>
      <c r="G464" s="39">
        <v>10073633</v>
      </c>
      <c r="H464" s="42">
        <v>30041142</v>
      </c>
      <c r="I464" s="34" t="s">
        <v>489</v>
      </c>
      <c r="J464" s="34" t="s">
        <v>1443</v>
      </c>
      <c r="K464" s="36">
        <v>42737</v>
      </c>
      <c r="L464" s="34" t="s">
        <v>1444</v>
      </c>
      <c r="M464" s="34" t="s">
        <v>1445</v>
      </c>
      <c r="N464" s="34" t="s">
        <v>717</v>
      </c>
      <c r="O464" s="34" t="s">
        <v>717</v>
      </c>
      <c r="P464" s="34" t="s">
        <v>1460</v>
      </c>
      <c r="Q464" s="34" t="s">
        <v>1460</v>
      </c>
      <c r="R464" s="34" t="s">
        <v>1461</v>
      </c>
      <c r="S464" s="34" t="s">
        <v>1461</v>
      </c>
      <c r="T464" s="34" t="s">
        <v>766</v>
      </c>
      <c r="U464" s="34" t="s">
        <v>766</v>
      </c>
      <c r="V464" s="37">
        <v>8.26</v>
      </c>
      <c r="W464" s="45">
        <v>1843.7</v>
      </c>
      <c r="X464" s="37">
        <v>22220.82</v>
      </c>
      <c r="Y464" s="36">
        <v>43864</v>
      </c>
      <c r="Z464" s="34" t="s">
        <v>1448</v>
      </c>
    </row>
    <row r="465" spans="1:26" x14ac:dyDescent="0.25">
      <c r="A465" s="34" t="s">
        <v>1441</v>
      </c>
      <c r="B465" s="34" t="s">
        <v>1442</v>
      </c>
      <c r="C465" s="34" t="s">
        <v>6</v>
      </c>
      <c r="D465" s="34" t="s">
        <v>15</v>
      </c>
      <c r="E465" s="35">
        <v>30041143</v>
      </c>
      <c r="F465" s="34" t="s">
        <v>766</v>
      </c>
      <c r="G465" s="39">
        <v>10073767</v>
      </c>
      <c r="H465" s="42">
        <v>30041143</v>
      </c>
      <c r="I465" s="34" t="s">
        <v>490</v>
      </c>
      <c r="J465" s="34" t="s">
        <v>1443</v>
      </c>
      <c r="K465" s="36">
        <v>42751</v>
      </c>
      <c r="L465" s="34" t="s">
        <v>1444</v>
      </c>
      <c r="M465" s="34" t="s">
        <v>1445</v>
      </c>
      <c r="N465" s="34" t="s">
        <v>717</v>
      </c>
      <c r="O465" s="34" t="s">
        <v>717</v>
      </c>
      <c r="P465" s="34" t="s">
        <v>1460</v>
      </c>
      <c r="Q465" s="34" t="s">
        <v>1460</v>
      </c>
      <c r="R465" s="34" t="s">
        <v>1461</v>
      </c>
      <c r="S465" s="34" t="s">
        <v>1461</v>
      </c>
      <c r="T465" s="34" t="s">
        <v>766</v>
      </c>
      <c r="U465" s="34" t="s">
        <v>766</v>
      </c>
      <c r="V465" s="37">
        <v>7.37</v>
      </c>
      <c r="W465" s="45">
        <v>1645.05</v>
      </c>
      <c r="X465" s="37">
        <v>22220.9</v>
      </c>
      <c r="Y465" s="36">
        <v>43864</v>
      </c>
      <c r="Z465" s="34" t="s">
        <v>1448</v>
      </c>
    </row>
    <row r="466" spans="1:26" x14ac:dyDescent="0.25">
      <c r="A466" s="34" t="s">
        <v>1441</v>
      </c>
      <c r="B466" s="34" t="s">
        <v>1442</v>
      </c>
      <c r="C466" s="34" t="s">
        <v>6</v>
      </c>
      <c r="D466" s="34" t="s">
        <v>15</v>
      </c>
      <c r="E466" s="35">
        <v>30041144</v>
      </c>
      <c r="F466" s="34" t="s">
        <v>773</v>
      </c>
      <c r="G466" s="39">
        <v>10074095</v>
      </c>
      <c r="H466" s="42">
        <v>30041144</v>
      </c>
      <c r="I466" s="34" t="s">
        <v>491</v>
      </c>
      <c r="J466" s="34" t="s">
        <v>1443</v>
      </c>
      <c r="K466" s="36">
        <v>42781</v>
      </c>
      <c r="L466" s="34" t="s">
        <v>1444</v>
      </c>
      <c r="M466" s="34" t="s">
        <v>1445</v>
      </c>
      <c r="N466" s="34" t="s">
        <v>717</v>
      </c>
      <c r="O466" s="34" t="s">
        <v>717</v>
      </c>
      <c r="P466" s="34" t="s">
        <v>1509</v>
      </c>
      <c r="Q466" s="34" t="s">
        <v>1509</v>
      </c>
      <c r="R466" s="34" t="s">
        <v>1510</v>
      </c>
      <c r="S466" s="34" t="s">
        <v>1510</v>
      </c>
      <c r="T466" s="34" t="s">
        <v>773</v>
      </c>
      <c r="U466" s="34" t="s">
        <v>773</v>
      </c>
      <c r="V466" s="37">
        <v>7.94</v>
      </c>
      <c r="W466" s="45">
        <v>1772.27</v>
      </c>
      <c r="X466" s="37">
        <v>22220.78</v>
      </c>
      <c r="Y466" s="36">
        <v>43864</v>
      </c>
      <c r="Z466" s="34" t="s">
        <v>1448</v>
      </c>
    </row>
    <row r="467" spans="1:26" x14ac:dyDescent="0.25">
      <c r="A467" s="34" t="s">
        <v>1441</v>
      </c>
      <c r="B467" s="34" t="s">
        <v>1442</v>
      </c>
      <c r="C467" s="34" t="s">
        <v>6</v>
      </c>
      <c r="D467" s="34" t="s">
        <v>15</v>
      </c>
      <c r="E467" s="35">
        <v>30041145</v>
      </c>
      <c r="F467" s="34" t="s">
        <v>766</v>
      </c>
      <c r="G467" s="39">
        <v>10074232</v>
      </c>
      <c r="H467" s="42">
        <v>30041145</v>
      </c>
      <c r="I467" s="34" t="s">
        <v>492</v>
      </c>
      <c r="J467" s="34" t="s">
        <v>1443</v>
      </c>
      <c r="K467" s="36">
        <v>42781</v>
      </c>
      <c r="L467" s="34" t="s">
        <v>1444</v>
      </c>
      <c r="M467" s="34" t="s">
        <v>1445</v>
      </c>
      <c r="N467" s="34" t="s">
        <v>717</v>
      </c>
      <c r="O467" s="34" t="s">
        <v>717</v>
      </c>
      <c r="P467" s="34" t="s">
        <v>1460</v>
      </c>
      <c r="Q467" s="34" t="s">
        <v>1460</v>
      </c>
      <c r="R467" s="34" t="s">
        <v>1506</v>
      </c>
      <c r="S467" s="34" t="s">
        <v>1506</v>
      </c>
      <c r="T467" s="34" t="s">
        <v>766</v>
      </c>
      <c r="U467" s="34" t="s">
        <v>766</v>
      </c>
      <c r="V467" s="37">
        <v>8.26</v>
      </c>
      <c r="W467" s="45">
        <v>1843.7</v>
      </c>
      <c r="X467" s="37">
        <v>22220.82</v>
      </c>
      <c r="Y467" s="36">
        <v>43864</v>
      </c>
      <c r="Z467" s="34" t="s">
        <v>1448</v>
      </c>
    </row>
    <row r="468" spans="1:26" x14ac:dyDescent="0.25">
      <c r="A468" s="34" t="s">
        <v>1441</v>
      </c>
      <c r="B468" s="34" t="s">
        <v>1442</v>
      </c>
      <c r="C468" s="34" t="s">
        <v>6</v>
      </c>
      <c r="D468" s="34" t="s">
        <v>15</v>
      </c>
      <c r="E468" s="35">
        <v>30041146</v>
      </c>
      <c r="F468" s="34" t="s">
        <v>766</v>
      </c>
      <c r="G468" s="39">
        <v>10074252</v>
      </c>
      <c r="H468" s="42">
        <v>30041146</v>
      </c>
      <c r="I468" s="34" t="s">
        <v>493</v>
      </c>
      <c r="J468" s="34" t="s">
        <v>1443</v>
      </c>
      <c r="K468" s="36">
        <v>42795</v>
      </c>
      <c r="L468" s="34" t="s">
        <v>1444</v>
      </c>
      <c r="M468" s="34" t="s">
        <v>1445</v>
      </c>
      <c r="N468" s="34" t="s">
        <v>717</v>
      </c>
      <c r="O468" s="34" t="s">
        <v>717</v>
      </c>
      <c r="P468" s="34" t="s">
        <v>1460</v>
      </c>
      <c r="Q468" s="34" t="s">
        <v>1460</v>
      </c>
      <c r="R468" s="34" t="s">
        <v>1506</v>
      </c>
      <c r="S468" s="34" t="s">
        <v>1506</v>
      </c>
      <c r="T468" s="34" t="s">
        <v>766</v>
      </c>
      <c r="U468" s="34" t="s">
        <v>766</v>
      </c>
      <c r="V468" s="37">
        <v>8.26</v>
      </c>
      <c r="W468" s="45">
        <v>1843.7</v>
      </c>
      <c r="X468" s="37">
        <v>22220.82</v>
      </c>
      <c r="Y468" s="36">
        <v>43864</v>
      </c>
      <c r="Z468" s="34" t="s">
        <v>1448</v>
      </c>
    </row>
    <row r="469" spans="1:26" x14ac:dyDescent="0.25">
      <c r="A469" s="34" t="s">
        <v>1441</v>
      </c>
      <c r="B469" s="34" t="s">
        <v>1442</v>
      </c>
      <c r="C469" s="34" t="s">
        <v>16</v>
      </c>
      <c r="D469" s="34" t="s">
        <v>15</v>
      </c>
      <c r="E469" s="35">
        <v>30041147</v>
      </c>
      <c r="F469" s="34" t="s">
        <v>765</v>
      </c>
      <c r="G469" s="39">
        <v>10074345</v>
      </c>
      <c r="H469" s="42">
        <v>30041147</v>
      </c>
      <c r="I469" s="34" t="s">
        <v>494</v>
      </c>
      <c r="J469" s="34" t="s">
        <v>1443</v>
      </c>
      <c r="K469" s="36">
        <v>42807</v>
      </c>
      <c r="L469" s="34" t="s">
        <v>1444</v>
      </c>
      <c r="M469" s="34" t="s">
        <v>1445</v>
      </c>
      <c r="N469" s="34" t="s">
        <v>717</v>
      </c>
      <c r="O469" s="34" t="s">
        <v>717</v>
      </c>
      <c r="P469" s="34" t="s">
        <v>1462</v>
      </c>
      <c r="Q469" s="34" t="s">
        <v>1462</v>
      </c>
      <c r="R469" s="34" t="s">
        <v>1478</v>
      </c>
      <c r="S469" s="34" t="s">
        <v>1478</v>
      </c>
      <c r="T469" s="34" t="s">
        <v>765</v>
      </c>
      <c r="U469" s="34" t="s">
        <v>765</v>
      </c>
      <c r="V469" s="37">
        <v>8.59</v>
      </c>
      <c r="W469" s="45">
        <v>1917.36</v>
      </c>
      <c r="X469" s="37">
        <v>22220.84</v>
      </c>
      <c r="Y469" s="36">
        <v>43864</v>
      </c>
      <c r="Z469" s="34" t="s">
        <v>1448</v>
      </c>
    </row>
    <row r="470" spans="1:26" x14ac:dyDescent="0.25">
      <c r="A470" s="34" t="s">
        <v>1441</v>
      </c>
      <c r="B470" s="34" t="s">
        <v>1442</v>
      </c>
      <c r="C470" s="34" t="s">
        <v>16</v>
      </c>
      <c r="D470" s="34" t="s">
        <v>15</v>
      </c>
      <c r="E470" s="35">
        <v>30041148</v>
      </c>
      <c r="F470" s="34" t="s">
        <v>757</v>
      </c>
      <c r="G470" s="39">
        <v>10074347</v>
      </c>
      <c r="H470" s="42">
        <v>30041148</v>
      </c>
      <c r="I470" s="34" t="s">
        <v>495</v>
      </c>
      <c r="J470" s="34" t="s">
        <v>1443</v>
      </c>
      <c r="K470" s="36">
        <v>42807</v>
      </c>
      <c r="L470" s="34" t="s">
        <v>1444</v>
      </c>
      <c r="M470" s="34" t="s">
        <v>1445</v>
      </c>
      <c r="N470" s="34" t="s">
        <v>717</v>
      </c>
      <c r="O470" s="34" t="s">
        <v>717</v>
      </c>
      <c r="P470" s="34" t="s">
        <v>1446</v>
      </c>
      <c r="Q470" s="34" t="s">
        <v>1446</v>
      </c>
      <c r="R470" s="34" t="s">
        <v>1451</v>
      </c>
      <c r="S470" s="34" t="s">
        <v>1451</v>
      </c>
      <c r="T470" s="34" t="s">
        <v>757</v>
      </c>
      <c r="U470" s="34" t="s">
        <v>757</v>
      </c>
      <c r="V470" s="37">
        <v>7.37</v>
      </c>
      <c r="W470" s="45">
        <v>1645.05</v>
      </c>
      <c r="X470" s="37">
        <v>22220.9</v>
      </c>
      <c r="Y470" s="36">
        <v>43864</v>
      </c>
      <c r="Z470" s="34" t="s">
        <v>1448</v>
      </c>
    </row>
    <row r="471" spans="1:26" x14ac:dyDescent="0.25">
      <c r="A471" s="34" t="s">
        <v>1441</v>
      </c>
      <c r="B471" s="34" t="s">
        <v>1442</v>
      </c>
      <c r="C471" s="34" t="s">
        <v>16</v>
      </c>
      <c r="D471" s="34" t="s">
        <v>15</v>
      </c>
      <c r="E471" s="35">
        <v>30041149</v>
      </c>
      <c r="F471" s="34" t="s">
        <v>765</v>
      </c>
      <c r="G471" s="39">
        <v>10074522</v>
      </c>
      <c r="H471" s="42">
        <v>30041149</v>
      </c>
      <c r="I471" s="34" t="s">
        <v>496</v>
      </c>
      <c r="J471" s="34" t="s">
        <v>1443</v>
      </c>
      <c r="K471" s="36">
        <v>42817</v>
      </c>
      <c r="L471" s="34" t="s">
        <v>1444</v>
      </c>
      <c r="M471" s="34" t="s">
        <v>1445</v>
      </c>
      <c r="N471" s="34" t="s">
        <v>717</v>
      </c>
      <c r="O471" s="34" t="s">
        <v>717</v>
      </c>
      <c r="P471" s="34" t="s">
        <v>1462</v>
      </c>
      <c r="Q471" s="34" t="s">
        <v>1462</v>
      </c>
      <c r="R471" s="34" t="s">
        <v>1478</v>
      </c>
      <c r="S471" s="34" t="s">
        <v>1478</v>
      </c>
      <c r="T471" s="34" t="s">
        <v>765</v>
      </c>
      <c r="U471" s="34" t="s">
        <v>765</v>
      </c>
      <c r="V471" s="37">
        <v>8.59</v>
      </c>
      <c r="W471" s="45">
        <v>1917.36</v>
      </c>
      <c r="X471" s="37">
        <v>22220.84</v>
      </c>
      <c r="Y471" s="36">
        <v>43864</v>
      </c>
      <c r="Z471" s="34" t="s">
        <v>1448</v>
      </c>
    </row>
    <row r="472" spans="1:26" x14ac:dyDescent="0.25">
      <c r="A472" s="34" t="s">
        <v>1441</v>
      </c>
      <c r="B472" s="34" t="s">
        <v>1442</v>
      </c>
      <c r="C472" s="34" t="s">
        <v>16</v>
      </c>
      <c r="D472" s="34" t="s">
        <v>15</v>
      </c>
      <c r="E472" s="35">
        <v>30041150</v>
      </c>
      <c r="F472" s="34" t="s">
        <v>757</v>
      </c>
      <c r="G472" s="39">
        <v>10074570</v>
      </c>
      <c r="H472" s="42">
        <v>30041150</v>
      </c>
      <c r="I472" s="34" t="s">
        <v>497</v>
      </c>
      <c r="J472" s="34" t="s">
        <v>1443</v>
      </c>
      <c r="K472" s="36">
        <v>42828</v>
      </c>
      <c r="L472" s="34" t="s">
        <v>1444</v>
      </c>
      <c r="M472" s="34" t="s">
        <v>1445</v>
      </c>
      <c r="N472" s="34" t="s">
        <v>717</v>
      </c>
      <c r="O472" s="34" t="s">
        <v>717</v>
      </c>
      <c r="P472" s="34" t="s">
        <v>1474</v>
      </c>
      <c r="Q472" s="34" t="s">
        <v>1474</v>
      </c>
      <c r="R472" s="34" t="s">
        <v>1475</v>
      </c>
      <c r="S472" s="34" t="s">
        <v>1475</v>
      </c>
      <c r="T472" s="34" t="s">
        <v>757</v>
      </c>
      <c r="U472" s="34" t="s">
        <v>757</v>
      </c>
      <c r="V472" s="37">
        <v>7.37</v>
      </c>
      <c r="W472" s="45">
        <v>1645.05</v>
      </c>
      <c r="X472" s="37">
        <v>22220.9</v>
      </c>
      <c r="Y472" s="36">
        <v>43864</v>
      </c>
      <c r="Z472" s="34" t="s">
        <v>1448</v>
      </c>
    </row>
    <row r="473" spans="1:26" x14ac:dyDescent="0.25">
      <c r="A473" s="34" t="s">
        <v>1441</v>
      </c>
      <c r="B473" s="34" t="s">
        <v>1442</v>
      </c>
      <c r="C473" s="34" t="s">
        <v>16</v>
      </c>
      <c r="D473" s="34" t="s">
        <v>15</v>
      </c>
      <c r="E473" s="35">
        <v>30041151</v>
      </c>
      <c r="F473" s="34" t="s">
        <v>765</v>
      </c>
      <c r="G473" s="39">
        <v>10074571</v>
      </c>
      <c r="H473" s="42">
        <v>30041151</v>
      </c>
      <c r="I473" s="34" t="s">
        <v>498</v>
      </c>
      <c r="J473" s="34" t="s">
        <v>1443</v>
      </c>
      <c r="K473" s="36">
        <v>42828</v>
      </c>
      <c r="L473" s="34" t="s">
        <v>1444</v>
      </c>
      <c r="M473" s="34" t="s">
        <v>1445</v>
      </c>
      <c r="N473" s="34" t="s">
        <v>717</v>
      </c>
      <c r="O473" s="34" t="s">
        <v>717</v>
      </c>
      <c r="P473" s="34" t="s">
        <v>1501</v>
      </c>
      <c r="Q473" s="34" t="s">
        <v>1501</v>
      </c>
      <c r="R473" s="34" t="s">
        <v>1502</v>
      </c>
      <c r="S473" s="34" t="s">
        <v>1502</v>
      </c>
      <c r="T473" s="34" t="s">
        <v>765</v>
      </c>
      <c r="U473" s="34" t="s">
        <v>765</v>
      </c>
      <c r="V473" s="37">
        <v>8.59</v>
      </c>
      <c r="W473" s="45">
        <v>1917.36</v>
      </c>
      <c r="X473" s="37">
        <v>22220.84</v>
      </c>
      <c r="Y473" s="36">
        <v>43864</v>
      </c>
      <c r="Z473" s="34" t="s">
        <v>1448</v>
      </c>
    </row>
    <row r="474" spans="1:26" x14ac:dyDescent="0.25">
      <c r="A474" s="34" t="s">
        <v>1441</v>
      </c>
      <c r="B474" s="34" t="s">
        <v>1442</v>
      </c>
      <c r="C474" s="34" t="s">
        <v>16</v>
      </c>
      <c r="D474" s="34" t="s">
        <v>15</v>
      </c>
      <c r="E474" s="35">
        <v>30041152</v>
      </c>
      <c r="F474" s="34" t="s">
        <v>769</v>
      </c>
      <c r="G474" s="39">
        <v>10074781</v>
      </c>
      <c r="H474" s="42">
        <v>30041152</v>
      </c>
      <c r="I474" s="34" t="s">
        <v>499</v>
      </c>
      <c r="J474" s="34" t="s">
        <v>1443</v>
      </c>
      <c r="K474" s="36">
        <v>42858</v>
      </c>
      <c r="L474" s="34" t="s">
        <v>1444</v>
      </c>
      <c r="M474" s="34" t="s">
        <v>1445</v>
      </c>
      <c r="N474" s="34" t="s">
        <v>717</v>
      </c>
      <c r="O474" s="34" t="s">
        <v>717</v>
      </c>
      <c r="P474" s="34" t="s">
        <v>1486</v>
      </c>
      <c r="Q474" s="34" t="s">
        <v>1486</v>
      </c>
      <c r="R474" s="34" t="s">
        <v>1489</v>
      </c>
      <c r="S474" s="34" t="s">
        <v>1489</v>
      </c>
      <c r="T474" s="34" t="s">
        <v>769</v>
      </c>
      <c r="U474" s="34" t="s">
        <v>769</v>
      </c>
      <c r="V474" s="37">
        <v>8.59</v>
      </c>
      <c r="W474" s="45">
        <v>1917.36</v>
      </c>
      <c r="X474" s="37">
        <v>22220.84</v>
      </c>
      <c r="Y474" s="36">
        <v>43864</v>
      </c>
      <c r="Z474" s="34" t="s">
        <v>1448</v>
      </c>
    </row>
    <row r="475" spans="1:26" x14ac:dyDescent="0.25">
      <c r="A475" s="34" t="s">
        <v>1441</v>
      </c>
      <c r="B475" s="34" t="s">
        <v>1442</v>
      </c>
      <c r="C475" s="34" t="s">
        <v>6</v>
      </c>
      <c r="D475" s="34" t="s">
        <v>15</v>
      </c>
      <c r="E475" s="35">
        <v>30041153</v>
      </c>
      <c r="F475" s="34" t="s">
        <v>766</v>
      </c>
      <c r="G475" s="39">
        <v>10074785</v>
      </c>
      <c r="H475" s="42">
        <v>30041153</v>
      </c>
      <c r="I475" s="34" t="s">
        <v>500</v>
      </c>
      <c r="J475" s="34" t="s">
        <v>1443</v>
      </c>
      <c r="K475" s="36">
        <v>42858</v>
      </c>
      <c r="L475" s="34" t="s">
        <v>1444</v>
      </c>
      <c r="M475" s="34" t="s">
        <v>1445</v>
      </c>
      <c r="N475" s="34" t="s">
        <v>717</v>
      </c>
      <c r="O475" s="34" t="s">
        <v>717</v>
      </c>
      <c r="P475" s="34" t="s">
        <v>1460</v>
      </c>
      <c r="Q475" s="34" t="s">
        <v>1460</v>
      </c>
      <c r="R475" s="34" t="s">
        <v>1461</v>
      </c>
      <c r="S475" s="34" t="s">
        <v>1461</v>
      </c>
      <c r="T475" s="34" t="s">
        <v>766</v>
      </c>
      <c r="U475" s="34" t="s">
        <v>766</v>
      </c>
      <c r="V475" s="37">
        <v>8.26</v>
      </c>
      <c r="W475" s="45">
        <v>1843.7</v>
      </c>
      <c r="X475" s="37">
        <v>22220.82</v>
      </c>
      <c r="Y475" s="36">
        <v>43864</v>
      </c>
      <c r="Z475" s="34" t="s">
        <v>1448</v>
      </c>
    </row>
    <row r="476" spans="1:26" x14ac:dyDescent="0.25">
      <c r="A476" s="34" t="s">
        <v>1441</v>
      </c>
      <c r="B476" s="34" t="s">
        <v>1442</v>
      </c>
      <c r="C476" s="34" t="s">
        <v>6</v>
      </c>
      <c r="D476" s="34" t="s">
        <v>15</v>
      </c>
      <c r="E476" s="35">
        <v>30041154</v>
      </c>
      <c r="F476" s="34" t="s">
        <v>773</v>
      </c>
      <c r="G476" s="39">
        <v>10074809</v>
      </c>
      <c r="H476" s="42">
        <v>30041154</v>
      </c>
      <c r="I476" s="34" t="s">
        <v>501</v>
      </c>
      <c r="J476" s="34" t="s">
        <v>1443</v>
      </c>
      <c r="K476" s="36">
        <v>42863</v>
      </c>
      <c r="L476" s="34" t="s">
        <v>1444</v>
      </c>
      <c r="M476" s="34" t="s">
        <v>1445</v>
      </c>
      <c r="N476" s="34" t="s">
        <v>717</v>
      </c>
      <c r="O476" s="34" t="s">
        <v>717</v>
      </c>
      <c r="P476" s="34" t="s">
        <v>1509</v>
      </c>
      <c r="Q476" s="34" t="s">
        <v>1509</v>
      </c>
      <c r="R476" s="34" t="s">
        <v>1510</v>
      </c>
      <c r="S476" s="34" t="s">
        <v>1510</v>
      </c>
      <c r="T476" s="34" t="s">
        <v>773</v>
      </c>
      <c r="U476" s="34" t="s">
        <v>773</v>
      </c>
      <c r="V476" s="37">
        <v>8.91</v>
      </c>
      <c r="W476" s="45">
        <v>1988.79</v>
      </c>
      <c r="X476" s="37">
        <v>22220.880000000001</v>
      </c>
      <c r="Y476" s="36">
        <v>43864</v>
      </c>
      <c r="Z476" s="34" t="s">
        <v>1448</v>
      </c>
    </row>
    <row r="477" spans="1:26" x14ac:dyDescent="0.25">
      <c r="A477" s="34" t="s">
        <v>1441</v>
      </c>
      <c r="B477" s="34" t="s">
        <v>1442</v>
      </c>
      <c r="C477" s="34" t="s">
        <v>16</v>
      </c>
      <c r="D477" s="34" t="s">
        <v>15</v>
      </c>
      <c r="E477" s="35">
        <v>30041155</v>
      </c>
      <c r="F477" s="34" t="s">
        <v>765</v>
      </c>
      <c r="G477" s="39">
        <v>10075003</v>
      </c>
      <c r="H477" s="42">
        <v>30041155</v>
      </c>
      <c r="I477" s="34" t="s">
        <v>502</v>
      </c>
      <c r="J477" s="34" t="s">
        <v>1443</v>
      </c>
      <c r="K477" s="36">
        <v>42887</v>
      </c>
      <c r="L477" s="34" t="s">
        <v>1444</v>
      </c>
      <c r="M477" s="34" t="s">
        <v>1445</v>
      </c>
      <c r="N477" s="34" t="s">
        <v>717</v>
      </c>
      <c r="O477" s="34" t="s">
        <v>717</v>
      </c>
      <c r="P477" s="34" t="s">
        <v>1497</v>
      </c>
      <c r="Q477" s="34" t="s">
        <v>1497</v>
      </c>
      <c r="R477" s="34" t="s">
        <v>1498</v>
      </c>
      <c r="S477" s="34" t="s">
        <v>1498</v>
      </c>
      <c r="T477" s="34" t="s">
        <v>765</v>
      </c>
      <c r="U477" s="34" t="s">
        <v>765</v>
      </c>
      <c r="V477" s="37">
        <v>8.59</v>
      </c>
      <c r="W477" s="45">
        <v>1917.36</v>
      </c>
      <c r="X477" s="37">
        <v>22220.84</v>
      </c>
      <c r="Y477" s="36">
        <v>43864</v>
      </c>
      <c r="Z477" s="34" t="s">
        <v>1448</v>
      </c>
    </row>
    <row r="478" spans="1:26" x14ac:dyDescent="0.25">
      <c r="A478" s="34" t="s">
        <v>1441</v>
      </c>
      <c r="B478" s="34" t="s">
        <v>1442</v>
      </c>
      <c r="C478" s="34" t="s">
        <v>16</v>
      </c>
      <c r="D478" s="34" t="s">
        <v>15</v>
      </c>
      <c r="E478" s="35">
        <v>30041156</v>
      </c>
      <c r="F478" s="34" t="s">
        <v>765</v>
      </c>
      <c r="G478" s="39">
        <v>10075024</v>
      </c>
      <c r="H478" s="42">
        <v>30041156</v>
      </c>
      <c r="I478" s="34" t="s">
        <v>503</v>
      </c>
      <c r="J478" s="34" t="s">
        <v>1443</v>
      </c>
      <c r="K478" s="36">
        <v>42887</v>
      </c>
      <c r="L478" s="34" t="s">
        <v>1444</v>
      </c>
      <c r="M478" s="34" t="s">
        <v>1445</v>
      </c>
      <c r="N478" s="34" t="s">
        <v>717</v>
      </c>
      <c r="O478" s="34" t="s">
        <v>717</v>
      </c>
      <c r="P478" s="34" t="s">
        <v>1462</v>
      </c>
      <c r="Q478" s="34" t="s">
        <v>1462</v>
      </c>
      <c r="R478" s="34" t="s">
        <v>1478</v>
      </c>
      <c r="S478" s="34" t="s">
        <v>1478</v>
      </c>
      <c r="T478" s="34" t="s">
        <v>765</v>
      </c>
      <c r="U478" s="34" t="s">
        <v>765</v>
      </c>
      <c r="V478" s="37">
        <v>8.59</v>
      </c>
      <c r="W478" s="45">
        <v>1917.36</v>
      </c>
      <c r="X478" s="37">
        <v>22220.84</v>
      </c>
      <c r="Y478" s="36">
        <v>43864</v>
      </c>
      <c r="Z478" s="34" t="s">
        <v>1448</v>
      </c>
    </row>
    <row r="479" spans="1:26" x14ac:dyDescent="0.25">
      <c r="A479" s="34" t="s">
        <v>1441</v>
      </c>
      <c r="B479" s="34" t="s">
        <v>1442</v>
      </c>
      <c r="C479" s="34" t="s">
        <v>16</v>
      </c>
      <c r="D479" s="34" t="s">
        <v>15</v>
      </c>
      <c r="E479" s="35">
        <v>30041157</v>
      </c>
      <c r="F479" s="34" t="s">
        <v>757</v>
      </c>
      <c r="G479" s="39">
        <v>10075156</v>
      </c>
      <c r="H479" s="42">
        <v>30041157</v>
      </c>
      <c r="I479" s="34" t="s">
        <v>504</v>
      </c>
      <c r="J479" s="34" t="s">
        <v>1443</v>
      </c>
      <c r="K479" s="36">
        <v>42905</v>
      </c>
      <c r="L479" s="34" t="s">
        <v>1444</v>
      </c>
      <c r="M479" s="34" t="s">
        <v>1445</v>
      </c>
      <c r="N479" s="34" t="s">
        <v>717</v>
      </c>
      <c r="O479" s="34" t="s">
        <v>717</v>
      </c>
      <c r="P479" s="34" t="s">
        <v>1466</v>
      </c>
      <c r="Q479" s="34" t="s">
        <v>1466</v>
      </c>
      <c r="R479" s="34" t="s">
        <v>1467</v>
      </c>
      <c r="S479" s="34" t="s">
        <v>1467</v>
      </c>
      <c r="T479" s="34" t="s">
        <v>757</v>
      </c>
      <c r="U479" s="34" t="s">
        <v>757</v>
      </c>
      <c r="V479" s="37">
        <v>7.37</v>
      </c>
      <c r="W479" s="45">
        <v>1645.05</v>
      </c>
      <c r="X479" s="37">
        <v>22220.9</v>
      </c>
      <c r="Y479" s="36">
        <v>43864</v>
      </c>
      <c r="Z479" s="34" t="s">
        <v>1448</v>
      </c>
    </row>
    <row r="480" spans="1:26" x14ac:dyDescent="0.25">
      <c r="A480" s="34" t="s">
        <v>1441</v>
      </c>
      <c r="B480" s="34" t="s">
        <v>1442</v>
      </c>
      <c r="C480" s="34" t="s">
        <v>16</v>
      </c>
      <c r="D480" s="34" t="s">
        <v>15</v>
      </c>
      <c r="E480" s="35">
        <v>30041158</v>
      </c>
      <c r="F480" s="34" t="s">
        <v>772</v>
      </c>
      <c r="G480" s="39">
        <v>10075292</v>
      </c>
      <c r="H480" s="42">
        <v>30041158</v>
      </c>
      <c r="I480" s="34" t="s">
        <v>505</v>
      </c>
      <c r="J480" s="34" t="s">
        <v>1443</v>
      </c>
      <c r="K480" s="36">
        <v>42920</v>
      </c>
      <c r="L480" s="34" t="s">
        <v>1444</v>
      </c>
      <c r="M480" s="34" t="s">
        <v>1445</v>
      </c>
      <c r="N480" s="34" t="s">
        <v>717</v>
      </c>
      <c r="O480" s="34" t="s">
        <v>717</v>
      </c>
      <c r="P480" s="34" t="s">
        <v>1446</v>
      </c>
      <c r="Q480" s="34" t="s">
        <v>1446</v>
      </c>
      <c r="R480" s="34" t="s">
        <v>1451</v>
      </c>
      <c r="S480" s="34" t="s">
        <v>1451</v>
      </c>
      <c r="T480" s="34" t="s">
        <v>772</v>
      </c>
      <c r="U480" s="34" t="s">
        <v>772</v>
      </c>
      <c r="V480" s="37">
        <v>8.59</v>
      </c>
      <c r="W480" s="45">
        <v>1917.36</v>
      </c>
      <c r="X480" s="37">
        <v>22220.84</v>
      </c>
      <c r="Y480" s="36">
        <v>43864</v>
      </c>
      <c r="Z480" s="34" t="s">
        <v>1448</v>
      </c>
    </row>
    <row r="481" spans="1:26" x14ac:dyDescent="0.25">
      <c r="A481" s="34" t="s">
        <v>1441</v>
      </c>
      <c r="B481" s="34" t="s">
        <v>1442</v>
      </c>
      <c r="C481" s="34" t="s">
        <v>6</v>
      </c>
      <c r="D481" s="34" t="s">
        <v>15</v>
      </c>
      <c r="E481" s="35">
        <v>30041159</v>
      </c>
      <c r="F481" s="34" t="s">
        <v>766</v>
      </c>
      <c r="G481" s="39">
        <v>10075411</v>
      </c>
      <c r="H481" s="42">
        <v>30041159</v>
      </c>
      <c r="I481" s="34" t="s">
        <v>54</v>
      </c>
      <c r="J481" s="34" t="s">
        <v>1443</v>
      </c>
      <c r="K481" s="36">
        <v>42949</v>
      </c>
      <c r="L481" s="34" t="s">
        <v>1444</v>
      </c>
      <c r="M481" s="34" t="s">
        <v>1445</v>
      </c>
      <c r="N481" s="34" t="s">
        <v>717</v>
      </c>
      <c r="O481" s="34" t="s">
        <v>717</v>
      </c>
      <c r="P481" s="34" t="s">
        <v>1460</v>
      </c>
      <c r="Q481" s="34" t="s">
        <v>1460</v>
      </c>
      <c r="R481" s="34" t="s">
        <v>1506</v>
      </c>
      <c r="S481" s="34" t="s">
        <v>1506</v>
      </c>
      <c r="T481" s="34" t="s">
        <v>766</v>
      </c>
      <c r="U481" s="34" t="s">
        <v>766</v>
      </c>
      <c r="V481" s="37">
        <v>8.26</v>
      </c>
      <c r="W481" s="45">
        <v>1843.7</v>
      </c>
      <c r="X481" s="37">
        <v>22220.82</v>
      </c>
      <c r="Y481" s="36">
        <v>43864</v>
      </c>
      <c r="Z481" s="34" t="s">
        <v>1448</v>
      </c>
    </row>
    <row r="482" spans="1:26" x14ac:dyDescent="0.25">
      <c r="A482" s="34" t="s">
        <v>1441</v>
      </c>
      <c r="B482" s="34" t="s">
        <v>1442</v>
      </c>
      <c r="C482" s="34" t="s">
        <v>16</v>
      </c>
      <c r="D482" s="34" t="s">
        <v>15</v>
      </c>
      <c r="E482" s="35">
        <v>30041160</v>
      </c>
      <c r="F482" s="34" t="s">
        <v>765</v>
      </c>
      <c r="G482" s="39">
        <v>10075420</v>
      </c>
      <c r="H482" s="42">
        <v>30041160</v>
      </c>
      <c r="I482" s="34" t="s">
        <v>506</v>
      </c>
      <c r="J482" s="34" t="s">
        <v>1443</v>
      </c>
      <c r="K482" s="36">
        <v>42949</v>
      </c>
      <c r="L482" s="34" t="s">
        <v>1444</v>
      </c>
      <c r="M482" s="34" t="s">
        <v>1445</v>
      </c>
      <c r="N482" s="34" t="s">
        <v>717</v>
      </c>
      <c r="O482" s="34" t="s">
        <v>717</v>
      </c>
      <c r="P482" s="34" t="s">
        <v>1497</v>
      </c>
      <c r="Q482" s="34" t="s">
        <v>1497</v>
      </c>
      <c r="R482" s="34" t="s">
        <v>1498</v>
      </c>
      <c r="S482" s="34" t="s">
        <v>1498</v>
      </c>
      <c r="T482" s="34" t="s">
        <v>765</v>
      </c>
      <c r="U482" s="34" t="s">
        <v>765</v>
      </c>
      <c r="V482" s="37">
        <v>8.59</v>
      </c>
      <c r="W482" s="45">
        <v>1917.36</v>
      </c>
      <c r="X482" s="37">
        <v>22220.84</v>
      </c>
      <c r="Y482" s="36">
        <v>43864</v>
      </c>
      <c r="Z482" s="34" t="s">
        <v>1448</v>
      </c>
    </row>
    <row r="483" spans="1:26" x14ac:dyDescent="0.25">
      <c r="A483" s="34" t="s">
        <v>1441</v>
      </c>
      <c r="B483" s="34" t="s">
        <v>1442</v>
      </c>
      <c r="C483" s="34" t="s">
        <v>16</v>
      </c>
      <c r="D483" s="34" t="s">
        <v>15</v>
      </c>
      <c r="E483" s="35">
        <v>30041161</v>
      </c>
      <c r="F483" s="34" t="s">
        <v>768</v>
      </c>
      <c r="G483" s="39">
        <v>10075525</v>
      </c>
      <c r="H483" s="42">
        <v>30041161</v>
      </c>
      <c r="I483" s="34" t="s">
        <v>507</v>
      </c>
      <c r="J483" s="34" t="s">
        <v>1443</v>
      </c>
      <c r="K483" s="36">
        <v>42963</v>
      </c>
      <c r="L483" s="34" t="s">
        <v>1444</v>
      </c>
      <c r="M483" s="34" t="s">
        <v>1445</v>
      </c>
      <c r="N483" s="34" t="s">
        <v>717</v>
      </c>
      <c r="O483" s="34" t="s">
        <v>717</v>
      </c>
      <c r="P483" s="34" t="s">
        <v>1462</v>
      </c>
      <c r="Q483" s="34" t="s">
        <v>1462</v>
      </c>
      <c r="R483" s="34" t="s">
        <v>1478</v>
      </c>
      <c r="S483" s="34" t="s">
        <v>1478</v>
      </c>
      <c r="T483" s="34" t="s">
        <v>768</v>
      </c>
      <c r="U483" s="34" t="s">
        <v>768</v>
      </c>
      <c r="V483" s="37">
        <v>8.66</v>
      </c>
      <c r="W483" s="45">
        <v>1932.98</v>
      </c>
      <c r="X483" s="37">
        <v>22220.79</v>
      </c>
      <c r="Y483" s="36">
        <v>43864</v>
      </c>
      <c r="Z483" s="34" t="s">
        <v>1448</v>
      </c>
    </row>
    <row r="484" spans="1:26" x14ac:dyDescent="0.25">
      <c r="A484" s="34" t="s">
        <v>1441</v>
      </c>
      <c r="B484" s="34" t="s">
        <v>1442</v>
      </c>
      <c r="C484" s="34" t="s">
        <v>16</v>
      </c>
      <c r="D484" s="34" t="s">
        <v>15</v>
      </c>
      <c r="E484" s="35">
        <v>30041162</v>
      </c>
      <c r="F484" s="34" t="s">
        <v>769</v>
      </c>
      <c r="G484" s="39">
        <v>10075728</v>
      </c>
      <c r="H484" s="42">
        <v>30041162</v>
      </c>
      <c r="I484" s="34" t="s">
        <v>508</v>
      </c>
      <c r="J484" s="34" t="s">
        <v>1443</v>
      </c>
      <c r="K484" s="36">
        <v>42996</v>
      </c>
      <c r="L484" s="34" t="s">
        <v>1444</v>
      </c>
      <c r="M484" s="34" t="s">
        <v>1445</v>
      </c>
      <c r="N484" s="34" t="s">
        <v>717</v>
      </c>
      <c r="O484" s="34" t="s">
        <v>717</v>
      </c>
      <c r="P484" s="34" t="s">
        <v>1486</v>
      </c>
      <c r="Q484" s="34" t="s">
        <v>1486</v>
      </c>
      <c r="R484" s="34" t="s">
        <v>1487</v>
      </c>
      <c r="S484" s="34" t="s">
        <v>1487</v>
      </c>
      <c r="T484" s="34" t="s">
        <v>769</v>
      </c>
      <c r="U484" s="34" t="s">
        <v>769</v>
      </c>
      <c r="V484" s="37">
        <v>8.59</v>
      </c>
      <c r="W484" s="45">
        <v>1917.36</v>
      </c>
      <c r="X484" s="37">
        <v>22220.84</v>
      </c>
      <c r="Y484" s="36">
        <v>43864</v>
      </c>
      <c r="Z484" s="34" t="s">
        <v>1448</v>
      </c>
    </row>
    <row r="485" spans="1:26" x14ac:dyDescent="0.25">
      <c r="A485" s="34" t="s">
        <v>1441</v>
      </c>
      <c r="B485" s="34" t="s">
        <v>1442</v>
      </c>
      <c r="C485" s="34" t="s">
        <v>16</v>
      </c>
      <c r="D485" s="34" t="s">
        <v>15</v>
      </c>
      <c r="E485" s="35">
        <v>30041163</v>
      </c>
      <c r="F485" s="34" t="s">
        <v>765</v>
      </c>
      <c r="G485" s="39">
        <v>10075771</v>
      </c>
      <c r="H485" s="42">
        <v>30041163</v>
      </c>
      <c r="I485" s="34" t="s">
        <v>509</v>
      </c>
      <c r="J485" s="34" t="s">
        <v>1443</v>
      </c>
      <c r="K485" s="36">
        <v>43010</v>
      </c>
      <c r="L485" s="34" t="s">
        <v>1444</v>
      </c>
      <c r="M485" s="34" t="s">
        <v>1445</v>
      </c>
      <c r="N485" s="34" t="s">
        <v>717</v>
      </c>
      <c r="O485" s="34" t="s">
        <v>717</v>
      </c>
      <c r="P485" s="34" t="s">
        <v>1462</v>
      </c>
      <c r="Q485" s="34" t="s">
        <v>1462</v>
      </c>
      <c r="R485" s="34" t="s">
        <v>1478</v>
      </c>
      <c r="S485" s="34" t="s">
        <v>1478</v>
      </c>
      <c r="T485" s="34" t="s">
        <v>765</v>
      </c>
      <c r="U485" s="34" t="s">
        <v>765</v>
      </c>
      <c r="V485" s="37">
        <v>8.58</v>
      </c>
      <c r="W485" s="45">
        <v>1915.13</v>
      </c>
      <c r="X485" s="37">
        <v>22220.86</v>
      </c>
      <c r="Y485" s="36">
        <v>43864</v>
      </c>
      <c r="Z485" s="34" t="s">
        <v>1448</v>
      </c>
    </row>
    <row r="486" spans="1:26" x14ac:dyDescent="0.25">
      <c r="A486" s="34" t="s">
        <v>1441</v>
      </c>
      <c r="B486" s="34" t="s">
        <v>1442</v>
      </c>
      <c r="C486" s="34" t="s">
        <v>16</v>
      </c>
      <c r="D486" s="34" t="s">
        <v>15</v>
      </c>
      <c r="E486" s="35">
        <v>30041164</v>
      </c>
      <c r="F486" s="34" t="s">
        <v>765</v>
      </c>
      <c r="G486" s="39">
        <v>10075777</v>
      </c>
      <c r="H486" s="42">
        <v>30041164</v>
      </c>
      <c r="I486" s="34" t="s">
        <v>510</v>
      </c>
      <c r="J486" s="34" t="s">
        <v>1443</v>
      </c>
      <c r="K486" s="36">
        <v>43010</v>
      </c>
      <c r="L486" s="34" t="s">
        <v>1444</v>
      </c>
      <c r="M486" s="34" t="s">
        <v>1445</v>
      </c>
      <c r="N486" s="34" t="s">
        <v>717</v>
      </c>
      <c r="O486" s="34" t="s">
        <v>717</v>
      </c>
      <c r="P486" s="34" t="s">
        <v>1507</v>
      </c>
      <c r="Q486" s="34" t="s">
        <v>1507</v>
      </c>
      <c r="R486" s="34" t="s">
        <v>1508</v>
      </c>
      <c r="S486" s="34" t="s">
        <v>1508</v>
      </c>
      <c r="T486" s="34" t="s">
        <v>765</v>
      </c>
      <c r="U486" s="34" t="s">
        <v>765</v>
      </c>
      <c r="V486" s="37">
        <v>8.58</v>
      </c>
      <c r="W486" s="45">
        <v>1915.13</v>
      </c>
      <c r="X486" s="37">
        <v>22220.86</v>
      </c>
      <c r="Y486" s="36">
        <v>43864</v>
      </c>
      <c r="Z486" s="34" t="s">
        <v>1448</v>
      </c>
    </row>
    <row r="487" spans="1:26" x14ac:dyDescent="0.25">
      <c r="A487" s="34" t="s">
        <v>1441</v>
      </c>
      <c r="B487" s="34" t="s">
        <v>1442</v>
      </c>
      <c r="C487" s="34" t="s">
        <v>16</v>
      </c>
      <c r="D487" s="34" t="s">
        <v>15</v>
      </c>
      <c r="E487" s="35">
        <v>30041165</v>
      </c>
      <c r="F487" s="34" t="s">
        <v>765</v>
      </c>
      <c r="G487" s="39">
        <v>10075782</v>
      </c>
      <c r="H487" s="42">
        <v>30041165</v>
      </c>
      <c r="I487" s="34" t="s">
        <v>511</v>
      </c>
      <c r="J487" s="34" t="s">
        <v>1443</v>
      </c>
      <c r="K487" s="36">
        <v>43010</v>
      </c>
      <c r="L487" s="34" t="s">
        <v>1444</v>
      </c>
      <c r="M487" s="34" t="s">
        <v>1445</v>
      </c>
      <c r="N487" s="34" t="s">
        <v>717</v>
      </c>
      <c r="O487" s="34" t="s">
        <v>717</v>
      </c>
      <c r="P487" s="34" t="s">
        <v>1507</v>
      </c>
      <c r="Q487" s="34" t="s">
        <v>1507</v>
      </c>
      <c r="R487" s="34" t="s">
        <v>1508</v>
      </c>
      <c r="S487" s="34" t="s">
        <v>1508</v>
      </c>
      <c r="T487" s="34" t="s">
        <v>765</v>
      </c>
      <c r="U487" s="34" t="s">
        <v>765</v>
      </c>
      <c r="V487" s="37">
        <v>8.59</v>
      </c>
      <c r="W487" s="45">
        <v>1917.36</v>
      </c>
      <c r="X487" s="37">
        <v>22220.84</v>
      </c>
      <c r="Y487" s="36">
        <v>43864</v>
      </c>
      <c r="Z487" s="34" t="s">
        <v>1448</v>
      </c>
    </row>
    <row r="488" spans="1:26" x14ac:dyDescent="0.25">
      <c r="A488" s="34" t="s">
        <v>1441</v>
      </c>
      <c r="B488" s="34" t="s">
        <v>1442</v>
      </c>
      <c r="C488" s="34" t="s">
        <v>16</v>
      </c>
      <c r="D488" s="34" t="s">
        <v>15</v>
      </c>
      <c r="E488" s="35">
        <v>30041166</v>
      </c>
      <c r="F488" s="34" t="s">
        <v>774</v>
      </c>
      <c r="G488" s="39">
        <v>10075847</v>
      </c>
      <c r="H488" s="42">
        <v>30041166</v>
      </c>
      <c r="I488" s="34" t="s">
        <v>512</v>
      </c>
      <c r="J488" s="34" t="s">
        <v>1443</v>
      </c>
      <c r="K488" s="36">
        <v>43025</v>
      </c>
      <c r="L488" s="34" t="s">
        <v>1444</v>
      </c>
      <c r="M488" s="34" t="s">
        <v>1445</v>
      </c>
      <c r="N488" s="34" t="s">
        <v>717</v>
      </c>
      <c r="O488" s="34" t="s">
        <v>717</v>
      </c>
      <c r="P488" s="34" t="s">
        <v>1446</v>
      </c>
      <c r="Q488" s="34" t="s">
        <v>1446</v>
      </c>
      <c r="R488" s="34" t="s">
        <v>1451</v>
      </c>
      <c r="S488" s="34" t="s">
        <v>1451</v>
      </c>
      <c r="T488" s="34" t="s">
        <v>774</v>
      </c>
      <c r="U488" s="34" t="s">
        <v>774</v>
      </c>
      <c r="V488" s="37">
        <v>10.45</v>
      </c>
      <c r="W488" s="45">
        <v>2332.5300000000002</v>
      </c>
      <c r="X488" s="37">
        <v>22220.86</v>
      </c>
      <c r="Y488" s="36">
        <v>43864</v>
      </c>
      <c r="Z488" s="34" t="s">
        <v>1448</v>
      </c>
    </row>
    <row r="489" spans="1:26" x14ac:dyDescent="0.25">
      <c r="A489" s="34" t="s">
        <v>1441</v>
      </c>
      <c r="B489" s="34" t="s">
        <v>1442</v>
      </c>
      <c r="C489" s="34" t="s">
        <v>16</v>
      </c>
      <c r="D489" s="34" t="s">
        <v>15</v>
      </c>
      <c r="E489" s="35">
        <v>30041167</v>
      </c>
      <c r="F489" s="34" t="s">
        <v>769</v>
      </c>
      <c r="G489" s="39">
        <v>10075863</v>
      </c>
      <c r="H489" s="42">
        <v>30041167</v>
      </c>
      <c r="I489" s="34" t="s">
        <v>513</v>
      </c>
      <c r="J489" s="34" t="s">
        <v>1443</v>
      </c>
      <c r="K489" s="36">
        <v>43025</v>
      </c>
      <c r="L489" s="34" t="s">
        <v>1444</v>
      </c>
      <c r="M489" s="34" t="s">
        <v>1445</v>
      </c>
      <c r="N489" s="34" t="s">
        <v>717</v>
      </c>
      <c r="O489" s="34" t="s">
        <v>717</v>
      </c>
      <c r="P489" s="34" t="s">
        <v>1486</v>
      </c>
      <c r="Q489" s="34" t="s">
        <v>1486</v>
      </c>
      <c r="R489" s="34" t="s">
        <v>1488</v>
      </c>
      <c r="S489" s="34" t="s">
        <v>1488</v>
      </c>
      <c r="T489" s="34" t="s">
        <v>769</v>
      </c>
      <c r="U489" s="34" t="s">
        <v>769</v>
      </c>
      <c r="V489" s="37">
        <v>8.59</v>
      </c>
      <c r="W489" s="45">
        <v>1917.36</v>
      </c>
      <c r="X489" s="37">
        <v>22220.84</v>
      </c>
      <c r="Y489" s="36">
        <v>43864</v>
      </c>
      <c r="Z489" s="34" t="s">
        <v>1448</v>
      </c>
    </row>
    <row r="490" spans="1:26" x14ac:dyDescent="0.25">
      <c r="A490" s="34" t="s">
        <v>1441</v>
      </c>
      <c r="B490" s="34" t="s">
        <v>1442</v>
      </c>
      <c r="C490" s="34" t="s">
        <v>16</v>
      </c>
      <c r="D490" s="34" t="s">
        <v>15</v>
      </c>
      <c r="E490" s="35">
        <v>30041168</v>
      </c>
      <c r="F490" s="34" t="s">
        <v>757</v>
      </c>
      <c r="G490" s="39">
        <v>10075864</v>
      </c>
      <c r="H490" s="42">
        <v>30041168</v>
      </c>
      <c r="I490" s="34" t="s">
        <v>514</v>
      </c>
      <c r="J490" s="34" t="s">
        <v>1443</v>
      </c>
      <c r="K490" s="36">
        <v>43025</v>
      </c>
      <c r="L490" s="34" t="s">
        <v>1444</v>
      </c>
      <c r="M490" s="34" t="s">
        <v>1445</v>
      </c>
      <c r="N490" s="34" t="s">
        <v>717</v>
      </c>
      <c r="O490" s="34" t="s">
        <v>717</v>
      </c>
      <c r="P490" s="34" t="s">
        <v>1474</v>
      </c>
      <c r="Q490" s="34" t="s">
        <v>1474</v>
      </c>
      <c r="R490" s="34" t="s">
        <v>1485</v>
      </c>
      <c r="S490" s="34" t="s">
        <v>1485</v>
      </c>
      <c r="T490" s="34" t="s">
        <v>757</v>
      </c>
      <c r="U490" s="34" t="s">
        <v>757</v>
      </c>
      <c r="V490" s="37">
        <v>9.01</v>
      </c>
      <c r="W490" s="45">
        <v>9.01</v>
      </c>
      <c r="X490" s="37">
        <v>0</v>
      </c>
      <c r="Y490" s="36">
        <v>43864</v>
      </c>
      <c r="Z490" s="34" t="s">
        <v>1448</v>
      </c>
    </row>
    <row r="491" spans="1:26" x14ac:dyDescent="0.25">
      <c r="A491" s="34" t="s">
        <v>1441</v>
      </c>
      <c r="B491" s="34" t="s">
        <v>1442</v>
      </c>
      <c r="C491" s="34" t="s">
        <v>16</v>
      </c>
      <c r="D491" s="34" t="s">
        <v>15</v>
      </c>
      <c r="E491" s="35">
        <v>30041169</v>
      </c>
      <c r="F491" s="34" t="s">
        <v>759</v>
      </c>
      <c r="G491" s="39">
        <v>10075870</v>
      </c>
      <c r="H491" s="42">
        <v>30041169</v>
      </c>
      <c r="I491" s="34" t="s">
        <v>515</v>
      </c>
      <c r="J491" s="34" t="s">
        <v>1443</v>
      </c>
      <c r="K491" s="36">
        <v>43025</v>
      </c>
      <c r="L491" s="34" t="s">
        <v>1444</v>
      </c>
      <c r="M491" s="34" t="s">
        <v>1445</v>
      </c>
      <c r="N491" s="34" t="s">
        <v>717</v>
      </c>
      <c r="O491" s="34" t="s">
        <v>717</v>
      </c>
      <c r="P491" s="34" t="s">
        <v>1466</v>
      </c>
      <c r="Q491" s="34" t="s">
        <v>1466</v>
      </c>
      <c r="R491" s="34" t="s">
        <v>1467</v>
      </c>
      <c r="S491" s="34" t="s">
        <v>1467</v>
      </c>
      <c r="T491" s="34" t="s">
        <v>759</v>
      </c>
      <c r="U491" s="34" t="s">
        <v>759</v>
      </c>
      <c r="V491" s="37">
        <v>9.4499999999999993</v>
      </c>
      <c r="W491" s="45">
        <v>2109.3200000000002</v>
      </c>
      <c r="X491" s="37">
        <v>22220.85</v>
      </c>
      <c r="Y491" s="36">
        <v>43864</v>
      </c>
      <c r="Z491" s="34" t="s">
        <v>1448</v>
      </c>
    </row>
    <row r="492" spans="1:26" x14ac:dyDescent="0.25">
      <c r="A492" s="34" t="s">
        <v>1441</v>
      </c>
      <c r="B492" s="34" t="s">
        <v>1442</v>
      </c>
      <c r="C492" s="34" t="s">
        <v>16</v>
      </c>
      <c r="D492" s="34" t="s">
        <v>15</v>
      </c>
      <c r="E492" s="35">
        <v>30041170</v>
      </c>
      <c r="F492" s="34" t="s">
        <v>771</v>
      </c>
      <c r="G492" s="39">
        <v>10075871</v>
      </c>
      <c r="H492" s="42">
        <v>30041170</v>
      </c>
      <c r="I492" s="34" t="s">
        <v>516</v>
      </c>
      <c r="J492" s="34" t="s">
        <v>1443</v>
      </c>
      <c r="K492" s="36">
        <v>43025</v>
      </c>
      <c r="L492" s="34" t="s">
        <v>1444</v>
      </c>
      <c r="M492" s="34" t="s">
        <v>1445</v>
      </c>
      <c r="N492" s="34" t="s">
        <v>717</v>
      </c>
      <c r="O492" s="34" t="s">
        <v>717</v>
      </c>
      <c r="P492" s="34" t="s">
        <v>1466</v>
      </c>
      <c r="Q492" s="34" t="s">
        <v>1466</v>
      </c>
      <c r="R492" s="34" t="s">
        <v>1467</v>
      </c>
      <c r="S492" s="34" t="s">
        <v>1467</v>
      </c>
      <c r="T492" s="34" t="s">
        <v>771</v>
      </c>
      <c r="U492" s="34" t="s">
        <v>771</v>
      </c>
      <c r="V492" s="37">
        <v>8.59</v>
      </c>
      <c r="W492" s="45">
        <v>1917.36</v>
      </c>
      <c r="X492" s="37">
        <v>22220.84</v>
      </c>
      <c r="Y492" s="36">
        <v>43864</v>
      </c>
      <c r="Z492" s="34" t="s">
        <v>1448</v>
      </c>
    </row>
    <row r="493" spans="1:26" x14ac:dyDescent="0.25">
      <c r="A493" s="34" t="s">
        <v>1441</v>
      </c>
      <c r="B493" s="34" t="s">
        <v>1442</v>
      </c>
      <c r="C493" s="34" t="s">
        <v>6</v>
      </c>
      <c r="D493" s="34" t="s">
        <v>15</v>
      </c>
      <c r="E493" s="35">
        <v>30041171</v>
      </c>
      <c r="F493" s="34" t="s">
        <v>766</v>
      </c>
      <c r="G493" s="39">
        <v>10075872</v>
      </c>
      <c r="H493" s="42">
        <v>30041171</v>
      </c>
      <c r="I493" s="34" t="s">
        <v>517</v>
      </c>
      <c r="J493" s="34" t="s">
        <v>1443</v>
      </c>
      <c r="K493" s="36">
        <v>43025</v>
      </c>
      <c r="L493" s="34" t="s">
        <v>1444</v>
      </c>
      <c r="M493" s="34" t="s">
        <v>1445</v>
      </c>
      <c r="N493" s="34" t="s">
        <v>717</v>
      </c>
      <c r="O493" s="34" t="s">
        <v>717</v>
      </c>
      <c r="P493" s="34" t="s">
        <v>1460</v>
      </c>
      <c r="Q493" s="34" t="s">
        <v>1460</v>
      </c>
      <c r="R493" s="34" t="s">
        <v>1461</v>
      </c>
      <c r="S493" s="34" t="s">
        <v>1461</v>
      </c>
      <c r="T493" s="34" t="s">
        <v>766</v>
      </c>
      <c r="U493" s="34" t="s">
        <v>766</v>
      </c>
      <c r="V493" s="37">
        <v>8.26</v>
      </c>
      <c r="W493" s="45">
        <v>1843.7</v>
      </c>
      <c r="X493" s="37">
        <v>22220.82</v>
      </c>
      <c r="Y493" s="36">
        <v>43864</v>
      </c>
      <c r="Z493" s="34" t="s">
        <v>1448</v>
      </c>
    </row>
    <row r="494" spans="1:26" x14ac:dyDescent="0.25">
      <c r="A494" s="34" t="s">
        <v>1441</v>
      </c>
      <c r="B494" s="34" t="s">
        <v>1442</v>
      </c>
      <c r="C494" s="34" t="s">
        <v>16</v>
      </c>
      <c r="D494" s="34" t="s">
        <v>15</v>
      </c>
      <c r="E494" s="35">
        <v>30041172</v>
      </c>
      <c r="F494" s="34" t="s">
        <v>769</v>
      </c>
      <c r="G494" s="39">
        <v>10075873</v>
      </c>
      <c r="H494" s="42">
        <v>30041172</v>
      </c>
      <c r="I494" s="34" t="s">
        <v>518</v>
      </c>
      <c r="J494" s="34" t="s">
        <v>1443</v>
      </c>
      <c r="K494" s="36">
        <v>43025</v>
      </c>
      <c r="L494" s="34" t="s">
        <v>1444</v>
      </c>
      <c r="M494" s="34" t="s">
        <v>1445</v>
      </c>
      <c r="N494" s="34" t="s">
        <v>717</v>
      </c>
      <c r="O494" s="34" t="s">
        <v>717</v>
      </c>
      <c r="P494" s="34" t="s">
        <v>1446</v>
      </c>
      <c r="Q494" s="34" t="s">
        <v>1446</v>
      </c>
      <c r="R494" s="34" t="s">
        <v>1447</v>
      </c>
      <c r="S494" s="34" t="s">
        <v>1447</v>
      </c>
      <c r="T494" s="34" t="s">
        <v>769</v>
      </c>
      <c r="U494" s="34" t="s">
        <v>769</v>
      </c>
      <c r="V494" s="37">
        <v>8.59</v>
      </c>
      <c r="W494" s="45">
        <v>1917.36</v>
      </c>
      <c r="X494" s="37">
        <v>22220.84</v>
      </c>
      <c r="Y494" s="36">
        <v>43864</v>
      </c>
      <c r="Z494" s="34" t="s">
        <v>1448</v>
      </c>
    </row>
    <row r="495" spans="1:26" x14ac:dyDescent="0.25">
      <c r="A495" s="34" t="s">
        <v>1441</v>
      </c>
      <c r="B495" s="34" t="s">
        <v>1442</v>
      </c>
      <c r="C495" s="34" t="s">
        <v>16</v>
      </c>
      <c r="D495" s="34" t="s">
        <v>15</v>
      </c>
      <c r="E495" s="35">
        <v>30041173</v>
      </c>
      <c r="F495" s="34" t="s">
        <v>765</v>
      </c>
      <c r="G495" s="39">
        <v>10075882</v>
      </c>
      <c r="H495" s="42">
        <v>30041173</v>
      </c>
      <c r="I495" s="34" t="s">
        <v>519</v>
      </c>
      <c r="J495" s="34" t="s">
        <v>1443</v>
      </c>
      <c r="K495" s="36">
        <v>43025</v>
      </c>
      <c r="L495" s="34" t="s">
        <v>1444</v>
      </c>
      <c r="M495" s="34" t="s">
        <v>1445</v>
      </c>
      <c r="N495" s="34" t="s">
        <v>717</v>
      </c>
      <c r="O495" s="34" t="s">
        <v>717</v>
      </c>
      <c r="P495" s="34" t="s">
        <v>1449</v>
      </c>
      <c r="Q495" s="34" t="s">
        <v>1449</v>
      </c>
      <c r="R495" s="34" t="s">
        <v>1450</v>
      </c>
      <c r="S495" s="34" t="s">
        <v>1450</v>
      </c>
      <c r="T495" s="34" t="s">
        <v>765</v>
      </c>
      <c r="U495" s="34" t="s">
        <v>765</v>
      </c>
      <c r="V495" s="37">
        <v>8.59</v>
      </c>
      <c r="W495" s="45">
        <v>1917.36</v>
      </c>
      <c r="X495" s="37">
        <v>22220.84</v>
      </c>
      <c r="Y495" s="36">
        <v>43864</v>
      </c>
      <c r="Z495" s="34" t="s">
        <v>1448</v>
      </c>
    </row>
    <row r="496" spans="1:26" x14ac:dyDescent="0.25">
      <c r="A496" s="34" t="s">
        <v>1441</v>
      </c>
      <c r="B496" s="34" t="s">
        <v>1442</v>
      </c>
      <c r="C496" s="34" t="s">
        <v>16</v>
      </c>
      <c r="D496" s="34" t="s">
        <v>15</v>
      </c>
      <c r="E496" s="35">
        <v>30041174</v>
      </c>
      <c r="F496" s="34" t="s">
        <v>755</v>
      </c>
      <c r="G496" s="39">
        <v>10075911</v>
      </c>
      <c r="H496" s="42">
        <v>30041174</v>
      </c>
      <c r="I496" s="34" t="s">
        <v>520</v>
      </c>
      <c r="J496" s="34" t="s">
        <v>1443</v>
      </c>
      <c r="K496" s="36">
        <v>43045</v>
      </c>
      <c r="L496" s="34" t="s">
        <v>1444</v>
      </c>
      <c r="M496" s="34" t="s">
        <v>1445</v>
      </c>
      <c r="N496" s="34" t="s">
        <v>717</v>
      </c>
      <c r="O496" s="34" t="s">
        <v>717</v>
      </c>
      <c r="P496" s="34" t="s">
        <v>1468</v>
      </c>
      <c r="Q496" s="34" t="s">
        <v>1468</v>
      </c>
      <c r="R496" s="34" t="s">
        <v>1469</v>
      </c>
      <c r="S496" s="34" t="s">
        <v>1469</v>
      </c>
      <c r="T496" s="34" t="s">
        <v>755</v>
      </c>
      <c r="U496" s="34" t="s">
        <v>755</v>
      </c>
      <c r="V496" s="37">
        <v>9.4499999999999993</v>
      </c>
      <c r="W496" s="45">
        <v>2109.3200000000002</v>
      </c>
      <c r="X496" s="37">
        <v>22220.85</v>
      </c>
      <c r="Y496" s="36">
        <v>43864</v>
      </c>
      <c r="Z496" s="34" t="s">
        <v>1448</v>
      </c>
    </row>
    <row r="497" spans="1:26" x14ac:dyDescent="0.25">
      <c r="A497" s="34" t="s">
        <v>1441</v>
      </c>
      <c r="B497" s="34" t="s">
        <v>1442</v>
      </c>
      <c r="C497" s="34" t="s">
        <v>16</v>
      </c>
      <c r="D497" s="34" t="s">
        <v>15</v>
      </c>
      <c r="E497" s="35">
        <v>30041175</v>
      </c>
      <c r="F497" s="34" t="s">
        <v>768</v>
      </c>
      <c r="G497" s="39">
        <v>10075917</v>
      </c>
      <c r="H497" s="42">
        <v>30041175</v>
      </c>
      <c r="I497" s="34" t="s">
        <v>521</v>
      </c>
      <c r="J497" s="34" t="s">
        <v>1443</v>
      </c>
      <c r="K497" s="36">
        <v>43045</v>
      </c>
      <c r="L497" s="34" t="s">
        <v>1444</v>
      </c>
      <c r="M497" s="34" t="s">
        <v>1445</v>
      </c>
      <c r="N497" s="34" t="s">
        <v>717</v>
      </c>
      <c r="O497" s="34" t="s">
        <v>717</v>
      </c>
      <c r="P497" s="34" t="s">
        <v>1474</v>
      </c>
      <c r="Q497" s="34" t="s">
        <v>1474</v>
      </c>
      <c r="R497" s="34" t="s">
        <v>1475</v>
      </c>
      <c r="S497" s="34" t="s">
        <v>1475</v>
      </c>
      <c r="T497" s="34" t="s">
        <v>768</v>
      </c>
      <c r="U497" s="34" t="s">
        <v>768</v>
      </c>
      <c r="V497" s="37">
        <v>8.6</v>
      </c>
      <c r="W497" s="45">
        <v>1919.59</v>
      </c>
      <c r="X497" s="37">
        <v>22220.81</v>
      </c>
      <c r="Y497" s="36">
        <v>43864</v>
      </c>
      <c r="Z497" s="34" t="s">
        <v>1448</v>
      </c>
    </row>
    <row r="498" spans="1:26" x14ac:dyDescent="0.25">
      <c r="A498" s="34" t="s">
        <v>1441</v>
      </c>
      <c r="B498" s="34" t="s">
        <v>1442</v>
      </c>
      <c r="C498" s="34" t="s">
        <v>16</v>
      </c>
      <c r="D498" s="34" t="s">
        <v>15</v>
      </c>
      <c r="E498" s="35">
        <v>30041176</v>
      </c>
      <c r="F498" s="34" t="s">
        <v>769</v>
      </c>
      <c r="G498" s="39">
        <v>10075918</v>
      </c>
      <c r="H498" s="42">
        <v>30041176</v>
      </c>
      <c r="I498" s="34" t="s">
        <v>522</v>
      </c>
      <c r="J498" s="34" t="s">
        <v>1443</v>
      </c>
      <c r="K498" s="36">
        <v>43045</v>
      </c>
      <c r="L498" s="34" t="s">
        <v>1444</v>
      </c>
      <c r="M498" s="34" t="s">
        <v>1445</v>
      </c>
      <c r="N498" s="34" t="s">
        <v>717</v>
      </c>
      <c r="O498" s="34" t="s">
        <v>717</v>
      </c>
      <c r="P498" s="34" t="s">
        <v>1486</v>
      </c>
      <c r="Q498" s="34" t="s">
        <v>1486</v>
      </c>
      <c r="R498" s="34" t="s">
        <v>1488</v>
      </c>
      <c r="S498" s="34" t="s">
        <v>1488</v>
      </c>
      <c r="T498" s="34" t="s">
        <v>769</v>
      </c>
      <c r="U498" s="34" t="s">
        <v>769</v>
      </c>
      <c r="V498" s="37">
        <v>8.59</v>
      </c>
      <c r="W498" s="45">
        <v>1917.36</v>
      </c>
      <c r="X498" s="37">
        <v>22220.84</v>
      </c>
      <c r="Y498" s="36">
        <v>43864</v>
      </c>
      <c r="Z498" s="34" t="s">
        <v>1448</v>
      </c>
    </row>
    <row r="499" spans="1:26" x14ac:dyDescent="0.25">
      <c r="A499" s="34" t="s">
        <v>1441</v>
      </c>
      <c r="B499" s="34" t="s">
        <v>1442</v>
      </c>
      <c r="C499" s="34" t="s">
        <v>6</v>
      </c>
      <c r="D499" s="34" t="s">
        <v>15</v>
      </c>
      <c r="E499" s="35">
        <v>30041177</v>
      </c>
      <c r="F499" s="34" t="s">
        <v>766</v>
      </c>
      <c r="G499" s="39">
        <v>10075923</v>
      </c>
      <c r="H499" s="42">
        <v>30041177</v>
      </c>
      <c r="I499" s="34" t="s">
        <v>523</v>
      </c>
      <c r="J499" s="34" t="s">
        <v>1443</v>
      </c>
      <c r="K499" s="36">
        <v>43045</v>
      </c>
      <c r="L499" s="34" t="s">
        <v>1444</v>
      </c>
      <c r="M499" s="34" t="s">
        <v>1445</v>
      </c>
      <c r="N499" s="34" t="s">
        <v>717</v>
      </c>
      <c r="O499" s="34" t="s">
        <v>717</v>
      </c>
      <c r="P499" s="34" t="s">
        <v>1460</v>
      </c>
      <c r="Q499" s="34" t="s">
        <v>1460</v>
      </c>
      <c r="R499" s="34" t="s">
        <v>1506</v>
      </c>
      <c r="S499" s="34" t="s">
        <v>1506</v>
      </c>
      <c r="T499" s="34" t="s">
        <v>766</v>
      </c>
      <c r="U499" s="34" t="s">
        <v>766</v>
      </c>
      <c r="V499" s="37">
        <v>8.26</v>
      </c>
      <c r="W499" s="45">
        <v>1843.7</v>
      </c>
      <c r="X499" s="37">
        <v>22220.82</v>
      </c>
      <c r="Y499" s="36">
        <v>43864</v>
      </c>
      <c r="Z499" s="34" t="s">
        <v>1448</v>
      </c>
    </row>
    <row r="500" spans="1:26" x14ac:dyDescent="0.25">
      <c r="A500" s="34" t="s">
        <v>1441</v>
      </c>
      <c r="B500" s="34" t="s">
        <v>1442</v>
      </c>
      <c r="C500" s="34" t="s">
        <v>16</v>
      </c>
      <c r="D500" s="34" t="s">
        <v>15</v>
      </c>
      <c r="E500" s="35">
        <v>30041178</v>
      </c>
      <c r="F500" s="34" t="s">
        <v>769</v>
      </c>
      <c r="G500" s="39">
        <v>10075936</v>
      </c>
      <c r="H500" s="42">
        <v>30041178</v>
      </c>
      <c r="I500" s="34" t="s">
        <v>524</v>
      </c>
      <c r="J500" s="34" t="s">
        <v>1443</v>
      </c>
      <c r="K500" s="36">
        <v>43045</v>
      </c>
      <c r="L500" s="34" t="s">
        <v>1444</v>
      </c>
      <c r="M500" s="34" t="s">
        <v>1445</v>
      </c>
      <c r="N500" s="34" t="s">
        <v>717</v>
      </c>
      <c r="O500" s="34" t="s">
        <v>717</v>
      </c>
      <c r="P500" s="34" t="s">
        <v>1486</v>
      </c>
      <c r="Q500" s="34" t="s">
        <v>1486</v>
      </c>
      <c r="R500" s="34" t="s">
        <v>1487</v>
      </c>
      <c r="S500" s="34" t="s">
        <v>1487</v>
      </c>
      <c r="T500" s="34" t="s">
        <v>769</v>
      </c>
      <c r="U500" s="34" t="s">
        <v>769</v>
      </c>
      <c r="V500" s="37">
        <v>8.59</v>
      </c>
      <c r="W500" s="45">
        <v>1917.36</v>
      </c>
      <c r="X500" s="37">
        <v>22220.84</v>
      </c>
      <c r="Y500" s="36">
        <v>43864</v>
      </c>
      <c r="Z500" s="34" t="s">
        <v>1448</v>
      </c>
    </row>
    <row r="501" spans="1:26" x14ac:dyDescent="0.25">
      <c r="A501" s="34" t="s">
        <v>1441</v>
      </c>
      <c r="B501" s="34" t="s">
        <v>1442</v>
      </c>
      <c r="C501" s="34" t="s">
        <v>16</v>
      </c>
      <c r="D501" s="34" t="s">
        <v>15</v>
      </c>
      <c r="E501" s="35">
        <v>30041179</v>
      </c>
      <c r="F501" s="34" t="s">
        <v>769</v>
      </c>
      <c r="G501" s="39">
        <v>10075967</v>
      </c>
      <c r="H501" s="42">
        <v>30041179</v>
      </c>
      <c r="I501" s="34" t="s">
        <v>525</v>
      </c>
      <c r="J501" s="34" t="s">
        <v>1443</v>
      </c>
      <c r="K501" s="36">
        <v>43052</v>
      </c>
      <c r="L501" s="34" t="s">
        <v>1444</v>
      </c>
      <c r="M501" s="34" t="s">
        <v>1445</v>
      </c>
      <c r="N501" s="34" t="s">
        <v>717</v>
      </c>
      <c r="O501" s="34" t="s">
        <v>717</v>
      </c>
      <c r="P501" s="34" t="s">
        <v>1486</v>
      </c>
      <c r="Q501" s="34" t="s">
        <v>1486</v>
      </c>
      <c r="R501" s="34" t="s">
        <v>1488</v>
      </c>
      <c r="S501" s="34" t="s">
        <v>1488</v>
      </c>
      <c r="T501" s="34" t="s">
        <v>769</v>
      </c>
      <c r="U501" s="34" t="s">
        <v>769</v>
      </c>
      <c r="V501" s="37">
        <v>8.59</v>
      </c>
      <c r="W501" s="45">
        <v>1917.36</v>
      </c>
      <c r="X501" s="37">
        <v>22220.84</v>
      </c>
      <c r="Y501" s="36">
        <v>43864</v>
      </c>
      <c r="Z501" s="34" t="s">
        <v>1448</v>
      </c>
    </row>
    <row r="502" spans="1:26" x14ac:dyDescent="0.25">
      <c r="A502" s="34" t="s">
        <v>1441</v>
      </c>
      <c r="B502" s="34" t="s">
        <v>1442</v>
      </c>
      <c r="C502" s="34" t="s">
        <v>16</v>
      </c>
      <c r="D502" s="34" t="s">
        <v>15</v>
      </c>
      <c r="E502" s="35">
        <v>30041180</v>
      </c>
      <c r="F502" s="34" t="s">
        <v>769</v>
      </c>
      <c r="G502" s="39">
        <v>10075968</v>
      </c>
      <c r="H502" s="42">
        <v>30041180</v>
      </c>
      <c r="I502" s="34" t="s">
        <v>526</v>
      </c>
      <c r="J502" s="34" t="s">
        <v>1443</v>
      </c>
      <c r="K502" s="36">
        <v>43052</v>
      </c>
      <c r="L502" s="34" t="s">
        <v>1444</v>
      </c>
      <c r="M502" s="34" t="s">
        <v>1445</v>
      </c>
      <c r="N502" s="34" t="s">
        <v>717</v>
      </c>
      <c r="O502" s="34" t="s">
        <v>717</v>
      </c>
      <c r="P502" s="34" t="s">
        <v>1456</v>
      </c>
      <c r="Q502" s="34" t="s">
        <v>1456</v>
      </c>
      <c r="R502" s="34" t="s">
        <v>1457</v>
      </c>
      <c r="S502" s="34" t="s">
        <v>1457</v>
      </c>
      <c r="T502" s="34" t="s">
        <v>769</v>
      </c>
      <c r="U502" s="34" t="s">
        <v>769</v>
      </c>
      <c r="V502" s="37">
        <v>8.59</v>
      </c>
      <c r="W502" s="45">
        <v>1917.36</v>
      </c>
      <c r="X502" s="37">
        <v>22220.84</v>
      </c>
      <c r="Y502" s="36">
        <v>43864</v>
      </c>
      <c r="Z502" s="34" t="s">
        <v>1448</v>
      </c>
    </row>
    <row r="503" spans="1:26" x14ac:dyDescent="0.25">
      <c r="A503" s="34" t="s">
        <v>1441</v>
      </c>
      <c r="B503" s="34" t="s">
        <v>1442</v>
      </c>
      <c r="C503" s="34" t="s">
        <v>6</v>
      </c>
      <c r="D503" s="34" t="s">
        <v>15</v>
      </c>
      <c r="E503" s="35">
        <v>30041181</v>
      </c>
      <c r="F503" s="34" t="s">
        <v>766</v>
      </c>
      <c r="G503" s="39">
        <v>10075970</v>
      </c>
      <c r="H503" s="42">
        <v>30041181</v>
      </c>
      <c r="I503" s="34" t="s">
        <v>527</v>
      </c>
      <c r="J503" s="34" t="s">
        <v>1443</v>
      </c>
      <c r="K503" s="36">
        <v>43052</v>
      </c>
      <c r="L503" s="34" t="s">
        <v>1444</v>
      </c>
      <c r="M503" s="34" t="s">
        <v>1445</v>
      </c>
      <c r="N503" s="34" t="s">
        <v>717</v>
      </c>
      <c r="O503" s="34" t="s">
        <v>717</v>
      </c>
      <c r="P503" s="34" t="s">
        <v>1460</v>
      </c>
      <c r="Q503" s="34" t="s">
        <v>1460</v>
      </c>
      <c r="R503" s="34" t="s">
        <v>1506</v>
      </c>
      <c r="S503" s="34" t="s">
        <v>1506</v>
      </c>
      <c r="T503" s="34" t="s">
        <v>766</v>
      </c>
      <c r="U503" s="34" t="s">
        <v>766</v>
      </c>
      <c r="V503" s="37">
        <v>8.26</v>
      </c>
      <c r="W503" s="45">
        <v>1843.7</v>
      </c>
      <c r="X503" s="37">
        <v>22220.82</v>
      </c>
      <c r="Y503" s="36">
        <v>43864</v>
      </c>
      <c r="Z503" s="34" t="s">
        <v>1448</v>
      </c>
    </row>
    <row r="504" spans="1:26" x14ac:dyDescent="0.25">
      <c r="A504" s="34" t="s">
        <v>1441</v>
      </c>
      <c r="B504" s="34" t="s">
        <v>1442</v>
      </c>
      <c r="C504" s="34" t="s">
        <v>16</v>
      </c>
      <c r="D504" s="34" t="s">
        <v>15</v>
      </c>
      <c r="E504" s="35">
        <v>30041182</v>
      </c>
      <c r="F504" s="34" t="s">
        <v>769</v>
      </c>
      <c r="G504" s="39">
        <v>10075972</v>
      </c>
      <c r="H504" s="42">
        <v>30041182</v>
      </c>
      <c r="I504" s="34" t="s">
        <v>528</v>
      </c>
      <c r="J504" s="34" t="s">
        <v>1443</v>
      </c>
      <c r="K504" s="36">
        <v>43052</v>
      </c>
      <c r="L504" s="34" t="s">
        <v>1444</v>
      </c>
      <c r="M504" s="34" t="s">
        <v>1445</v>
      </c>
      <c r="N504" s="34" t="s">
        <v>717</v>
      </c>
      <c r="O504" s="34" t="s">
        <v>717</v>
      </c>
      <c r="P504" s="34" t="s">
        <v>1456</v>
      </c>
      <c r="Q504" s="34" t="s">
        <v>1456</v>
      </c>
      <c r="R504" s="34" t="s">
        <v>1457</v>
      </c>
      <c r="S504" s="34" t="s">
        <v>1457</v>
      </c>
      <c r="T504" s="34" t="s">
        <v>769</v>
      </c>
      <c r="U504" s="34" t="s">
        <v>769</v>
      </c>
      <c r="V504" s="37">
        <v>8.59</v>
      </c>
      <c r="W504" s="45">
        <v>1917.36</v>
      </c>
      <c r="X504" s="37">
        <v>22220.84</v>
      </c>
      <c r="Y504" s="36">
        <v>43864</v>
      </c>
      <c r="Z504" s="34" t="s">
        <v>1448</v>
      </c>
    </row>
    <row r="505" spans="1:26" x14ac:dyDescent="0.25">
      <c r="A505" s="34" t="s">
        <v>1441</v>
      </c>
      <c r="B505" s="34" t="s">
        <v>1442</v>
      </c>
      <c r="C505" s="34" t="s">
        <v>16</v>
      </c>
      <c r="D505" s="34" t="s">
        <v>15</v>
      </c>
      <c r="E505" s="35">
        <v>30041183</v>
      </c>
      <c r="F505" s="34" t="s">
        <v>769</v>
      </c>
      <c r="G505" s="39">
        <v>10075979</v>
      </c>
      <c r="H505" s="42">
        <v>30041183</v>
      </c>
      <c r="I505" s="34" t="s">
        <v>529</v>
      </c>
      <c r="J505" s="34" t="s">
        <v>1443</v>
      </c>
      <c r="K505" s="36">
        <v>43052</v>
      </c>
      <c r="L505" s="34" t="s">
        <v>1444</v>
      </c>
      <c r="M505" s="34" t="s">
        <v>1445</v>
      </c>
      <c r="N505" s="34" t="s">
        <v>717</v>
      </c>
      <c r="O505" s="34" t="s">
        <v>717</v>
      </c>
      <c r="P505" s="34" t="s">
        <v>1486</v>
      </c>
      <c r="Q505" s="34" t="s">
        <v>1486</v>
      </c>
      <c r="R505" s="34" t="s">
        <v>1487</v>
      </c>
      <c r="S505" s="34" t="s">
        <v>1487</v>
      </c>
      <c r="T505" s="34" t="s">
        <v>769</v>
      </c>
      <c r="U505" s="34" t="s">
        <v>769</v>
      </c>
      <c r="V505" s="37">
        <v>8.59</v>
      </c>
      <c r="W505" s="45">
        <v>1917.36</v>
      </c>
      <c r="X505" s="37">
        <v>22220.84</v>
      </c>
      <c r="Y505" s="36">
        <v>43864</v>
      </c>
      <c r="Z505" s="34" t="s">
        <v>1448</v>
      </c>
    </row>
    <row r="506" spans="1:26" x14ac:dyDescent="0.25">
      <c r="A506" s="34" t="s">
        <v>1441</v>
      </c>
      <c r="B506" s="34" t="s">
        <v>1442</v>
      </c>
      <c r="C506" s="34" t="s">
        <v>6</v>
      </c>
      <c r="D506" s="34" t="s">
        <v>15</v>
      </c>
      <c r="E506" s="35">
        <v>30041184</v>
      </c>
      <c r="F506" s="34" t="s">
        <v>753</v>
      </c>
      <c r="G506" s="39">
        <v>10075980</v>
      </c>
      <c r="H506" s="42">
        <v>30041184</v>
      </c>
      <c r="I506" s="34" t="s">
        <v>530</v>
      </c>
      <c r="J506" s="34" t="s">
        <v>1443</v>
      </c>
      <c r="K506" s="36">
        <v>43052</v>
      </c>
      <c r="L506" s="34" t="s">
        <v>1444</v>
      </c>
      <c r="M506" s="34" t="s">
        <v>1445</v>
      </c>
      <c r="N506" s="34" t="s">
        <v>717</v>
      </c>
      <c r="O506" s="34" t="s">
        <v>717</v>
      </c>
      <c r="P506" s="34" t="s">
        <v>1454</v>
      </c>
      <c r="Q506" s="34" t="s">
        <v>1454</v>
      </c>
      <c r="R506" s="34" t="s">
        <v>1455</v>
      </c>
      <c r="S506" s="34" t="s">
        <v>1455</v>
      </c>
      <c r="T506" s="34" t="s">
        <v>753</v>
      </c>
      <c r="U506" s="34" t="s">
        <v>753</v>
      </c>
      <c r="V506" s="37">
        <v>16.399999999999999</v>
      </c>
      <c r="W506" s="45">
        <v>3660.62</v>
      </c>
      <c r="X506" s="37">
        <v>22220.85</v>
      </c>
      <c r="Y506" s="36">
        <v>43864</v>
      </c>
      <c r="Z506" s="34" t="s">
        <v>1448</v>
      </c>
    </row>
    <row r="507" spans="1:26" x14ac:dyDescent="0.25">
      <c r="A507" s="34" t="s">
        <v>1441</v>
      </c>
      <c r="B507" s="34" t="s">
        <v>1442</v>
      </c>
      <c r="C507" s="34" t="s">
        <v>16</v>
      </c>
      <c r="D507" s="34" t="s">
        <v>15</v>
      </c>
      <c r="E507" s="35">
        <v>30041185</v>
      </c>
      <c r="F507" s="34" t="s">
        <v>769</v>
      </c>
      <c r="G507" s="39">
        <v>10076098</v>
      </c>
      <c r="H507" s="42">
        <v>30041185</v>
      </c>
      <c r="I507" s="34" t="s">
        <v>531</v>
      </c>
      <c r="J507" s="34" t="s">
        <v>1443</v>
      </c>
      <c r="K507" s="36">
        <v>43087</v>
      </c>
      <c r="L507" s="34" t="s">
        <v>1444</v>
      </c>
      <c r="M507" s="34" t="s">
        <v>1445</v>
      </c>
      <c r="N507" s="34" t="s">
        <v>717</v>
      </c>
      <c r="O507" s="34" t="s">
        <v>717</v>
      </c>
      <c r="P507" s="34" t="s">
        <v>1446</v>
      </c>
      <c r="Q507" s="34" t="s">
        <v>1446</v>
      </c>
      <c r="R507" s="34" t="s">
        <v>1447</v>
      </c>
      <c r="S507" s="34" t="s">
        <v>1447</v>
      </c>
      <c r="T507" s="34" t="s">
        <v>769</v>
      </c>
      <c r="U507" s="34" t="s">
        <v>769</v>
      </c>
      <c r="V507" s="37">
        <v>8.59</v>
      </c>
      <c r="W507" s="45">
        <v>1917.36</v>
      </c>
      <c r="X507" s="37">
        <v>22220.84</v>
      </c>
      <c r="Y507" s="36">
        <v>43864</v>
      </c>
      <c r="Z507" s="34" t="s">
        <v>1448</v>
      </c>
    </row>
    <row r="508" spans="1:26" x14ac:dyDescent="0.25">
      <c r="A508" s="34" t="s">
        <v>1441</v>
      </c>
      <c r="B508" s="34" t="s">
        <v>1442</v>
      </c>
      <c r="C508" s="34" t="s">
        <v>16</v>
      </c>
      <c r="D508" s="34" t="s">
        <v>15</v>
      </c>
      <c r="E508" s="35">
        <v>30041186</v>
      </c>
      <c r="F508" s="34" t="s">
        <v>765</v>
      </c>
      <c r="G508" s="39">
        <v>10076121</v>
      </c>
      <c r="H508" s="42">
        <v>30041186</v>
      </c>
      <c r="I508" s="34" t="s">
        <v>532</v>
      </c>
      <c r="J508" s="34" t="s">
        <v>1443</v>
      </c>
      <c r="K508" s="36">
        <v>43087</v>
      </c>
      <c r="L508" s="34" t="s">
        <v>1444</v>
      </c>
      <c r="M508" s="34" t="s">
        <v>1445</v>
      </c>
      <c r="N508" s="34" t="s">
        <v>717</v>
      </c>
      <c r="O508" s="34" t="s">
        <v>717</v>
      </c>
      <c r="P508" s="34" t="s">
        <v>1449</v>
      </c>
      <c r="Q508" s="34" t="s">
        <v>1449</v>
      </c>
      <c r="R508" s="34" t="s">
        <v>1450</v>
      </c>
      <c r="S508" s="34" t="s">
        <v>1450</v>
      </c>
      <c r="T508" s="34" t="s">
        <v>765</v>
      </c>
      <c r="U508" s="34" t="s">
        <v>765</v>
      </c>
      <c r="V508" s="37">
        <v>8.59</v>
      </c>
      <c r="W508" s="45">
        <v>1917.36</v>
      </c>
      <c r="X508" s="37">
        <v>22220.84</v>
      </c>
      <c r="Y508" s="36">
        <v>43864</v>
      </c>
      <c r="Z508" s="34" t="s">
        <v>1448</v>
      </c>
    </row>
    <row r="509" spans="1:26" x14ac:dyDescent="0.25">
      <c r="A509" s="34" t="s">
        <v>1441</v>
      </c>
      <c r="B509" s="34" t="s">
        <v>1442</v>
      </c>
      <c r="C509" s="34" t="s">
        <v>16</v>
      </c>
      <c r="D509" s="34" t="s">
        <v>15</v>
      </c>
      <c r="E509" s="35">
        <v>30041187</v>
      </c>
      <c r="F509" s="34" t="s">
        <v>769</v>
      </c>
      <c r="G509" s="39">
        <v>10076134</v>
      </c>
      <c r="H509" s="42">
        <v>30041187</v>
      </c>
      <c r="I509" s="34" t="s">
        <v>533</v>
      </c>
      <c r="J509" s="34" t="s">
        <v>1443</v>
      </c>
      <c r="K509" s="36">
        <v>43087</v>
      </c>
      <c r="L509" s="34" t="s">
        <v>1444</v>
      </c>
      <c r="M509" s="34" t="s">
        <v>1445</v>
      </c>
      <c r="N509" s="34" t="s">
        <v>717</v>
      </c>
      <c r="O509" s="34" t="s">
        <v>717</v>
      </c>
      <c r="P509" s="34" t="s">
        <v>1446</v>
      </c>
      <c r="Q509" s="34" t="s">
        <v>1446</v>
      </c>
      <c r="R509" s="34" t="s">
        <v>1447</v>
      </c>
      <c r="S509" s="34" t="s">
        <v>1447</v>
      </c>
      <c r="T509" s="34" t="s">
        <v>769</v>
      </c>
      <c r="U509" s="34" t="s">
        <v>769</v>
      </c>
      <c r="V509" s="37">
        <v>8.59</v>
      </c>
      <c r="W509" s="45">
        <v>1917.36</v>
      </c>
      <c r="X509" s="37">
        <v>22220.84</v>
      </c>
      <c r="Y509" s="36">
        <v>43864</v>
      </c>
      <c r="Z509" s="34" t="s">
        <v>1448</v>
      </c>
    </row>
    <row r="510" spans="1:26" x14ac:dyDescent="0.25">
      <c r="A510" s="34" t="s">
        <v>1441</v>
      </c>
      <c r="B510" s="34" t="s">
        <v>1442</v>
      </c>
      <c r="C510" s="34" t="s">
        <v>6</v>
      </c>
      <c r="D510" s="34" t="s">
        <v>15</v>
      </c>
      <c r="E510" s="35">
        <v>30041188</v>
      </c>
      <c r="F510" s="34" t="s">
        <v>766</v>
      </c>
      <c r="G510" s="39">
        <v>10076139</v>
      </c>
      <c r="H510" s="42">
        <v>30041188</v>
      </c>
      <c r="I510" s="34" t="s">
        <v>534</v>
      </c>
      <c r="J510" s="34" t="s">
        <v>1443</v>
      </c>
      <c r="K510" s="36">
        <v>43087</v>
      </c>
      <c r="L510" s="34" t="s">
        <v>1444</v>
      </c>
      <c r="M510" s="34" t="s">
        <v>1445</v>
      </c>
      <c r="N510" s="34" t="s">
        <v>717</v>
      </c>
      <c r="O510" s="34" t="s">
        <v>717</v>
      </c>
      <c r="P510" s="34" t="s">
        <v>1460</v>
      </c>
      <c r="Q510" s="34" t="s">
        <v>1460</v>
      </c>
      <c r="R510" s="34" t="s">
        <v>1506</v>
      </c>
      <c r="S510" s="34" t="s">
        <v>1506</v>
      </c>
      <c r="T510" s="34" t="s">
        <v>766</v>
      </c>
      <c r="U510" s="34" t="s">
        <v>766</v>
      </c>
      <c r="V510" s="37">
        <v>7.37</v>
      </c>
      <c r="W510" s="45">
        <v>1645.05</v>
      </c>
      <c r="X510" s="37">
        <v>22220.9</v>
      </c>
      <c r="Y510" s="36">
        <v>43864</v>
      </c>
      <c r="Z510" s="34" t="s">
        <v>1448</v>
      </c>
    </row>
    <row r="511" spans="1:26" x14ac:dyDescent="0.25">
      <c r="A511" s="34" t="s">
        <v>1441</v>
      </c>
      <c r="B511" s="34" t="s">
        <v>1442</v>
      </c>
      <c r="C511" s="34" t="s">
        <v>16</v>
      </c>
      <c r="D511" s="34" t="s">
        <v>15</v>
      </c>
      <c r="E511" s="35">
        <v>30041189</v>
      </c>
      <c r="F511" s="34" t="s">
        <v>765</v>
      </c>
      <c r="G511" s="39">
        <v>10076166</v>
      </c>
      <c r="H511" s="42">
        <v>30041189</v>
      </c>
      <c r="I511" s="34" t="s">
        <v>535</v>
      </c>
      <c r="J511" s="34" t="s">
        <v>1443</v>
      </c>
      <c r="K511" s="36">
        <v>43087</v>
      </c>
      <c r="L511" s="34" t="s">
        <v>1444</v>
      </c>
      <c r="M511" s="34" t="s">
        <v>1445</v>
      </c>
      <c r="N511" s="34" t="s">
        <v>717</v>
      </c>
      <c r="O511" s="34" t="s">
        <v>717</v>
      </c>
      <c r="P511" s="34" t="s">
        <v>1503</v>
      </c>
      <c r="Q511" s="34" t="s">
        <v>1503</v>
      </c>
      <c r="R511" s="34" t="s">
        <v>1504</v>
      </c>
      <c r="S511" s="34" t="s">
        <v>1504</v>
      </c>
      <c r="T511" s="34" t="s">
        <v>765</v>
      </c>
      <c r="U511" s="34" t="s">
        <v>765</v>
      </c>
      <c r="V511" s="37">
        <v>8.59</v>
      </c>
      <c r="W511" s="45">
        <v>1917.36</v>
      </c>
      <c r="X511" s="37">
        <v>22220.84</v>
      </c>
      <c r="Y511" s="36">
        <v>43864</v>
      </c>
      <c r="Z511" s="34" t="s">
        <v>1448</v>
      </c>
    </row>
    <row r="512" spans="1:26" x14ac:dyDescent="0.25">
      <c r="A512" s="34" t="s">
        <v>1441</v>
      </c>
      <c r="B512" s="34" t="s">
        <v>1442</v>
      </c>
      <c r="C512" s="34" t="s">
        <v>16</v>
      </c>
      <c r="D512" s="34" t="s">
        <v>15</v>
      </c>
      <c r="E512" s="35">
        <v>30041190</v>
      </c>
      <c r="F512" s="34" t="s">
        <v>765</v>
      </c>
      <c r="G512" s="39">
        <v>10076289</v>
      </c>
      <c r="H512" s="42">
        <v>30041190</v>
      </c>
      <c r="I512" s="34" t="s">
        <v>536</v>
      </c>
      <c r="J512" s="34" t="s">
        <v>1443</v>
      </c>
      <c r="K512" s="36">
        <v>43115</v>
      </c>
      <c r="L512" s="34" t="s">
        <v>1444</v>
      </c>
      <c r="M512" s="34" t="s">
        <v>1445</v>
      </c>
      <c r="N512" s="34" t="s">
        <v>717</v>
      </c>
      <c r="O512" s="34" t="s">
        <v>717</v>
      </c>
      <c r="P512" s="34" t="s">
        <v>1497</v>
      </c>
      <c r="Q512" s="34" t="s">
        <v>1497</v>
      </c>
      <c r="R512" s="34" t="s">
        <v>1498</v>
      </c>
      <c r="S512" s="34" t="s">
        <v>1498</v>
      </c>
      <c r="T512" s="34" t="s">
        <v>765</v>
      </c>
      <c r="U512" s="34" t="s">
        <v>765</v>
      </c>
      <c r="V512" s="37">
        <v>8.59</v>
      </c>
      <c r="W512" s="45">
        <v>1917.36</v>
      </c>
      <c r="X512" s="37">
        <v>22220.84</v>
      </c>
      <c r="Y512" s="36">
        <v>43864</v>
      </c>
      <c r="Z512" s="34" t="s">
        <v>1448</v>
      </c>
    </row>
    <row r="513" spans="1:26" x14ac:dyDescent="0.25">
      <c r="A513" s="34" t="s">
        <v>1441</v>
      </c>
      <c r="B513" s="34" t="s">
        <v>1442</v>
      </c>
      <c r="C513" s="34" t="s">
        <v>16</v>
      </c>
      <c r="D513" s="34" t="s">
        <v>15</v>
      </c>
      <c r="E513" s="35">
        <v>30041191</v>
      </c>
      <c r="F513" s="34" t="s">
        <v>765</v>
      </c>
      <c r="G513" s="39">
        <v>10076518</v>
      </c>
      <c r="H513" s="42">
        <v>30041191</v>
      </c>
      <c r="I513" s="34" t="s">
        <v>537</v>
      </c>
      <c r="J513" s="34" t="s">
        <v>1443</v>
      </c>
      <c r="K513" s="36">
        <v>43136</v>
      </c>
      <c r="L513" s="34" t="s">
        <v>1444</v>
      </c>
      <c r="M513" s="34" t="s">
        <v>1445</v>
      </c>
      <c r="N513" s="34" t="s">
        <v>717</v>
      </c>
      <c r="O513" s="34" t="s">
        <v>717</v>
      </c>
      <c r="P513" s="34" t="s">
        <v>1462</v>
      </c>
      <c r="Q513" s="34" t="s">
        <v>1462</v>
      </c>
      <c r="R513" s="34" t="s">
        <v>1463</v>
      </c>
      <c r="S513" s="34" t="s">
        <v>1463</v>
      </c>
      <c r="T513" s="34" t="s">
        <v>765</v>
      </c>
      <c r="U513" s="34" t="s">
        <v>765</v>
      </c>
      <c r="V513" s="37">
        <v>8.59</v>
      </c>
      <c r="W513" s="45">
        <v>1917.36</v>
      </c>
      <c r="X513" s="37">
        <v>22220.84</v>
      </c>
      <c r="Y513" s="36">
        <v>43864</v>
      </c>
      <c r="Z513" s="34" t="s">
        <v>1448</v>
      </c>
    </row>
    <row r="514" spans="1:26" x14ac:dyDescent="0.25">
      <c r="A514" s="34" t="s">
        <v>1441</v>
      </c>
      <c r="B514" s="34" t="s">
        <v>1442</v>
      </c>
      <c r="C514" s="34" t="s">
        <v>16</v>
      </c>
      <c r="D514" s="34" t="s">
        <v>15</v>
      </c>
      <c r="E514" s="35">
        <v>30041192</v>
      </c>
      <c r="F514" s="34" t="s">
        <v>757</v>
      </c>
      <c r="G514" s="39">
        <v>10076522</v>
      </c>
      <c r="H514" s="42">
        <v>30041192</v>
      </c>
      <c r="I514" s="34" t="s">
        <v>538</v>
      </c>
      <c r="J514" s="34" t="s">
        <v>1443</v>
      </c>
      <c r="K514" s="36">
        <v>43136</v>
      </c>
      <c r="L514" s="34" t="s">
        <v>1444</v>
      </c>
      <c r="M514" s="34" t="s">
        <v>1445</v>
      </c>
      <c r="N514" s="34" t="s">
        <v>717</v>
      </c>
      <c r="O514" s="34" t="s">
        <v>717</v>
      </c>
      <c r="P514" s="34" t="s">
        <v>1456</v>
      </c>
      <c r="Q514" s="34" t="s">
        <v>1456</v>
      </c>
      <c r="R514" s="34" t="s">
        <v>1457</v>
      </c>
      <c r="S514" s="34" t="s">
        <v>1457</v>
      </c>
      <c r="T514" s="34" t="s">
        <v>757</v>
      </c>
      <c r="U514" s="34" t="s">
        <v>757</v>
      </c>
      <c r="V514" s="37">
        <v>7.37</v>
      </c>
      <c r="W514" s="45">
        <v>1645.05</v>
      </c>
      <c r="X514" s="37">
        <v>22220.9</v>
      </c>
      <c r="Y514" s="36">
        <v>43864</v>
      </c>
      <c r="Z514" s="34" t="s">
        <v>1448</v>
      </c>
    </row>
    <row r="515" spans="1:26" x14ac:dyDescent="0.25">
      <c r="A515" s="34" t="s">
        <v>1441</v>
      </c>
      <c r="B515" s="34" t="s">
        <v>1442</v>
      </c>
      <c r="C515" s="34" t="s">
        <v>16</v>
      </c>
      <c r="D515" s="34" t="s">
        <v>15</v>
      </c>
      <c r="E515" s="35">
        <v>30041193</v>
      </c>
      <c r="F515" s="34" t="s">
        <v>765</v>
      </c>
      <c r="G515" s="39">
        <v>10076525</v>
      </c>
      <c r="H515" s="42">
        <v>30041193</v>
      </c>
      <c r="I515" s="34" t="s">
        <v>539</v>
      </c>
      <c r="J515" s="34" t="s">
        <v>1443</v>
      </c>
      <c r="K515" s="36">
        <v>43136</v>
      </c>
      <c r="L515" s="34" t="s">
        <v>1444</v>
      </c>
      <c r="M515" s="34" t="s">
        <v>1445</v>
      </c>
      <c r="N515" s="34" t="s">
        <v>717</v>
      </c>
      <c r="O515" s="34" t="s">
        <v>717</v>
      </c>
      <c r="P515" s="34" t="s">
        <v>1462</v>
      </c>
      <c r="Q515" s="34" t="s">
        <v>1462</v>
      </c>
      <c r="R515" s="34" t="s">
        <v>1478</v>
      </c>
      <c r="S515" s="34" t="s">
        <v>1478</v>
      </c>
      <c r="T515" s="34" t="s">
        <v>765</v>
      </c>
      <c r="U515" s="34" t="s">
        <v>765</v>
      </c>
      <c r="V515" s="37">
        <v>8.59</v>
      </c>
      <c r="W515" s="45">
        <v>1917.36</v>
      </c>
      <c r="X515" s="37">
        <v>22220.84</v>
      </c>
      <c r="Y515" s="36">
        <v>43864</v>
      </c>
      <c r="Z515" s="34" t="s">
        <v>1448</v>
      </c>
    </row>
    <row r="516" spans="1:26" x14ac:dyDescent="0.25">
      <c r="A516" s="34" t="s">
        <v>1441</v>
      </c>
      <c r="B516" s="34" t="s">
        <v>1442</v>
      </c>
      <c r="C516" s="34" t="s">
        <v>16</v>
      </c>
      <c r="D516" s="34" t="s">
        <v>15</v>
      </c>
      <c r="E516" s="35">
        <v>30041194</v>
      </c>
      <c r="F516" s="34" t="s">
        <v>765</v>
      </c>
      <c r="G516" s="39">
        <v>10076532</v>
      </c>
      <c r="H516" s="42">
        <v>30041194</v>
      </c>
      <c r="I516" s="34" t="s">
        <v>540</v>
      </c>
      <c r="J516" s="34" t="s">
        <v>1443</v>
      </c>
      <c r="K516" s="36">
        <v>43136</v>
      </c>
      <c r="L516" s="34" t="s">
        <v>1444</v>
      </c>
      <c r="M516" s="34" t="s">
        <v>1445</v>
      </c>
      <c r="N516" s="34" t="s">
        <v>717</v>
      </c>
      <c r="O516" s="34" t="s">
        <v>717</v>
      </c>
      <c r="P516" s="34" t="s">
        <v>1462</v>
      </c>
      <c r="Q516" s="34" t="s">
        <v>1462</v>
      </c>
      <c r="R516" s="34" t="s">
        <v>1463</v>
      </c>
      <c r="S516" s="34" t="s">
        <v>1463</v>
      </c>
      <c r="T516" s="34" t="s">
        <v>765</v>
      </c>
      <c r="U516" s="34" t="s">
        <v>765</v>
      </c>
      <c r="V516" s="37">
        <v>8.59</v>
      </c>
      <c r="W516" s="45">
        <v>1917.36</v>
      </c>
      <c r="X516" s="37">
        <v>22220.84</v>
      </c>
      <c r="Y516" s="36">
        <v>43864</v>
      </c>
      <c r="Z516" s="34" t="s">
        <v>1448</v>
      </c>
    </row>
    <row r="517" spans="1:26" x14ac:dyDescent="0.25">
      <c r="A517" s="34" t="s">
        <v>1441</v>
      </c>
      <c r="B517" s="34" t="s">
        <v>1442</v>
      </c>
      <c r="C517" s="34" t="s">
        <v>16</v>
      </c>
      <c r="D517" s="34" t="s">
        <v>15</v>
      </c>
      <c r="E517" s="35">
        <v>30041195</v>
      </c>
      <c r="F517" s="34" t="s">
        <v>769</v>
      </c>
      <c r="G517" s="39">
        <v>10076545</v>
      </c>
      <c r="H517" s="42">
        <v>30041195</v>
      </c>
      <c r="I517" s="34" t="s">
        <v>541</v>
      </c>
      <c r="J517" s="34" t="s">
        <v>1443</v>
      </c>
      <c r="K517" s="36">
        <v>43136</v>
      </c>
      <c r="L517" s="34" t="s">
        <v>1444</v>
      </c>
      <c r="M517" s="34" t="s">
        <v>1445</v>
      </c>
      <c r="N517" s="34" t="s">
        <v>717</v>
      </c>
      <c r="O517" s="34" t="s">
        <v>717</v>
      </c>
      <c r="P517" s="34" t="s">
        <v>1456</v>
      </c>
      <c r="Q517" s="34" t="s">
        <v>1456</v>
      </c>
      <c r="R517" s="34" t="s">
        <v>1457</v>
      </c>
      <c r="S517" s="34" t="s">
        <v>1457</v>
      </c>
      <c r="T517" s="34" t="s">
        <v>769</v>
      </c>
      <c r="U517" s="34" t="s">
        <v>769</v>
      </c>
      <c r="V517" s="37">
        <v>8.59</v>
      </c>
      <c r="W517" s="45">
        <v>1917.36</v>
      </c>
      <c r="X517" s="37">
        <v>22220.84</v>
      </c>
      <c r="Y517" s="36">
        <v>43864</v>
      </c>
      <c r="Z517" s="34" t="s">
        <v>1448</v>
      </c>
    </row>
    <row r="518" spans="1:26" x14ac:dyDescent="0.25">
      <c r="A518" s="34" t="s">
        <v>1441</v>
      </c>
      <c r="B518" s="34" t="s">
        <v>1442</v>
      </c>
      <c r="C518" s="34" t="s">
        <v>16</v>
      </c>
      <c r="D518" s="34" t="s">
        <v>17</v>
      </c>
      <c r="E518" s="35">
        <v>30032474</v>
      </c>
      <c r="F518" s="34" t="s">
        <v>765</v>
      </c>
      <c r="G518" s="39">
        <v>10076713</v>
      </c>
      <c r="H518" s="42">
        <v>30032474</v>
      </c>
      <c r="I518" s="34" t="s">
        <v>542</v>
      </c>
      <c r="J518" s="34" t="s">
        <v>1443</v>
      </c>
      <c r="K518" s="36">
        <v>43146</v>
      </c>
      <c r="L518" s="34" t="s">
        <v>1444</v>
      </c>
      <c r="M518" s="34" t="s">
        <v>1445</v>
      </c>
      <c r="N518" s="34" t="s">
        <v>717</v>
      </c>
      <c r="O518" s="34" t="s">
        <v>717</v>
      </c>
      <c r="P518" s="34" t="s">
        <v>1462</v>
      </c>
      <c r="Q518" s="34" t="s">
        <v>1462</v>
      </c>
      <c r="R518" s="34" t="s">
        <v>1478</v>
      </c>
      <c r="S518" s="34" t="s">
        <v>1478</v>
      </c>
      <c r="T518" s="34" t="s">
        <v>765</v>
      </c>
      <c r="U518" s="34" t="s">
        <v>765</v>
      </c>
      <c r="V518" s="37">
        <v>1889.8</v>
      </c>
      <c r="W518" s="45">
        <v>1889.8</v>
      </c>
      <c r="X518" s="37">
        <v>0</v>
      </c>
      <c r="Y518" s="36">
        <v>43864</v>
      </c>
      <c r="Z518" s="34" t="s">
        <v>1448</v>
      </c>
    </row>
    <row r="519" spans="1:26" x14ac:dyDescent="0.25">
      <c r="A519" s="34" t="s">
        <v>1441</v>
      </c>
      <c r="B519" s="34" t="s">
        <v>1442</v>
      </c>
      <c r="C519" s="34" t="s">
        <v>6</v>
      </c>
      <c r="D519" s="34" t="s">
        <v>15</v>
      </c>
      <c r="E519" s="35">
        <v>30041197</v>
      </c>
      <c r="F519" s="34" t="s">
        <v>766</v>
      </c>
      <c r="G519" s="39">
        <v>10076714</v>
      </c>
      <c r="H519" s="42">
        <v>30041197</v>
      </c>
      <c r="I519" s="34" t="s">
        <v>543</v>
      </c>
      <c r="J519" s="34" t="s">
        <v>1443</v>
      </c>
      <c r="K519" s="36">
        <v>43146</v>
      </c>
      <c r="L519" s="34" t="s">
        <v>1444</v>
      </c>
      <c r="M519" s="34" t="s">
        <v>1445</v>
      </c>
      <c r="N519" s="34" t="s">
        <v>717</v>
      </c>
      <c r="O519" s="34" t="s">
        <v>717</v>
      </c>
      <c r="P519" s="34" t="s">
        <v>1460</v>
      </c>
      <c r="Q519" s="34" t="s">
        <v>1460</v>
      </c>
      <c r="R519" s="34" t="s">
        <v>1506</v>
      </c>
      <c r="S519" s="34" t="s">
        <v>1506</v>
      </c>
      <c r="T519" s="34" t="s">
        <v>766</v>
      </c>
      <c r="U519" s="34" t="s">
        <v>766</v>
      </c>
      <c r="V519" s="37">
        <v>8.26</v>
      </c>
      <c r="W519" s="45">
        <v>1843.7</v>
      </c>
      <c r="X519" s="37">
        <v>22220.82</v>
      </c>
      <c r="Y519" s="36">
        <v>43864</v>
      </c>
      <c r="Z519" s="34" t="s">
        <v>1448</v>
      </c>
    </row>
    <row r="520" spans="1:26" x14ac:dyDescent="0.25">
      <c r="A520" s="34" t="s">
        <v>1441</v>
      </c>
      <c r="B520" s="34" t="s">
        <v>1442</v>
      </c>
      <c r="C520" s="34" t="s">
        <v>16</v>
      </c>
      <c r="D520" s="34" t="s">
        <v>15</v>
      </c>
      <c r="E520" s="35">
        <v>30041198</v>
      </c>
      <c r="F520" s="34" t="s">
        <v>765</v>
      </c>
      <c r="G520" s="39">
        <v>10076822</v>
      </c>
      <c r="H520" s="42">
        <v>30041198</v>
      </c>
      <c r="I520" s="34" t="s">
        <v>544</v>
      </c>
      <c r="J520" s="34" t="s">
        <v>1443</v>
      </c>
      <c r="K520" s="36">
        <v>43150</v>
      </c>
      <c r="L520" s="34" t="s">
        <v>1444</v>
      </c>
      <c r="M520" s="34" t="s">
        <v>1445</v>
      </c>
      <c r="N520" s="34" t="s">
        <v>717</v>
      </c>
      <c r="O520" s="34" t="s">
        <v>717</v>
      </c>
      <c r="P520" s="34" t="s">
        <v>1449</v>
      </c>
      <c r="Q520" s="34" t="s">
        <v>1449</v>
      </c>
      <c r="R520" s="34" t="s">
        <v>1450</v>
      </c>
      <c r="S520" s="34" t="s">
        <v>1450</v>
      </c>
      <c r="T520" s="34" t="s">
        <v>765</v>
      </c>
      <c r="U520" s="34" t="s">
        <v>765</v>
      </c>
      <c r="V520" s="37">
        <v>8.59</v>
      </c>
      <c r="W520" s="45">
        <v>1917.36</v>
      </c>
      <c r="X520" s="37">
        <v>22220.84</v>
      </c>
      <c r="Y520" s="36">
        <v>43864</v>
      </c>
      <c r="Z520" s="34" t="s">
        <v>1448</v>
      </c>
    </row>
    <row r="521" spans="1:26" x14ac:dyDescent="0.25">
      <c r="A521" s="34" t="s">
        <v>1441</v>
      </c>
      <c r="B521" s="34" t="s">
        <v>1442</v>
      </c>
      <c r="C521" s="34" t="s">
        <v>16</v>
      </c>
      <c r="D521" s="34" t="s">
        <v>15</v>
      </c>
      <c r="E521" s="35">
        <v>30041199</v>
      </c>
      <c r="F521" s="34" t="s">
        <v>757</v>
      </c>
      <c r="G521" s="39">
        <v>10076828</v>
      </c>
      <c r="H521" s="42">
        <v>30041199</v>
      </c>
      <c r="I521" s="34" t="s">
        <v>545</v>
      </c>
      <c r="J521" s="34" t="s">
        <v>1443</v>
      </c>
      <c r="K521" s="36">
        <v>43150</v>
      </c>
      <c r="L521" s="34" t="s">
        <v>1444</v>
      </c>
      <c r="M521" s="34" t="s">
        <v>1445</v>
      </c>
      <c r="N521" s="34" t="s">
        <v>717</v>
      </c>
      <c r="O521" s="34" t="s">
        <v>717</v>
      </c>
      <c r="P521" s="34" t="s">
        <v>1474</v>
      </c>
      <c r="Q521" s="34" t="s">
        <v>1474</v>
      </c>
      <c r="R521" s="34" t="s">
        <v>1485</v>
      </c>
      <c r="S521" s="34" t="s">
        <v>1485</v>
      </c>
      <c r="T521" s="34" t="s">
        <v>757</v>
      </c>
      <c r="U521" s="34" t="s">
        <v>757</v>
      </c>
      <c r="V521" s="37">
        <v>9.01</v>
      </c>
      <c r="W521" s="45">
        <v>1645.45</v>
      </c>
      <c r="X521" s="37">
        <v>18162.490000000002</v>
      </c>
      <c r="Y521" s="36">
        <v>43864</v>
      </c>
      <c r="Z521" s="34" t="s">
        <v>1448</v>
      </c>
    </row>
    <row r="522" spans="1:26" x14ac:dyDescent="0.25">
      <c r="A522" s="34" t="s">
        <v>1441</v>
      </c>
      <c r="B522" s="34" t="s">
        <v>1442</v>
      </c>
      <c r="C522" s="34" t="s">
        <v>16</v>
      </c>
      <c r="D522" s="34" t="s">
        <v>15</v>
      </c>
      <c r="E522" s="35">
        <v>30041200</v>
      </c>
      <c r="F522" s="34" t="s">
        <v>757</v>
      </c>
      <c r="G522" s="39">
        <v>10076904</v>
      </c>
      <c r="H522" s="42">
        <v>30041200</v>
      </c>
      <c r="I522" s="34" t="s">
        <v>546</v>
      </c>
      <c r="J522" s="34" t="s">
        <v>1443</v>
      </c>
      <c r="K522" s="36">
        <v>43164</v>
      </c>
      <c r="L522" s="34" t="s">
        <v>1444</v>
      </c>
      <c r="M522" s="34" t="s">
        <v>1445</v>
      </c>
      <c r="N522" s="34" t="s">
        <v>717</v>
      </c>
      <c r="O522" s="34" t="s">
        <v>717</v>
      </c>
      <c r="P522" s="34" t="s">
        <v>1474</v>
      </c>
      <c r="Q522" s="34" t="s">
        <v>1474</v>
      </c>
      <c r="R522" s="34" t="s">
        <v>1485</v>
      </c>
      <c r="S522" s="34" t="s">
        <v>1485</v>
      </c>
      <c r="T522" s="34" t="s">
        <v>757</v>
      </c>
      <c r="U522" s="34" t="s">
        <v>757</v>
      </c>
      <c r="V522" s="37">
        <v>9.01</v>
      </c>
      <c r="W522" s="45">
        <v>9.01</v>
      </c>
      <c r="X522" s="37">
        <v>0</v>
      </c>
      <c r="Y522" s="36">
        <v>43864</v>
      </c>
      <c r="Z522" s="34" t="s">
        <v>1448</v>
      </c>
    </row>
    <row r="523" spans="1:26" x14ac:dyDescent="0.25">
      <c r="A523" s="34" t="s">
        <v>1441</v>
      </c>
      <c r="B523" s="34" t="s">
        <v>1442</v>
      </c>
      <c r="C523" s="34" t="s">
        <v>16</v>
      </c>
      <c r="D523" s="34" t="s">
        <v>15</v>
      </c>
      <c r="E523" s="35">
        <v>30041201</v>
      </c>
      <c r="F523" s="34" t="s">
        <v>765</v>
      </c>
      <c r="G523" s="39">
        <v>10076907</v>
      </c>
      <c r="H523" s="42">
        <v>30041201</v>
      </c>
      <c r="I523" s="34" t="s">
        <v>547</v>
      </c>
      <c r="J523" s="34" t="s">
        <v>1443</v>
      </c>
      <c r="K523" s="36">
        <v>43164</v>
      </c>
      <c r="L523" s="34" t="s">
        <v>1444</v>
      </c>
      <c r="M523" s="34" t="s">
        <v>1445</v>
      </c>
      <c r="N523" s="34" t="s">
        <v>717</v>
      </c>
      <c r="O523" s="34" t="s">
        <v>717</v>
      </c>
      <c r="P523" s="34" t="s">
        <v>1492</v>
      </c>
      <c r="Q523" s="34" t="s">
        <v>1492</v>
      </c>
      <c r="R523" s="34" t="s">
        <v>1493</v>
      </c>
      <c r="S523" s="34" t="s">
        <v>1493</v>
      </c>
      <c r="T523" s="34" t="s">
        <v>765</v>
      </c>
      <c r="U523" s="34" t="s">
        <v>765</v>
      </c>
      <c r="V523" s="37">
        <v>8.59</v>
      </c>
      <c r="W523" s="45">
        <v>1917.36</v>
      </c>
      <c r="X523" s="37">
        <v>22220.84</v>
      </c>
      <c r="Y523" s="36">
        <v>43864</v>
      </c>
      <c r="Z523" s="34" t="s">
        <v>1448</v>
      </c>
    </row>
    <row r="524" spans="1:26" x14ac:dyDescent="0.25">
      <c r="A524" s="34" t="s">
        <v>1441</v>
      </c>
      <c r="B524" s="34" t="s">
        <v>1442</v>
      </c>
      <c r="C524" s="34" t="s">
        <v>16</v>
      </c>
      <c r="D524" s="34" t="s">
        <v>15</v>
      </c>
      <c r="E524" s="35">
        <v>30041202</v>
      </c>
      <c r="F524" s="34" t="s">
        <v>771</v>
      </c>
      <c r="G524" s="39">
        <v>10076915</v>
      </c>
      <c r="H524" s="42">
        <v>30041202</v>
      </c>
      <c r="I524" s="34" t="s">
        <v>548</v>
      </c>
      <c r="J524" s="34" t="s">
        <v>1443</v>
      </c>
      <c r="K524" s="36">
        <v>43164</v>
      </c>
      <c r="L524" s="34" t="s">
        <v>1444</v>
      </c>
      <c r="M524" s="34" t="s">
        <v>1445</v>
      </c>
      <c r="N524" s="34" t="s">
        <v>717</v>
      </c>
      <c r="O524" s="34" t="s">
        <v>717</v>
      </c>
      <c r="P524" s="34" t="s">
        <v>1466</v>
      </c>
      <c r="Q524" s="34" t="s">
        <v>1466</v>
      </c>
      <c r="R524" s="34" t="s">
        <v>1467</v>
      </c>
      <c r="S524" s="34" t="s">
        <v>1467</v>
      </c>
      <c r="T524" s="34" t="s">
        <v>771</v>
      </c>
      <c r="U524" s="34" t="s">
        <v>771</v>
      </c>
      <c r="V524" s="37">
        <v>8.56</v>
      </c>
      <c r="W524" s="45">
        <v>1910.66</v>
      </c>
      <c r="X524" s="37">
        <v>22220.79</v>
      </c>
      <c r="Y524" s="36">
        <v>43864</v>
      </c>
      <c r="Z524" s="34" t="s">
        <v>1448</v>
      </c>
    </row>
    <row r="525" spans="1:26" x14ac:dyDescent="0.25">
      <c r="A525" s="34" t="s">
        <v>1441</v>
      </c>
      <c r="B525" s="34" t="s">
        <v>1442</v>
      </c>
      <c r="C525" s="34" t="s">
        <v>16</v>
      </c>
      <c r="D525" s="34" t="s">
        <v>15</v>
      </c>
      <c r="E525" s="35">
        <v>30041203</v>
      </c>
      <c r="F525" s="34" t="s">
        <v>765</v>
      </c>
      <c r="G525" s="39">
        <v>10076976</v>
      </c>
      <c r="H525" s="42">
        <v>30041203</v>
      </c>
      <c r="I525" s="34" t="s">
        <v>549</v>
      </c>
      <c r="J525" s="34" t="s">
        <v>1443</v>
      </c>
      <c r="K525" s="36">
        <v>43171</v>
      </c>
      <c r="L525" s="34" t="s">
        <v>1444</v>
      </c>
      <c r="M525" s="34" t="s">
        <v>1445</v>
      </c>
      <c r="N525" s="34" t="s">
        <v>717</v>
      </c>
      <c r="O525" s="34" t="s">
        <v>717</v>
      </c>
      <c r="P525" s="34" t="s">
        <v>1462</v>
      </c>
      <c r="Q525" s="34" t="s">
        <v>1462</v>
      </c>
      <c r="R525" s="34" t="s">
        <v>1478</v>
      </c>
      <c r="S525" s="34" t="s">
        <v>1478</v>
      </c>
      <c r="T525" s="34" t="s">
        <v>765</v>
      </c>
      <c r="U525" s="34" t="s">
        <v>765</v>
      </c>
      <c r="V525" s="37">
        <v>8.59</v>
      </c>
      <c r="W525" s="45">
        <v>1917.36</v>
      </c>
      <c r="X525" s="37">
        <v>22220.84</v>
      </c>
      <c r="Y525" s="36">
        <v>43864</v>
      </c>
      <c r="Z525" s="34" t="s">
        <v>1448</v>
      </c>
    </row>
    <row r="526" spans="1:26" x14ac:dyDescent="0.25">
      <c r="A526" s="34" t="s">
        <v>1441</v>
      </c>
      <c r="B526" s="34" t="s">
        <v>1442</v>
      </c>
      <c r="C526" s="34" t="s">
        <v>16</v>
      </c>
      <c r="D526" s="34" t="s">
        <v>17</v>
      </c>
      <c r="E526" s="35">
        <v>30032525</v>
      </c>
      <c r="F526" s="34" t="s">
        <v>765</v>
      </c>
      <c r="G526" s="39">
        <v>10076978</v>
      </c>
      <c r="H526" s="42">
        <v>30032525</v>
      </c>
      <c r="I526" s="34" t="s">
        <v>550</v>
      </c>
      <c r="J526" s="34" t="s">
        <v>1443</v>
      </c>
      <c r="K526" s="36">
        <v>43171</v>
      </c>
      <c r="L526" s="34" t="s">
        <v>1444</v>
      </c>
      <c r="M526" s="34" t="s">
        <v>1445</v>
      </c>
      <c r="N526" s="34" t="s">
        <v>717</v>
      </c>
      <c r="O526" s="34" t="s">
        <v>717</v>
      </c>
      <c r="P526" s="34" t="s">
        <v>1462</v>
      </c>
      <c r="Q526" s="34" t="s">
        <v>1462</v>
      </c>
      <c r="R526" s="34" t="s">
        <v>1463</v>
      </c>
      <c r="S526" s="34" t="s">
        <v>1463</v>
      </c>
      <c r="T526" s="34" t="s">
        <v>765</v>
      </c>
      <c r="U526" s="34" t="s">
        <v>765</v>
      </c>
      <c r="V526" s="37">
        <v>1889.8</v>
      </c>
      <c r="W526" s="45">
        <v>1889.8</v>
      </c>
      <c r="X526" s="37">
        <v>0</v>
      </c>
      <c r="Y526" s="36">
        <v>43864</v>
      </c>
      <c r="Z526" s="34" t="s">
        <v>1448</v>
      </c>
    </row>
    <row r="527" spans="1:26" x14ac:dyDescent="0.25">
      <c r="A527" s="34" t="s">
        <v>1441</v>
      </c>
      <c r="B527" s="34" t="s">
        <v>1442</v>
      </c>
      <c r="C527" s="34" t="s">
        <v>16</v>
      </c>
      <c r="D527" s="34" t="s">
        <v>15</v>
      </c>
      <c r="E527" s="35">
        <v>30041205</v>
      </c>
      <c r="F527" s="34" t="s">
        <v>765</v>
      </c>
      <c r="G527" s="39">
        <v>10076980</v>
      </c>
      <c r="H527" s="42">
        <v>30041205</v>
      </c>
      <c r="I527" s="34" t="s">
        <v>551</v>
      </c>
      <c r="J527" s="34" t="s">
        <v>1443</v>
      </c>
      <c r="K527" s="36">
        <v>43171</v>
      </c>
      <c r="L527" s="34" t="s">
        <v>1444</v>
      </c>
      <c r="M527" s="34" t="s">
        <v>1445</v>
      </c>
      <c r="N527" s="34" t="s">
        <v>717</v>
      </c>
      <c r="O527" s="34" t="s">
        <v>717</v>
      </c>
      <c r="P527" s="34" t="s">
        <v>1462</v>
      </c>
      <c r="Q527" s="34" t="s">
        <v>1462</v>
      </c>
      <c r="R527" s="34" t="s">
        <v>1463</v>
      </c>
      <c r="S527" s="34" t="s">
        <v>1463</v>
      </c>
      <c r="T527" s="34" t="s">
        <v>765</v>
      </c>
      <c r="U527" s="34" t="s">
        <v>765</v>
      </c>
      <c r="V527" s="37">
        <v>8.59</v>
      </c>
      <c r="W527" s="45">
        <v>1917.36</v>
      </c>
      <c r="X527" s="37">
        <v>22220.84</v>
      </c>
      <c r="Y527" s="36">
        <v>43864</v>
      </c>
      <c r="Z527" s="34" t="s">
        <v>1448</v>
      </c>
    </row>
    <row r="528" spans="1:26" x14ac:dyDescent="0.25">
      <c r="A528" s="34" t="s">
        <v>1441</v>
      </c>
      <c r="B528" s="34" t="s">
        <v>1442</v>
      </c>
      <c r="C528" s="34" t="s">
        <v>16</v>
      </c>
      <c r="D528" s="34" t="s">
        <v>15</v>
      </c>
      <c r="E528" s="35">
        <v>30041206</v>
      </c>
      <c r="F528" s="34" t="s">
        <v>769</v>
      </c>
      <c r="G528" s="39">
        <v>10076985</v>
      </c>
      <c r="H528" s="42">
        <v>30041206</v>
      </c>
      <c r="I528" s="34" t="s">
        <v>552</v>
      </c>
      <c r="J528" s="34" t="s">
        <v>1443</v>
      </c>
      <c r="K528" s="36">
        <v>43171</v>
      </c>
      <c r="L528" s="34" t="s">
        <v>1444</v>
      </c>
      <c r="M528" s="34" t="s">
        <v>1445</v>
      </c>
      <c r="N528" s="34" t="s">
        <v>717</v>
      </c>
      <c r="O528" s="34" t="s">
        <v>717</v>
      </c>
      <c r="P528" s="34" t="s">
        <v>1446</v>
      </c>
      <c r="Q528" s="34" t="s">
        <v>1446</v>
      </c>
      <c r="R528" s="34" t="s">
        <v>1451</v>
      </c>
      <c r="S528" s="34" t="s">
        <v>1451</v>
      </c>
      <c r="T528" s="34" t="s">
        <v>769</v>
      </c>
      <c r="U528" s="34" t="s">
        <v>769</v>
      </c>
      <c r="V528" s="37">
        <v>8.59</v>
      </c>
      <c r="W528" s="45">
        <v>1917.36</v>
      </c>
      <c r="X528" s="37">
        <v>22220.84</v>
      </c>
      <c r="Y528" s="36">
        <v>43864</v>
      </c>
      <c r="Z528" s="34" t="s">
        <v>1448</v>
      </c>
    </row>
    <row r="529" spans="1:26" x14ac:dyDescent="0.25">
      <c r="A529" s="34" t="s">
        <v>1441</v>
      </c>
      <c r="B529" s="34" t="s">
        <v>1442</v>
      </c>
      <c r="C529" s="34" t="s">
        <v>16</v>
      </c>
      <c r="D529" s="34" t="s">
        <v>15</v>
      </c>
      <c r="E529" s="35">
        <v>30041207</v>
      </c>
      <c r="F529" s="34" t="s">
        <v>769</v>
      </c>
      <c r="G529" s="39">
        <v>10076988</v>
      </c>
      <c r="H529" s="42">
        <v>30041207</v>
      </c>
      <c r="I529" s="34" t="s">
        <v>553</v>
      </c>
      <c r="J529" s="34" t="s">
        <v>1443</v>
      </c>
      <c r="K529" s="36">
        <v>43171</v>
      </c>
      <c r="L529" s="34" t="s">
        <v>1444</v>
      </c>
      <c r="M529" s="34" t="s">
        <v>1445</v>
      </c>
      <c r="N529" s="34" t="s">
        <v>717</v>
      </c>
      <c r="O529" s="34" t="s">
        <v>717</v>
      </c>
      <c r="P529" s="34" t="s">
        <v>1446</v>
      </c>
      <c r="Q529" s="34" t="s">
        <v>1446</v>
      </c>
      <c r="R529" s="34" t="s">
        <v>1447</v>
      </c>
      <c r="S529" s="34" t="s">
        <v>1447</v>
      </c>
      <c r="T529" s="34" t="s">
        <v>769</v>
      </c>
      <c r="U529" s="34" t="s">
        <v>769</v>
      </c>
      <c r="V529" s="37">
        <v>8.59</v>
      </c>
      <c r="W529" s="45">
        <v>1917.36</v>
      </c>
      <c r="X529" s="37">
        <v>22220.84</v>
      </c>
      <c r="Y529" s="36">
        <v>43864</v>
      </c>
      <c r="Z529" s="34" t="s">
        <v>1448</v>
      </c>
    </row>
    <row r="530" spans="1:26" x14ac:dyDescent="0.25">
      <c r="A530" s="34" t="s">
        <v>1441</v>
      </c>
      <c r="B530" s="34" t="s">
        <v>1442</v>
      </c>
      <c r="C530" s="34" t="s">
        <v>16</v>
      </c>
      <c r="D530" s="34" t="s">
        <v>15</v>
      </c>
      <c r="E530" s="35">
        <v>30041208</v>
      </c>
      <c r="F530" s="34" t="s">
        <v>765</v>
      </c>
      <c r="G530" s="39">
        <v>10077110</v>
      </c>
      <c r="H530" s="42">
        <v>30041208</v>
      </c>
      <c r="I530" s="34" t="s">
        <v>554</v>
      </c>
      <c r="J530" s="34" t="s">
        <v>1443</v>
      </c>
      <c r="K530" s="36">
        <v>43178</v>
      </c>
      <c r="L530" s="34" t="s">
        <v>1444</v>
      </c>
      <c r="M530" s="34" t="s">
        <v>1445</v>
      </c>
      <c r="N530" s="34" t="s">
        <v>717</v>
      </c>
      <c r="O530" s="34" t="s">
        <v>717</v>
      </c>
      <c r="P530" s="34" t="s">
        <v>1449</v>
      </c>
      <c r="Q530" s="34" t="s">
        <v>1449</v>
      </c>
      <c r="R530" s="34" t="s">
        <v>1450</v>
      </c>
      <c r="S530" s="34" t="s">
        <v>1450</v>
      </c>
      <c r="T530" s="34" t="s">
        <v>765</v>
      </c>
      <c r="U530" s="34" t="s">
        <v>765</v>
      </c>
      <c r="V530" s="37">
        <v>8.59</v>
      </c>
      <c r="W530" s="45">
        <v>1917.36</v>
      </c>
      <c r="X530" s="37">
        <v>22220.84</v>
      </c>
      <c r="Y530" s="36">
        <v>43864</v>
      </c>
      <c r="Z530" s="34" t="s">
        <v>1448</v>
      </c>
    </row>
    <row r="531" spans="1:26" x14ac:dyDescent="0.25">
      <c r="A531" s="34" t="s">
        <v>1441</v>
      </c>
      <c r="B531" s="34" t="s">
        <v>1442</v>
      </c>
      <c r="C531" s="34" t="s">
        <v>16</v>
      </c>
      <c r="D531" s="34" t="s">
        <v>15</v>
      </c>
      <c r="E531" s="35">
        <v>30041209</v>
      </c>
      <c r="F531" s="34" t="s">
        <v>765</v>
      </c>
      <c r="G531" s="39">
        <v>10077613</v>
      </c>
      <c r="H531" s="42">
        <v>30041209</v>
      </c>
      <c r="I531" s="34" t="s">
        <v>555</v>
      </c>
      <c r="J531" s="34" t="s">
        <v>1443</v>
      </c>
      <c r="K531" s="36">
        <v>43238</v>
      </c>
      <c r="L531" s="34" t="s">
        <v>1444</v>
      </c>
      <c r="M531" s="34" t="s">
        <v>1445</v>
      </c>
      <c r="N531" s="34" t="s">
        <v>717</v>
      </c>
      <c r="O531" s="34" t="s">
        <v>717</v>
      </c>
      <c r="P531" s="34" t="s">
        <v>1462</v>
      </c>
      <c r="Q531" s="34" t="s">
        <v>1462</v>
      </c>
      <c r="R531" s="34" t="s">
        <v>1478</v>
      </c>
      <c r="S531" s="34" t="s">
        <v>1478</v>
      </c>
      <c r="T531" s="34" t="s">
        <v>765</v>
      </c>
      <c r="U531" s="34" t="s">
        <v>765</v>
      </c>
      <c r="V531" s="37">
        <v>8.59</v>
      </c>
      <c r="W531" s="45">
        <v>1917.36</v>
      </c>
      <c r="X531" s="37">
        <v>22220.84</v>
      </c>
      <c r="Y531" s="36">
        <v>43864</v>
      </c>
      <c r="Z531" s="34" t="s">
        <v>1448</v>
      </c>
    </row>
    <row r="532" spans="1:26" x14ac:dyDescent="0.25">
      <c r="A532" s="34" t="s">
        <v>1441</v>
      </c>
      <c r="B532" s="34" t="s">
        <v>1442</v>
      </c>
      <c r="C532" s="34" t="s">
        <v>16</v>
      </c>
      <c r="D532" s="34" t="s">
        <v>15</v>
      </c>
      <c r="E532" s="35">
        <v>30041210</v>
      </c>
      <c r="F532" s="34" t="s">
        <v>757</v>
      </c>
      <c r="G532" s="39">
        <v>10077666</v>
      </c>
      <c r="H532" s="42">
        <v>30041210</v>
      </c>
      <c r="I532" s="34" t="s">
        <v>556</v>
      </c>
      <c r="J532" s="34" t="s">
        <v>1443</v>
      </c>
      <c r="K532" s="36">
        <v>43255</v>
      </c>
      <c r="L532" s="34" t="s">
        <v>1444</v>
      </c>
      <c r="M532" s="34" t="s">
        <v>1445</v>
      </c>
      <c r="N532" s="34" t="s">
        <v>717</v>
      </c>
      <c r="O532" s="34" t="s">
        <v>717</v>
      </c>
      <c r="P532" s="34" t="s">
        <v>1446</v>
      </c>
      <c r="Q532" s="34" t="s">
        <v>1446</v>
      </c>
      <c r="R532" s="34" t="s">
        <v>1447</v>
      </c>
      <c r="S532" s="34" t="s">
        <v>1447</v>
      </c>
      <c r="T532" s="34" t="s">
        <v>757</v>
      </c>
      <c r="U532" s="34" t="s">
        <v>757</v>
      </c>
      <c r="V532" s="37">
        <v>7.37</v>
      </c>
      <c r="W532" s="45">
        <v>1645.05</v>
      </c>
      <c r="X532" s="37">
        <v>22220.9</v>
      </c>
      <c r="Y532" s="36">
        <v>43864</v>
      </c>
      <c r="Z532" s="34" t="s">
        <v>1448</v>
      </c>
    </row>
    <row r="533" spans="1:26" x14ac:dyDescent="0.25">
      <c r="A533" s="34" t="s">
        <v>1441</v>
      </c>
      <c r="B533" s="34" t="s">
        <v>1442</v>
      </c>
      <c r="C533" s="34" t="s">
        <v>16</v>
      </c>
      <c r="D533" s="34" t="s">
        <v>15</v>
      </c>
      <c r="E533" s="35">
        <v>30041211</v>
      </c>
      <c r="F533" s="34" t="s">
        <v>757</v>
      </c>
      <c r="G533" s="39">
        <v>10077688</v>
      </c>
      <c r="H533" s="42">
        <v>30041211</v>
      </c>
      <c r="I533" s="34" t="s">
        <v>557</v>
      </c>
      <c r="J533" s="34" t="s">
        <v>1443</v>
      </c>
      <c r="K533" s="36">
        <v>43255</v>
      </c>
      <c r="L533" s="34" t="s">
        <v>1444</v>
      </c>
      <c r="M533" s="34" t="s">
        <v>1445</v>
      </c>
      <c r="N533" s="34" t="s">
        <v>717</v>
      </c>
      <c r="O533" s="34" t="s">
        <v>717</v>
      </c>
      <c r="P533" s="34" t="s">
        <v>1486</v>
      </c>
      <c r="Q533" s="34" t="s">
        <v>1486</v>
      </c>
      <c r="R533" s="34" t="s">
        <v>1487</v>
      </c>
      <c r="S533" s="34" t="s">
        <v>1487</v>
      </c>
      <c r="T533" s="34" t="s">
        <v>757</v>
      </c>
      <c r="U533" s="34" t="s">
        <v>757</v>
      </c>
      <c r="V533" s="37">
        <v>7.37</v>
      </c>
      <c r="W533" s="45">
        <v>1645.05</v>
      </c>
      <c r="X533" s="37">
        <v>22220.9</v>
      </c>
      <c r="Y533" s="36">
        <v>43864</v>
      </c>
      <c r="Z533" s="34" t="s">
        <v>1448</v>
      </c>
    </row>
    <row r="534" spans="1:26" x14ac:dyDescent="0.25">
      <c r="A534" s="34" t="s">
        <v>1441</v>
      </c>
      <c r="B534" s="34" t="s">
        <v>1442</v>
      </c>
      <c r="C534" s="34" t="s">
        <v>6</v>
      </c>
      <c r="D534" s="34" t="s">
        <v>15</v>
      </c>
      <c r="E534" s="35">
        <v>30041212</v>
      </c>
      <c r="F534" s="34" t="s">
        <v>766</v>
      </c>
      <c r="G534" s="39">
        <v>10077692</v>
      </c>
      <c r="H534" s="42">
        <v>30041212</v>
      </c>
      <c r="I534" s="34" t="s">
        <v>558</v>
      </c>
      <c r="J534" s="34" t="s">
        <v>1443</v>
      </c>
      <c r="K534" s="36">
        <v>43255</v>
      </c>
      <c r="L534" s="34" t="s">
        <v>1444</v>
      </c>
      <c r="M534" s="34" t="s">
        <v>1445</v>
      </c>
      <c r="N534" s="34" t="s">
        <v>717</v>
      </c>
      <c r="O534" s="34" t="s">
        <v>717</v>
      </c>
      <c r="P534" s="34" t="s">
        <v>1460</v>
      </c>
      <c r="Q534" s="34" t="s">
        <v>1460</v>
      </c>
      <c r="R534" s="34" t="s">
        <v>1506</v>
      </c>
      <c r="S534" s="34" t="s">
        <v>1506</v>
      </c>
      <c r="T534" s="34" t="s">
        <v>766</v>
      </c>
      <c r="U534" s="34" t="s">
        <v>766</v>
      </c>
      <c r="V534" s="37">
        <v>8.26</v>
      </c>
      <c r="W534" s="45">
        <v>1843.7</v>
      </c>
      <c r="X534" s="37">
        <v>22220.82</v>
      </c>
      <c r="Y534" s="36">
        <v>43864</v>
      </c>
      <c r="Z534" s="34" t="s">
        <v>1448</v>
      </c>
    </row>
    <row r="535" spans="1:26" x14ac:dyDescent="0.25">
      <c r="A535" s="34" t="s">
        <v>1441</v>
      </c>
      <c r="B535" s="34" t="s">
        <v>1442</v>
      </c>
      <c r="C535" s="34" t="s">
        <v>6</v>
      </c>
      <c r="D535" s="34" t="s">
        <v>15</v>
      </c>
      <c r="E535" s="35">
        <v>30041213</v>
      </c>
      <c r="F535" s="34" t="s">
        <v>753</v>
      </c>
      <c r="G535" s="39">
        <v>10077726</v>
      </c>
      <c r="H535" s="42">
        <v>30041213</v>
      </c>
      <c r="I535" s="34" t="s">
        <v>559</v>
      </c>
      <c r="J535" s="34" t="s">
        <v>1443</v>
      </c>
      <c r="K535" s="36">
        <v>43262</v>
      </c>
      <c r="L535" s="34" t="s">
        <v>1444</v>
      </c>
      <c r="M535" s="34" t="s">
        <v>1445</v>
      </c>
      <c r="N535" s="34" t="s">
        <v>717</v>
      </c>
      <c r="O535" s="34" t="s">
        <v>717</v>
      </c>
      <c r="P535" s="34" t="s">
        <v>1454</v>
      </c>
      <c r="Q535" s="34" t="s">
        <v>1454</v>
      </c>
      <c r="R535" s="34" t="s">
        <v>1455</v>
      </c>
      <c r="S535" s="34" t="s">
        <v>1455</v>
      </c>
      <c r="T535" s="34" t="s">
        <v>753</v>
      </c>
      <c r="U535" s="34" t="s">
        <v>753</v>
      </c>
      <c r="V535" s="37">
        <v>16.53</v>
      </c>
      <c r="W535" s="45">
        <v>3689.63</v>
      </c>
      <c r="X535" s="37">
        <v>22220.81</v>
      </c>
      <c r="Y535" s="36">
        <v>43864</v>
      </c>
      <c r="Z535" s="34" t="s">
        <v>1448</v>
      </c>
    </row>
    <row r="536" spans="1:26" x14ac:dyDescent="0.25">
      <c r="A536" s="34" t="s">
        <v>1441</v>
      </c>
      <c r="B536" s="34" t="s">
        <v>1442</v>
      </c>
      <c r="C536" s="34" t="s">
        <v>16</v>
      </c>
      <c r="D536" s="34" t="s">
        <v>15</v>
      </c>
      <c r="E536" s="35">
        <v>30041214</v>
      </c>
      <c r="F536" s="34" t="s">
        <v>768</v>
      </c>
      <c r="G536" s="39">
        <v>10077757</v>
      </c>
      <c r="H536" s="42">
        <v>30041214</v>
      </c>
      <c r="I536" s="34" t="s">
        <v>560</v>
      </c>
      <c r="J536" s="34" t="s">
        <v>1443</v>
      </c>
      <c r="K536" s="36">
        <v>43270</v>
      </c>
      <c r="L536" s="34" t="s">
        <v>1444</v>
      </c>
      <c r="M536" s="34" t="s">
        <v>1445</v>
      </c>
      <c r="N536" s="34" t="s">
        <v>717</v>
      </c>
      <c r="O536" s="34" t="s">
        <v>717</v>
      </c>
      <c r="P536" s="34" t="s">
        <v>1470</v>
      </c>
      <c r="Q536" s="34" t="s">
        <v>1470</v>
      </c>
      <c r="R536" s="34" t="s">
        <v>1482</v>
      </c>
      <c r="S536" s="34" t="s">
        <v>1482</v>
      </c>
      <c r="T536" s="34" t="s">
        <v>768</v>
      </c>
      <c r="U536" s="34" t="s">
        <v>768</v>
      </c>
      <c r="V536" s="37">
        <v>8.51</v>
      </c>
      <c r="W536" s="45">
        <v>1899.5</v>
      </c>
      <c r="X536" s="37">
        <v>22220.799999999999</v>
      </c>
      <c r="Y536" s="36">
        <v>43864</v>
      </c>
      <c r="Z536" s="34" t="s">
        <v>1448</v>
      </c>
    </row>
    <row r="537" spans="1:26" x14ac:dyDescent="0.25">
      <c r="A537" s="34" t="s">
        <v>1441</v>
      </c>
      <c r="B537" s="34" t="s">
        <v>1442</v>
      </c>
      <c r="C537" s="34" t="s">
        <v>16</v>
      </c>
      <c r="D537" s="34" t="s">
        <v>15</v>
      </c>
      <c r="E537" s="35">
        <v>30041215</v>
      </c>
      <c r="F537" s="34" t="s">
        <v>769</v>
      </c>
      <c r="G537" s="39">
        <v>10077762</v>
      </c>
      <c r="H537" s="42">
        <v>30041215</v>
      </c>
      <c r="I537" s="34" t="s">
        <v>561</v>
      </c>
      <c r="J537" s="34" t="s">
        <v>1443</v>
      </c>
      <c r="K537" s="36">
        <v>43270</v>
      </c>
      <c r="L537" s="34" t="s">
        <v>1444</v>
      </c>
      <c r="M537" s="34" t="s">
        <v>1445</v>
      </c>
      <c r="N537" s="34" t="s">
        <v>717</v>
      </c>
      <c r="O537" s="34" t="s">
        <v>717</v>
      </c>
      <c r="P537" s="34" t="s">
        <v>1446</v>
      </c>
      <c r="Q537" s="34" t="s">
        <v>1446</v>
      </c>
      <c r="R537" s="34" t="s">
        <v>1447</v>
      </c>
      <c r="S537" s="34" t="s">
        <v>1447</v>
      </c>
      <c r="T537" s="34" t="s">
        <v>769</v>
      </c>
      <c r="U537" s="34" t="s">
        <v>769</v>
      </c>
      <c r="V537" s="37">
        <v>8.59</v>
      </c>
      <c r="W537" s="45">
        <v>1917.36</v>
      </c>
      <c r="X537" s="37">
        <v>22220.84</v>
      </c>
      <c r="Y537" s="36">
        <v>43864</v>
      </c>
      <c r="Z537" s="34" t="s">
        <v>1448</v>
      </c>
    </row>
    <row r="538" spans="1:26" x14ac:dyDescent="0.25">
      <c r="A538" s="34" t="s">
        <v>1441</v>
      </c>
      <c r="B538" s="34" t="s">
        <v>1442</v>
      </c>
      <c r="C538" s="34" t="s">
        <v>16</v>
      </c>
      <c r="D538" s="34" t="s">
        <v>15</v>
      </c>
      <c r="E538" s="35">
        <v>30041216</v>
      </c>
      <c r="F538" s="34" t="s">
        <v>757</v>
      </c>
      <c r="G538" s="39">
        <v>10077787</v>
      </c>
      <c r="H538" s="42">
        <v>30041216</v>
      </c>
      <c r="I538" s="34" t="s">
        <v>562</v>
      </c>
      <c r="J538" s="34" t="s">
        <v>1443</v>
      </c>
      <c r="K538" s="36">
        <v>43270</v>
      </c>
      <c r="L538" s="34" t="s">
        <v>1444</v>
      </c>
      <c r="M538" s="34" t="s">
        <v>1445</v>
      </c>
      <c r="N538" s="34" t="s">
        <v>717</v>
      </c>
      <c r="O538" s="34" t="s">
        <v>717</v>
      </c>
      <c r="P538" s="34" t="s">
        <v>1474</v>
      </c>
      <c r="Q538" s="34" t="s">
        <v>1474</v>
      </c>
      <c r="R538" s="34" t="s">
        <v>1485</v>
      </c>
      <c r="S538" s="34" t="s">
        <v>1485</v>
      </c>
      <c r="T538" s="34" t="s">
        <v>757</v>
      </c>
      <c r="U538" s="34" t="s">
        <v>757</v>
      </c>
      <c r="V538" s="37">
        <v>9.01</v>
      </c>
      <c r="W538" s="45">
        <v>9.01</v>
      </c>
      <c r="X538" s="37">
        <v>0</v>
      </c>
      <c r="Y538" s="36">
        <v>43864</v>
      </c>
      <c r="Z538" s="34" t="s">
        <v>1448</v>
      </c>
    </row>
    <row r="539" spans="1:26" x14ac:dyDescent="0.25">
      <c r="A539" s="34" t="s">
        <v>1441</v>
      </c>
      <c r="B539" s="34" t="s">
        <v>1442</v>
      </c>
      <c r="C539" s="34" t="s">
        <v>16</v>
      </c>
      <c r="D539" s="34" t="s">
        <v>15</v>
      </c>
      <c r="E539" s="35">
        <v>30041217</v>
      </c>
      <c r="F539" s="34" t="s">
        <v>765</v>
      </c>
      <c r="G539" s="39">
        <v>10077788</v>
      </c>
      <c r="H539" s="42">
        <v>30041217</v>
      </c>
      <c r="I539" s="34" t="s">
        <v>563</v>
      </c>
      <c r="J539" s="34" t="s">
        <v>1443</v>
      </c>
      <c r="K539" s="36">
        <v>43270</v>
      </c>
      <c r="L539" s="34" t="s">
        <v>1444</v>
      </c>
      <c r="M539" s="34" t="s">
        <v>1445</v>
      </c>
      <c r="N539" s="34" t="s">
        <v>717</v>
      </c>
      <c r="O539" s="34" t="s">
        <v>717</v>
      </c>
      <c r="P539" s="34" t="s">
        <v>1503</v>
      </c>
      <c r="Q539" s="34" t="s">
        <v>1503</v>
      </c>
      <c r="R539" s="34" t="s">
        <v>1504</v>
      </c>
      <c r="S539" s="34" t="s">
        <v>1504</v>
      </c>
      <c r="T539" s="34" t="s">
        <v>765</v>
      </c>
      <c r="U539" s="34" t="s">
        <v>765</v>
      </c>
      <c r="V539" s="37">
        <v>8.59</v>
      </c>
      <c r="W539" s="45">
        <v>1917.36</v>
      </c>
      <c r="X539" s="37">
        <v>22220.84</v>
      </c>
      <c r="Y539" s="36">
        <v>43864</v>
      </c>
      <c r="Z539" s="34" t="s">
        <v>1448</v>
      </c>
    </row>
    <row r="540" spans="1:26" x14ac:dyDescent="0.25">
      <c r="A540" s="34" t="s">
        <v>1441</v>
      </c>
      <c r="B540" s="34" t="s">
        <v>1442</v>
      </c>
      <c r="C540" s="34" t="s">
        <v>16</v>
      </c>
      <c r="D540" s="34" t="s">
        <v>15</v>
      </c>
      <c r="E540" s="35">
        <v>30041218</v>
      </c>
      <c r="F540" s="34" t="s">
        <v>765</v>
      </c>
      <c r="G540" s="39">
        <v>10077901</v>
      </c>
      <c r="H540" s="42">
        <v>30041218</v>
      </c>
      <c r="I540" s="34" t="s">
        <v>564</v>
      </c>
      <c r="J540" s="34" t="s">
        <v>1443</v>
      </c>
      <c r="K540" s="36">
        <v>43291</v>
      </c>
      <c r="L540" s="34" t="s">
        <v>1444</v>
      </c>
      <c r="M540" s="34" t="s">
        <v>1445</v>
      </c>
      <c r="N540" s="34" t="s">
        <v>717</v>
      </c>
      <c r="O540" s="34" t="s">
        <v>717</v>
      </c>
      <c r="P540" s="34" t="s">
        <v>1470</v>
      </c>
      <c r="Q540" s="34" t="s">
        <v>1470</v>
      </c>
      <c r="R540" s="34" t="s">
        <v>1471</v>
      </c>
      <c r="S540" s="34" t="s">
        <v>1471</v>
      </c>
      <c r="T540" s="34" t="s">
        <v>765</v>
      </c>
      <c r="U540" s="34" t="s">
        <v>765</v>
      </c>
      <c r="V540" s="37">
        <v>8.59</v>
      </c>
      <c r="W540" s="45">
        <v>1917.36</v>
      </c>
      <c r="X540" s="37">
        <v>22220.84</v>
      </c>
      <c r="Y540" s="36">
        <v>43864</v>
      </c>
      <c r="Z540" s="34" t="s">
        <v>1448</v>
      </c>
    </row>
    <row r="541" spans="1:26" x14ac:dyDescent="0.25">
      <c r="A541" s="34" t="s">
        <v>1441</v>
      </c>
      <c r="B541" s="34" t="s">
        <v>1442</v>
      </c>
      <c r="C541" s="34" t="s">
        <v>16</v>
      </c>
      <c r="D541" s="34" t="s">
        <v>15</v>
      </c>
      <c r="E541" s="35">
        <v>30041219</v>
      </c>
      <c r="F541" s="34" t="s">
        <v>765</v>
      </c>
      <c r="G541" s="39">
        <v>10078031</v>
      </c>
      <c r="H541" s="42">
        <v>30041219</v>
      </c>
      <c r="I541" s="34" t="s">
        <v>565</v>
      </c>
      <c r="J541" s="34" t="s">
        <v>1443</v>
      </c>
      <c r="K541" s="36">
        <v>43318</v>
      </c>
      <c r="L541" s="34" t="s">
        <v>1444</v>
      </c>
      <c r="M541" s="34" t="s">
        <v>1445</v>
      </c>
      <c r="N541" s="34" t="s">
        <v>717</v>
      </c>
      <c r="O541" s="34" t="s">
        <v>717</v>
      </c>
      <c r="P541" s="34" t="s">
        <v>1462</v>
      </c>
      <c r="Q541" s="34" t="s">
        <v>1462</v>
      </c>
      <c r="R541" s="34" t="s">
        <v>1494</v>
      </c>
      <c r="S541" s="34" t="s">
        <v>1494</v>
      </c>
      <c r="T541" s="34" t="s">
        <v>765</v>
      </c>
      <c r="U541" s="34" t="s">
        <v>765</v>
      </c>
      <c r="V541" s="37">
        <v>8.59</v>
      </c>
      <c r="W541" s="45">
        <v>1917.36</v>
      </c>
      <c r="X541" s="37">
        <v>22220.84</v>
      </c>
      <c r="Y541" s="36">
        <v>43864</v>
      </c>
      <c r="Z541" s="34" t="s">
        <v>1448</v>
      </c>
    </row>
    <row r="542" spans="1:26" x14ac:dyDescent="0.25">
      <c r="A542" s="34" t="s">
        <v>1441</v>
      </c>
      <c r="B542" s="34" t="s">
        <v>1442</v>
      </c>
      <c r="C542" s="34" t="s">
        <v>6</v>
      </c>
      <c r="D542" s="34" t="s">
        <v>15</v>
      </c>
      <c r="E542" s="35">
        <v>30041220</v>
      </c>
      <c r="F542" s="34" t="s">
        <v>766</v>
      </c>
      <c r="G542" s="39">
        <v>10078038</v>
      </c>
      <c r="H542" s="42">
        <v>30041220</v>
      </c>
      <c r="I542" s="34" t="s">
        <v>566</v>
      </c>
      <c r="J542" s="34" t="s">
        <v>1443</v>
      </c>
      <c r="K542" s="36">
        <v>43318</v>
      </c>
      <c r="L542" s="34" t="s">
        <v>1444</v>
      </c>
      <c r="M542" s="34" t="s">
        <v>1445</v>
      </c>
      <c r="N542" s="34" t="s">
        <v>717</v>
      </c>
      <c r="O542" s="34" t="s">
        <v>717</v>
      </c>
      <c r="P542" s="34" t="s">
        <v>1460</v>
      </c>
      <c r="Q542" s="34" t="s">
        <v>1460</v>
      </c>
      <c r="R542" s="34" t="s">
        <v>1461</v>
      </c>
      <c r="S542" s="34" t="s">
        <v>1461</v>
      </c>
      <c r="T542" s="34" t="s">
        <v>766</v>
      </c>
      <c r="U542" s="34" t="s">
        <v>766</v>
      </c>
      <c r="V542" s="37">
        <v>7.37</v>
      </c>
      <c r="W542" s="45">
        <v>1645.05</v>
      </c>
      <c r="X542" s="37">
        <v>22220.9</v>
      </c>
      <c r="Y542" s="36">
        <v>43864</v>
      </c>
      <c r="Z542" s="34" t="s">
        <v>1448</v>
      </c>
    </row>
    <row r="543" spans="1:26" x14ac:dyDescent="0.25">
      <c r="A543" s="34" t="s">
        <v>1441</v>
      </c>
      <c r="B543" s="34" t="s">
        <v>1442</v>
      </c>
      <c r="C543" s="34" t="s">
        <v>16</v>
      </c>
      <c r="D543" s="34" t="s">
        <v>15</v>
      </c>
      <c r="E543" s="35">
        <v>30041221</v>
      </c>
      <c r="F543" s="34" t="s">
        <v>769</v>
      </c>
      <c r="G543" s="39">
        <v>10078209</v>
      </c>
      <c r="H543" s="42">
        <v>30041221</v>
      </c>
      <c r="I543" s="34" t="s">
        <v>567</v>
      </c>
      <c r="J543" s="34" t="s">
        <v>1443</v>
      </c>
      <c r="K543" s="36">
        <v>43332</v>
      </c>
      <c r="L543" s="34" t="s">
        <v>1444</v>
      </c>
      <c r="M543" s="34" t="s">
        <v>1445</v>
      </c>
      <c r="N543" s="34" t="s">
        <v>717</v>
      </c>
      <c r="O543" s="34" t="s">
        <v>717</v>
      </c>
      <c r="P543" s="34" t="s">
        <v>1486</v>
      </c>
      <c r="Q543" s="34" t="s">
        <v>1486</v>
      </c>
      <c r="R543" s="34" t="s">
        <v>1487</v>
      </c>
      <c r="S543" s="34" t="s">
        <v>1487</v>
      </c>
      <c r="T543" s="34" t="s">
        <v>769</v>
      </c>
      <c r="U543" s="34" t="s">
        <v>769</v>
      </c>
      <c r="V543" s="37">
        <v>8.59</v>
      </c>
      <c r="W543" s="45">
        <v>1917.36</v>
      </c>
      <c r="X543" s="37">
        <v>22220.84</v>
      </c>
      <c r="Y543" s="36">
        <v>43864</v>
      </c>
      <c r="Z543" s="34" t="s">
        <v>1448</v>
      </c>
    </row>
    <row r="544" spans="1:26" x14ac:dyDescent="0.25">
      <c r="A544" s="34" t="s">
        <v>1441</v>
      </c>
      <c r="B544" s="34" t="s">
        <v>1442</v>
      </c>
      <c r="C544" s="34" t="s">
        <v>16</v>
      </c>
      <c r="D544" s="34" t="s">
        <v>15</v>
      </c>
      <c r="E544" s="35">
        <v>30041222</v>
      </c>
      <c r="F544" s="34" t="s">
        <v>765</v>
      </c>
      <c r="G544" s="39">
        <v>10078411</v>
      </c>
      <c r="H544" s="42">
        <v>30041222</v>
      </c>
      <c r="I544" s="34" t="s">
        <v>568</v>
      </c>
      <c r="J544" s="34" t="s">
        <v>1443</v>
      </c>
      <c r="K544" s="36">
        <v>43374</v>
      </c>
      <c r="L544" s="34" t="s">
        <v>1444</v>
      </c>
      <c r="M544" s="34" t="s">
        <v>1445</v>
      </c>
      <c r="N544" s="34" t="s">
        <v>717</v>
      </c>
      <c r="O544" s="34" t="s">
        <v>717</v>
      </c>
      <c r="P544" s="34" t="s">
        <v>1462</v>
      </c>
      <c r="Q544" s="34" t="s">
        <v>1462</v>
      </c>
      <c r="R544" s="34" t="s">
        <v>1463</v>
      </c>
      <c r="S544" s="34" t="s">
        <v>1463</v>
      </c>
      <c r="T544" s="34" t="s">
        <v>765</v>
      </c>
      <c r="U544" s="34" t="s">
        <v>765</v>
      </c>
      <c r="V544" s="37">
        <v>8.59</v>
      </c>
      <c r="W544" s="45">
        <v>1917.36</v>
      </c>
      <c r="X544" s="37">
        <v>22220.84</v>
      </c>
      <c r="Y544" s="36">
        <v>43864</v>
      </c>
      <c r="Z544" s="34" t="s">
        <v>1448</v>
      </c>
    </row>
    <row r="545" spans="1:26" x14ac:dyDescent="0.25">
      <c r="A545" s="34" t="s">
        <v>1441</v>
      </c>
      <c r="B545" s="34" t="s">
        <v>1442</v>
      </c>
      <c r="C545" s="34" t="s">
        <v>16</v>
      </c>
      <c r="D545" s="34" t="s">
        <v>15</v>
      </c>
      <c r="E545" s="35">
        <v>30041223</v>
      </c>
      <c r="F545" s="34" t="s">
        <v>765</v>
      </c>
      <c r="G545" s="39">
        <v>10078419</v>
      </c>
      <c r="H545" s="42">
        <v>30041223</v>
      </c>
      <c r="I545" s="34" t="s">
        <v>569</v>
      </c>
      <c r="J545" s="34" t="s">
        <v>1443</v>
      </c>
      <c r="K545" s="36">
        <v>43374</v>
      </c>
      <c r="L545" s="34" t="s">
        <v>1444</v>
      </c>
      <c r="M545" s="34" t="s">
        <v>1445</v>
      </c>
      <c r="N545" s="34" t="s">
        <v>717</v>
      </c>
      <c r="O545" s="34" t="s">
        <v>717</v>
      </c>
      <c r="P545" s="34" t="s">
        <v>1503</v>
      </c>
      <c r="Q545" s="34" t="s">
        <v>1503</v>
      </c>
      <c r="R545" s="34" t="s">
        <v>1504</v>
      </c>
      <c r="S545" s="34" t="s">
        <v>1504</v>
      </c>
      <c r="T545" s="34" t="s">
        <v>765</v>
      </c>
      <c r="U545" s="34" t="s">
        <v>765</v>
      </c>
      <c r="V545" s="37">
        <v>8.59</v>
      </c>
      <c r="W545" s="45">
        <v>1917.36</v>
      </c>
      <c r="X545" s="37">
        <v>22220.84</v>
      </c>
      <c r="Y545" s="36">
        <v>43864</v>
      </c>
      <c r="Z545" s="34" t="s">
        <v>1448</v>
      </c>
    </row>
    <row r="546" spans="1:26" x14ac:dyDescent="0.25">
      <c r="A546" s="34" t="s">
        <v>1441</v>
      </c>
      <c r="B546" s="34" t="s">
        <v>1442</v>
      </c>
      <c r="C546" s="34" t="s">
        <v>16</v>
      </c>
      <c r="D546" s="34" t="s">
        <v>15</v>
      </c>
      <c r="E546" s="35">
        <v>30041224</v>
      </c>
      <c r="F546" s="34" t="s">
        <v>765</v>
      </c>
      <c r="G546" s="39">
        <v>10078420</v>
      </c>
      <c r="H546" s="42">
        <v>30041224</v>
      </c>
      <c r="I546" s="34" t="s">
        <v>570</v>
      </c>
      <c r="J546" s="34" t="s">
        <v>1443</v>
      </c>
      <c r="K546" s="36">
        <v>43374</v>
      </c>
      <c r="L546" s="34" t="s">
        <v>1444</v>
      </c>
      <c r="M546" s="34" t="s">
        <v>1445</v>
      </c>
      <c r="N546" s="34" t="s">
        <v>717</v>
      </c>
      <c r="O546" s="34" t="s">
        <v>717</v>
      </c>
      <c r="P546" s="34" t="s">
        <v>1507</v>
      </c>
      <c r="Q546" s="34" t="s">
        <v>1507</v>
      </c>
      <c r="R546" s="34" t="s">
        <v>1508</v>
      </c>
      <c r="S546" s="34" t="s">
        <v>1508</v>
      </c>
      <c r="T546" s="34" t="s">
        <v>765</v>
      </c>
      <c r="U546" s="34" t="s">
        <v>765</v>
      </c>
      <c r="V546" s="37">
        <v>8.59</v>
      </c>
      <c r="W546" s="45">
        <v>1917.36</v>
      </c>
      <c r="X546" s="37">
        <v>22220.84</v>
      </c>
      <c r="Y546" s="36">
        <v>43864</v>
      </c>
      <c r="Z546" s="34" t="s">
        <v>1448</v>
      </c>
    </row>
    <row r="547" spans="1:26" x14ac:dyDescent="0.25">
      <c r="A547" s="34" t="s">
        <v>1441</v>
      </c>
      <c r="B547" s="34" t="s">
        <v>1442</v>
      </c>
      <c r="C547" s="34" t="s">
        <v>16</v>
      </c>
      <c r="D547" s="34" t="s">
        <v>15</v>
      </c>
      <c r="E547" s="35">
        <v>30041225</v>
      </c>
      <c r="F547" s="34" t="s">
        <v>765</v>
      </c>
      <c r="G547" s="39">
        <v>10078544</v>
      </c>
      <c r="H547" s="42">
        <v>30041225</v>
      </c>
      <c r="I547" s="34" t="s">
        <v>571</v>
      </c>
      <c r="J547" s="34" t="s">
        <v>1443</v>
      </c>
      <c r="K547" s="36">
        <v>43392</v>
      </c>
      <c r="L547" s="34" t="s">
        <v>1444</v>
      </c>
      <c r="M547" s="34" t="s">
        <v>1445</v>
      </c>
      <c r="N547" s="34" t="s">
        <v>717</v>
      </c>
      <c r="O547" s="34" t="s">
        <v>717</v>
      </c>
      <c r="P547" s="34" t="s">
        <v>1507</v>
      </c>
      <c r="Q547" s="34" t="s">
        <v>1507</v>
      </c>
      <c r="R547" s="34" t="s">
        <v>1508</v>
      </c>
      <c r="S547" s="34" t="s">
        <v>1508</v>
      </c>
      <c r="T547" s="34" t="s">
        <v>765</v>
      </c>
      <c r="U547" s="34" t="s">
        <v>765</v>
      </c>
      <c r="V547" s="37">
        <v>8.59</v>
      </c>
      <c r="W547" s="45">
        <v>1917.36</v>
      </c>
      <c r="X547" s="37">
        <v>22220.84</v>
      </c>
      <c r="Y547" s="36">
        <v>43864</v>
      </c>
      <c r="Z547" s="34" t="s">
        <v>1448</v>
      </c>
    </row>
    <row r="548" spans="1:26" x14ac:dyDescent="0.25">
      <c r="A548" s="34" t="s">
        <v>1441</v>
      </c>
      <c r="B548" s="34" t="s">
        <v>1442</v>
      </c>
      <c r="C548" s="34" t="s">
        <v>16</v>
      </c>
      <c r="D548" s="34" t="s">
        <v>15</v>
      </c>
      <c r="E548" s="35">
        <v>30041226</v>
      </c>
      <c r="F548" s="34" t="s">
        <v>769</v>
      </c>
      <c r="G548" s="39">
        <v>10078593</v>
      </c>
      <c r="H548" s="42">
        <v>30041226</v>
      </c>
      <c r="I548" s="34" t="s">
        <v>572</v>
      </c>
      <c r="J548" s="34" t="s">
        <v>1443</v>
      </c>
      <c r="K548" s="36">
        <v>43392</v>
      </c>
      <c r="L548" s="34" t="s">
        <v>1444</v>
      </c>
      <c r="M548" s="34" t="s">
        <v>1445</v>
      </c>
      <c r="N548" s="34" t="s">
        <v>717</v>
      </c>
      <c r="O548" s="34" t="s">
        <v>717</v>
      </c>
      <c r="P548" s="34" t="s">
        <v>1452</v>
      </c>
      <c r="Q548" s="34" t="s">
        <v>1452</v>
      </c>
      <c r="R548" s="34" t="s">
        <v>1458</v>
      </c>
      <c r="S548" s="34" t="s">
        <v>1458</v>
      </c>
      <c r="T548" s="34" t="s">
        <v>769</v>
      </c>
      <c r="U548" s="34" t="s">
        <v>769</v>
      </c>
      <c r="V548" s="37">
        <v>8.59</v>
      </c>
      <c r="W548" s="45">
        <v>1917.36</v>
      </c>
      <c r="X548" s="37">
        <v>22220.84</v>
      </c>
      <c r="Y548" s="36">
        <v>43864</v>
      </c>
      <c r="Z548" s="34" t="s">
        <v>1448</v>
      </c>
    </row>
    <row r="549" spans="1:26" x14ac:dyDescent="0.25">
      <c r="A549" s="34" t="s">
        <v>1441</v>
      </c>
      <c r="B549" s="34" t="s">
        <v>1442</v>
      </c>
      <c r="C549" s="34" t="s">
        <v>16</v>
      </c>
      <c r="D549" s="34" t="s">
        <v>15</v>
      </c>
      <c r="E549" s="35">
        <v>30041227</v>
      </c>
      <c r="F549" s="34" t="s">
        <v>765</v>
      </c>
      <c r="G549" s="39">
        <v>10078704</v>
      </c>
      <c r="H549" s="42">
        <v>30041227</v>
      </c>
      <c r="I549" s="34" t="s">
        <v>573</v>
      </c>
      <c r="J549" s="34" t="s">
        <v>1443</v>
      </c>
      <c r="K549" s="36">
        <v>43409</v>
      </c>
      <c r="L549" s="34" t="s">
        <v>1444</v>
      </c>
      <c r="M549" s="34" t="s">
        <v>1445</v>
      </c>
      <c r="N549" s="34" t="s">
        <v>717</v>
      </c>
      <c r="O549" s="34" t="s">
        <v>717</v>
      </c>
      <c r="P549" s="34" t="s">
        <v>1507</v>
      </c>
      <c r="Q549" s="34" t="s">
        <v>1507</v>
      </c>
      <c r="R549" s="34" t="s">
        <v>1508</v>
      </c>
      <c r="S549" s="34" t="s">
        <v>1508</v>
      </c>
      <c r="T549" s="34" t="s">
        <v>765</v>
      </c>
      <c r="U549" s="34" t="s">
        <v>765</v>
      </c>
      <c r="V549" s="37">
        <v>8.59</v>
      </c>
      <c r="W549" s="45">
        <v>1917.36</v>
      </c>
      <c r="X549" s="37">
        <v>22220.84</v>
      </c>
      <c r="Y549" s="36">
        <v>43864</v>
      </c>
      <c r="Z549" s="34" t="s">
        <v>1448</v>
      </c>
    </row>
    <row r="550" spans="1:26" x14ac:dyDescent="0.25">
      <c r="A550" s="34" t="s">
        <v>1441</v>
      </c>
      <c r="B550" s="34" t="s">
        <v>1442</v>
      </c>
      <c r="C550" s="34" t="s">
        <v>6</v>
      </c>
      <c r="D550" s="34" t="s">
        <v>15</v>
      </c>
      <c r="E550" s="35">
        <v>30041228</v>
      </c>
      <c r="F550" s="34" t="s">
        <v>766</v>
      </c>
      <c r="G550" s="39">
        <v>10078735</v>
      </c>
      <c r="H550" s="42">
        <v>30041228</v>
      </c>
      <c r="I550" s="34" t="s">
        <v>574</v>
      </c>
      <c r="J550" s="34" t="s">
        <v>1443</v>
      </c>
      <c r="K550" s="36">
        <v>43409</v>
      </c>
      <c r="L550" s="34" t="s">
        <v>1444</v>
      </c>
      <c r="M550" s="34" t="s">
        <v>1445</v>
      </c>
      <c r="N550" s="34" t="s">
        <v>717</v>
      </c>
      <c r="O550" s="34" t="s">
        <v>717</v>
      </c>
      <c r="P550" s="34" t="s">
        <v>1460</v>
      </c>
      <c r="Q550" s="34" t="s">
        <v>1460</v>
      </c>
      <c r="R550" s="34" t="s">
        <v>1461</v>
      </c>
      <c r="S550" s="34" t="s">
        <v>1461</v>
      </c>
      <c r="T550" s="34" t="s">
        <v>766</v>
      </c>
      <c r="U550" s="34" t="s">
        <v>766</v>
      </c>
      <c r="V550" s="37">
        <v>7.37</v>
      </c>
      <c r="W550" s="45">
        <v>1645.05</v>
      </c>
      <c r="X550" s="37">
        <v>22220.9</v>
      </c>
      <c r="Y550" s="36">
        <v>43864</v>
      </c>
      <c r="Z550" s="34" t="s">
        <v>1448</v>
      </c>
    </row>
    <row r="551" spans="1:26" x14ac:dyDescent="0.25">
      <c r="A551" s="34" t="s">
        <v>1441</v>
      </c>
      <c r="B551" s="34" t="s">
        <v>1442</v>
      </c>
      <c r="C551" s="34" t="s">
        <v>16</v>
      </c>
      <c r="D551" s="34" t="s">
        <v>15</v>
      </c>
      <c r="E551" s="35">
        <v>30041229</v>
      </c>
      <c r="F551" s="34" t="s">
        <v>769</v>
      </c>
      <c r="G551" s="39">
        <v>10078830</v>
      </c>
      <c r="H551" s="42">
        <v>30041229</v>
      </c>
      <c r="I551" s="34" t="s">
        <v>575</v>
      </c>
      <c r="J551" s="34" t="s">
        <v>1443</v>
      </c>
      <c r="K551" s="36">
        <v>43416</v>
      </c>
      <c r="L551" s="34" t="s">
        <v>1444</v>
      </c>
      <c r="M551" s="34" t="s">
        <v>1445</v>
      </c>
      <c r="N551" s="34" t="s">
        <v>717</v>
      </c>
      <c r="O551" s="34" t="s">
        <v>717</v>
      </c>
      <c r="P551" s="34" t="s">
        <v>1486</v>
      </c>
      <c r="Q551" s="34" t="s">
        <v>1486</v>
      </c>
      <c r="R551" s="34" t="s">
        <v>1489</v>
      </c>
      <c r="S551" s="34" t="s">
        <v>1489</v>
      </c>
      <c r="T551" s="34" t="s">
        <v>769</v>
      </c>
      <c r="U551" s="34" t="s">
        <v>769</v>
      </c>
      <c r="V551" s="37">
        <v>8.59</v>
      </c>
      <c r="W551" s="45">
        <v>1917.36</v>
      </c>
      <c r="X551" s="37">
        <v>22220.84</v>
      </c>
      <c r="Y551" s="36">
        <v>43864</v>
      </c>
      <c r="Z551" s="34" t="s">
        <v>1448</v>
      </c>
    </row>
    <row r="552" spans="1:26" x14ac:dyDescent="0.25">
      <c r="A552" s="34" t="s">
        <v>1441</v>
      </c>
      <c r="B552" s="34" t="s">
        <v>1442</v>
      </c>
      <c r="C552" s="34" t="s">
        <v>16</v>
      </c>
      <c r="D552" s="34" t="s">
        <v>15</v>
      </c>
      <c r="E552" s="35">
        <v>30041230</v>
      </c>
      <c r="F552" s="34" t="s">
        <v>769</v>
      </c>
      <c r="G552" s="39">
        <v>10078833</v>
      </c>
      <c r="H552" s="42">
        <v>30041230</v>
      </c>
      <c r="I552" s="34" t="s">
        <v>576</v>
      </c>
      <c r="J552" s="34" t="s">
        <v>1443</v>
      </c>
      <c r="K552" s="36">
        <v>43416</v>
      </c>
      <c r="L552" s="34" t="s">
        <v>1444</v>
      </c>
      <c r="M552" s="34" t="s">
        <v>1445</v>
      </c>
      <c r="N552" s="34" t="s">
        <v>717</v>
      </c>
      <c r="O552" s="34" t="s">
        <v>717</v>
      </c>
      <c r="P552" s="34" t="s">
        <v>1486</v>
      </c>
      <c r="Q552" s="34" t="s">
        <v>1486</v>
      </c>
      <c r="R552" s="34" t="s">
        <v>1488</v>
      </c>
      <c r="S552" s="34" t="s">
        <v>1488</v>
      </c>
      <c r="T552" s="34" t="s">
        <v>769</v>
      </c>
      <c r="U552" s="34" t="s">
        <v>769</v>
      </c>
      <c r="V552" s="37">
        <v>8.59</v>
      </c>
      <c r="W552" s="45">
        <v>1917.36</v>
      </c>
      <c r="X552" s="37">
        <v>22220.84</v>
      </c>
      <c r="Y552" s="36">
        <v>43864</v>
      </c>
      <c r="Z552" s="34" t="s">
        <v>1448</v>
      </c>
    </row>
    <row r="553" spans="1:26" x14ac:dyDescent="0.25">
      <c r="A553" s="34" t="s">
        <v>1441</v>
      </c>
      <c r="B553" s="34" t="s">
        <v>1442</v>
      </c>
      <c r="C553" s="34" t="s">
        <v>16</v>
      </c>
      <c r="D553" s="34" t="s">
        <v>15</v>
      </c>
      <c r="E553" s="35">
        <v>30041231</v>
      </c>
      <c r="F553" s="34" t="s">
        <v>769</v>
      </c>
      <c r="G553" s="39">
        <v>10078838</v>
      </c>
      <c r="H553" s="42">
        <v>30041231</v>
      </c>
      <c r="I553" s="34" t="s">
        <v>577</v>
      </c>
      <c r="J553" s="34" t="s">
        <v>1443</v>
      </c>
      <c r="K553" s="36">
        <v>43416</v>
      </c>
      <c r="L553" s="34" t="s">
        <v>1444</v>
      </c>
      <c r="M553" s="34" t="s">
        <v>1445</v>
      </c>
      <c r="N553" s="34" t="s">
        <v>717</v>
      </c>
      <c r="O553" s="34" t="s">
        <v>717</v>
      </c>
      <c r="P553" s="34" t="s">
        <v>1486</v>
      </c>
      <c r="Q553" s="34" t="s">
        <v>1486</v>
      </c>
      <c r="R553" s="34" t="s">
        <v>1487</v>
      </c>
      <c r="S553" s="34" t="s">
        <v>1487</v>
      </c>
      <c r="T553" s="34" t="s">
        <v>769</v>
      </c>
      <c r="U553" s="34" t="s">
        <v>769</v>
      </c>
      <c r="V553" s="37">
        <v>8.59</v>
      </c>
      <c r="W553" s="45">
        <v>1917.36</v>
      </c>
      <c r="X553" s="37">
        <v>22220.84</v>
      </c>
      <c r="Y553" s="36">
        <v>43864</v>
      </c>
      <c r="Z553" s="34" t="s">
        <v>1448</v>
      </c>
    </row>
    <row r="554" spans="1:26" x14ac:dyDescent="0.25">
      <c r="A554" s="34" t="s">
        <v>1441</v>
      </c>
      <c r="B554" s="34" t="s">
        <v>1442</v>
      </c>
      <c r="C554" s="34" t="s">
        <v>16</v>
      </c>
      <c r="D554" s="34" t="s">
        <v>15</v>
      </c>
      <c r="E554" s="35">
        <v>30041232</v>
      </c>
      <c r="F554" s="34" t="s">
        <v>769</v>
      </c>
      <c r="G554" s="39">
        <v>10078839</v>
      </c>
      <c r="H554" s="42">
        <v>30041232</v>
      </c>
      <c r="I554" s="34" t="s">
        <v>578</v>
      </c>
      <c r="J554" s="34" t="s">
        <v>1443</v>
      </c>
      <c r="K554" s="36">
        <v>43416</v>
      </c>
      <c r="L554" s="34" t="s">
        <v>1444</v>
      </c>
      <c r="M554" s="34" t="s">
        <v>1445</v>
      </c>
      <c r="N554" s="34" t="s">
        <v>717</v>
      </c>
      <c r="O554" s="34" t="s">
        <v>717</v>
      </c>
      <c r="P554" s="34" t="s">
        <v>1486</v>
      </c>
      <c r="Q554" s="34" t="s">
        <v>1486</v>
      </c>
      <c r="R554" s="34" t="s">
        <v>1487</v>
      </c>
      <c r="S554" s="34" t="s">
        <v>1487</v>
      </c>
      <c r="T554" s="34" t="s">
        <v>769</v>
      </c>
      <c r="U554" s="34" t="s">
        <v>769</v>
      </c>
      <c r="V554" s="37">
        <v>8.59</v>
      </c>
      <c r="W554" s="45">
        <v>1917.36</v>
      </c>
      <c r="X554" s="37">
        <v>22220.84</v>
      </c>
      <c r="Y554" s="36">
        <v>43864</v>
      </c>
      <c r="Z554" s="34" t="s">
        <v>1448</v>
      </c>
    </row>
    <row r="555" spans="1:26" x14ac:dyDescent="0.25">
      <c r="A555" s="34" t="s">
        <v>1441</v>
      </c>
      <c r="B555" s="34" t="s">
        <v>1442</v>
      </c>
      <c r="C555" s="34" t="s">
        <v>16</v>
      </c>
      <c r="D555" s="34" t="s">
        <v>15</v>
      </c>
      <c r="E555" s="35">
        <v>30041233</v>
      </c>
      <c r="F555" s="34" t="s">
        <v>769</v>
      </c>
      <c r="G555" s="39">
        <v>10078853</v>
      </c>
      <c r="H555" s="42">
        <v>30041233</v>
      </c>
      <c r="I555" s="34" t="s">
        <v>579</v>
      </c>
      <c r="J555" s="34" t="s">
        <v>1443</v>
      </c>
      <c r="K555" s="36">
        <v>43416</v>
      </c>
      <c r="L555" s="34" t="s">
        <v>1444</v>
      </c>
      <c r="M555" s="34" t="s">
        <v>1445</v>
      </c>
      <c r="N555" s="34" t="s">
        <v>717</v>
      </c>
      <c r="O555" s="34" t="s">
        <v>717</v>
      </c>
      <c r="P555" s="34" t="s">
        <v>1446</v>
      </c>
      <c r="Q555" s="34" t="s">
        <v>1446</v>
      </c>
      <c r="R555" s="34" t="s">
        <v>1447</v>
      </c>
      <c r="S555" s="34" t="s">
        <v>1447</v>
      </c>
      <c r="T555" s="34" t="s">
        <v>769</v>
      </c>
      <c r="U555" s="34" t="s">
        <v>769</v>
      </c>
      <c r="V555" s="37">
        <v>8.59</v>
      </c>
      <c r="W555" s="45">
        <v>1917.36</v>
      </c>
      <c r="X555" s="37">
        <v>22220.84</v>
      </c>
      <c r="Y555" s="36">
        <v>43864</v>
      </c>
      <c r="Z555" s="34" t="s">
        <v>1448</v>
      </c>
    </row>
    <row r="556" spans="1:26" x14ac:dyDescent="0.25">
      <c r="A556" s="34" t="s">
        <v>1441</v>
      </c>
      <c r="B556" s="34" t="s">
        <v>1442</v>
      </c>
      <c r="C556" s="34" t="s">
        <v>16</v>
      </c>
      <c r="D556" s="34" t="s">
        <v>15</v>
      </c>
      <c r="E556" s="35">
        <v>30041234</v>
      </c>
      <c r="F556" s="34" t="s">
        <v>765</v>
      </c>
      <c r="G556" s="39">
        <v>10078855</v>
      </c>
      <c r="H556" s="42">
        <v>30041234</v>
      </c>
      <c r="I556" s="34" t="s">
        <v>580</v>
      </c>
      <c r="J556" s="34" t="s">
        <v>1443</v>
      </c>
      <c r="K556" s="36">
        <v>43416</v>
      </c>
      <c r="L556" s="34" t="s">
        <v>1444</v>
      </c>
      <c r="M556" s="34" t="s">
        <v>1445</v>
      </c>
      <c r="N556" s="34" t="s">
        <v>717</v>
      </c>
      <c r="O556" s="34" t="s">
        <v>717</v>
      </c>
      <c r="P556" s="34" t="s">
        <v>1503</v>
      </c>
      <c r="Q556" s="34" t="s">
        <v>1503</v>
      </c>
      <c r="R556" s="34" t="s">
        <v>1504</v>
      </c>
      <c r="S556" s="34" t="s">
        <v>1504</v>
      </c>
      <c r="T556" s="34" t="s">
        <v>765</v>
      </c>
      <c r="U556" s="34" t="s">
        <v>765</v>
      </c>
      <c r="V556" s="37">
        <v>8.59</v>
      </c>
      <c r="W556" s="45">
        <v>1917.36</v>
      </c>
      <c r="X556" s="37">
        <v>22220.84</v>
      </c>
      <c r="Y556" s="36">
        <v>43864</v>
      </c>
      <c r="Z556" s="34" t="s">
        <v>1448</v>
      </c>
    </row>
    <row r="557" spans="1:26" x14ac:dyDescent="0.25">
      <c r="A557" s="34" t="s">
        <v>1441</v>
      </c>
      <c r="B557" s="34" t="s">
        <v>1442</v>
      </c>
      <c r="C557" s="34" t="s">
        <v>16</v>
      </c>
      <c r="D557" s="34" t="s">
        <v>15</v>
      </c>
      <c r="E557" s="35">
        <v>30041235</v>
      </c>
      <c r="F557" s="34" t="s">
        <v>765</v>
      </c>
      <c r="G557" s="39">
        <v>10078914</v>
      </c>
      <c r="H557" s="42">
        <v>30041235</v>
      </c>
      <c r="I557" s="34" t="s">
        <v>581</v>
      </c>
      <c r="J557" s="34" t="s">
        <v>1443</v>
      </c>
      <c r="K557" s="36">
        <v>43424</v>
      </c>
      <c r="L557" s="34" t="s">
        <v>1444</v>
      </c>
      <c r="M557" s="34" t="s">
        <v>1445</v>
      </c>
      <c r="N557" s="34" t="s">
        <v>717</v>
      </c>
      <c r="O557" s="34" t="s">
        <v>717</v>
      </c>
      <c r="P557" s="34" t="s">
        <v>1462</v>
      </c>
      <c r="Q557" s="34" t="s">
        <v>1462</v>
      </c>
      <c r="R557" s="34" t="s">
        <v>1494</v>
      </c>
      <c r="S557" s="34" t="s">
        <v>1494</v>
      </c>
      <c r="T557" s="34" t="s">
        <v>765</v>
      </c>
      <c r="U557" s="34" t="s">
        <v>765</v>
      </c>
      <c r="V557" s="37">
        <v>8.59</v>
      </c>
      <c r="W557" s="45">
        <v>1917.36</v>
      </c>
      <c r="X557" s="37">
        <v>22220.84</v>
      </c>
      <c r="Y557" s="36">
        <v>43864</v>
      </c>
      <c r="Z557" s="34" t="s">
        <v>1448</v>
      </c>
    </row>
    <row r="558" spans="1:26" x14ac:dyDescent="0.25">
      <c r="A558" s="34" t="s">
        <v>1441</v>
      </c>
      <c r="B558" s="34" t="s">
        <v>1442</v>
      </c>
      <c r="C558" s="34" t="s">
        <v>6</v>
      </c>
      <c r="D558" s="34" t="s">
        <v>15</v>
      </c>
      <c r="E558" s="35">
        <v>30041236</v>
      </c>
      <c r="F558" s="34" t="s">
        <v>18</v>
      </c>
      <c r="G558" s="39">
        <v>10078916</v>
      </c>
      <c r="H558" s="42">
        <v>30041236</v>
      </c>
      <c r="I558" s="34" t="s">
        <v>582</v>
      </c>
      <c r="J558" s="34" t="s">
        <v>1443</v>
      </c>
      <c r="K558" s="36">
        <v>43424</v>
      </c>
      <c r="L558" s="34" t="s">
        <v>1444</v>
      </c>
      <c r="M558" s="34" t="s">
        <v>1445</v>
      </c>
      <c r="N558" s="34" t="s">
        <v>717</v>
      </c>
      <c r="O558" s="34" t="s">
        <v>717</v>
      </c>
      <c r="P558" s="34" t="s">
        <v>1509</v>
      </c>
      <c r="Q558" s="34" t="s">
        <v>1509</v>
      </c>
      <c r="R558" s="34" t="s">
        <v>1510</v>
      </c>
      <c r="S558" s="34" t="s">
        <v>1510</v>
      </c>
      <c r="T558" s="34" t="s">
        <v>18</v>
      </c>
      <c r="U558" s="34" t="s">
        <v>18</v>
      </c>
      <c r="V558" s="37">
        <v>7.37</v>
      </c>
      <c r="W558" s="45">
        <v>1645.05</v>
      </c>
      <c r="X558" s="37">
        <v>22220.9</v>
      </c>
      <c r="Y558" s="36">
        <v>43864</v>
      </c>
      <c r="Z558" s="34" t="s">
        <v>1448</v>
      </c>
    </row>
    <row r="559" spans="1:26" x14ac:dyDescent="0.25">
      <c r="A559" s="34" t="s">
        <v>1441</v>
      </c>
      <c r="B559" s="34" t="s">
        <v>1442</v>
      </c>
      <c r="C559" s="34" t="s">
        <v>6</v>
      </c>
      <c r="D559" s="34" t="s">
        <v>15</v>
      </c>
      <c r="E559" s="35">
        <v>30041237</v>
      </c>
      <c r="F559" s="34" t="s">
        <v>766</v>
      </c>
      <c r="G559" s="39">
        <v>10078934</v>
      </c>
      <c r="H559" s="42">
        <v>30041237</v>
      </c>
      <c r="I559" s="34" t="s">
        <v>583</v>
      </c>
      <c r="J559" s="34" t="s">
        <v>1443</v>
      </c>
      <c r="K559" s="36">
        <v>43424</v>
      </c>
      <c r="L559" s="34" t="s">
        <v>1444</v>
      </c>
      <c r="M559" s="34" t="s">
        <v>1445</v>
      </c>
      <c r="N559" s="34" t="s">
        <v>717</v>
      </c>
      <c r="O559" s="34" t="s">
        <v>717</v>
      </c>
      <c r="P559" s="34" t="s">
        <v>1460</v>
      </c>
      <c r="Q559" s="34" t="s">
        <v>1460</v>
      </c>
      <c r="R559" s="34" t="s">
        <v>1461</v>
      </c>
      <c r="S559" s="34" t="s">
        <v>1461</v>
      </c>
      <c r="T559" s="34" t="s">
        <v>766</v>
      </c>
      <c r="U559" s="34" t="s">
        <v>766</v>
      </c>
      <c r="V559" s="37">
        <v>7.37</v>
      </c>
      <c r="W559" s="45">
        <v>1645.05</v>
      </c>
      <c r="X559" s="37">
        <v>22220.9</v>
      </c>
      <c r="Y559" s="36">
        <v>43864</v>
      </c>
      <c r="Z559" s="34" t="s">
        <v>1448</v>
      </c>
    </row>
    <row r="560" spans="1:26" x14ac:dyDescent="0.25">
      <c r="A560" s="34" t="s">
        <v>1441</v>
      </c>
      <c r="B560" s="34" t="s">
        <v>1442</v>
      </c>
      <c r="C560" s="34" t="s">
        <v>16</v>
      </c>
      <c r="D560" s="34" t="s">
        <v>15</v>
      </c>
      <c r="E560" s="35">
        <v>30041238</v>
      </c>
      <c r="F560" s="34" t="s">
        <v>757</v>
      </c>
      <c r="G560" s="39">
        <v>10079022</v>
      </c>
      <c r="H560" s="42">
        <v>30041238</v>
      </c>
      <c r="I560" s="34" t="s">
        <v>584</v>
      </c>
      <c r="J560" s="34" t="s">
        <v>1443</v>
      </c>
      <c r="K560" s="36">
        <v>43437</v>
      </c>
      <c r="L560" s="34" t="s">
        <v>1444</v>
      </c>
      <c r="M560" s="34" t="s">
        <v>1445</v>
      </c>
      <c r="N560" s="34" t="s">
        <v>717</v>
      </c>
      <c r="O560" s="34" t="s">
        <v>717</v>
      </c>
      <c r="P560" s="34" t="s">
        <v>1490</v>
      </c>
      <c r="Q560" s="34" t="s">
        <v>1490</v>
      </c>
      <c r="R560" s="34" t="s">
        <v>1491</v>
      </c>
      <c r="S560" s="34" t="s">
        <v>1491</v>
      </c>
      <c r="T560" s="34" t="s">
        <v>757</v>
      </c>
      <c r="U560" s="34" t="s">
        <v>757</v>
      </c>
      <c r="V560" s="37">
        <v>7.37</v>
      </c>
      <c r="W560" s="45">
        <v>1645.05</v>
      </c>
      <c r="X560" s="37">
        <v>22220.9</v>
      </c>
      <c r="Y560" s="36">
        <v>43864</v>
      </c>
      <c r="Z560" s="34" t="s">
        <v>1448</v>
      </c>
    </row>
    <row r="561" spans="1:26" x14ac:dyDescent="0.25">
      <c r="A561" s="34" t="s">
        <v>1441</v>
      </c>
      <c r="B561" s="34" t="s">
        <v>1442</v>
      </c>
      <c r="C561" s="34" t="s">
        <v>16</v>
      </c>
      <c r="D561" s="34" t="s">
        <v>15</v>
      </c>
      <c r="E561" s="35">
        <v>30041239</v>
      </c>
      <c r="F561" s="34" t="s">
        <v>765</v>
      </c>
      <c r="G561" s="39">
        <v>10079025</v>
      </c>
      <c r="H561" s="42">
        <v>30041239</v>
      </c>
      <c r="I561" s="34" t="s">
        <v>585</v>
      </c>
      <c r="J561" s="34" t="s">
        <v>1443</v>
      </c>
      <c r="K561" s="36">
        <v>43437</v>
      </c>
      <c r="L561" s="34" t="s">
        <v>1444</v>
      </c>
      <c r="M561" s="34" t="s">
        <v>1445</v>
      </c>
      <c r="N561" s="34" t="s">
        <v>717</v>
      </c>
      <c r="O561" s="34" t="s">
        <v>717</v>
      </c>
      <c r="P561" s="34" t="s">
        <v>1462</v>
      </c>
      <c r="Q561" s="34" t="s">
        <v>1462</v>
      </c>
      <c r="R561" s="34" t="s">
        <v>1478</v>
      </c>
      <c r="S561" s="34" t="s">
        <v>1478</v>
      </c>
      <c r="T561" s="34" t="s">
        <v>765</v>
      </c>
      <c r="U561" s="34" t="s">
        <v>765</v>
      </c>
      <c r="V561" s="37">
        <v>8.59</v>
      </c>
      <c r="W561" s="45">
        <v>1917.36</v>
      </c>
      <c r="X561" s="37">
        <v>22220.84</v>
      </c>
      <c r="Y561" s="36">
        <v>43864</v>
      </c>
      <c r="Z561" s="34" t="s">
        <v>1448</v>
      </c>
    </row>
    <row r="562" spans="1:26" x14ac:dyDescent="0.25">
      <c r="A562" s="34" t="s">
        <v>1441</v>
      </c>
      <c r="B562" s="34" t="s">
        <v>1442</v>
      </c>
      <c r="C562" s="34" t="s">
        <v>16</v>
      </c>
      <c r="D562" s="34" t="s">
        <v>15</v>
      </c>
      <c r="E562" s="35">
        <v>30041240</v>
      </c>
      <c r="F562" s="34" t="s">
        <v>769</v>
      </c>
      <c r="G562" s="39">
        <v>10079189</v>
      </c>
      <c r="H562" s="42">
        <v>30041240</v>
      </c>
      <c r="I562" s="34" t="s">
        <v>586</v>
      </c>
      <c r="J562" s="34" t="s">
        <v>1443</v>
      </c>
      <c r="K562" s="36">
        <v>43452</v>
      </c>
      <c r="L562" s="34" t="s">
        <v>1444</v>
      </c>
      <c r="M562" s="34" t="s">
        <v>1445</v>
      </c>
      <c r="N562" s="34" t="s">
        <v>717</v>
      </c>
      <c r="O562" s="34" t="s">
        <v>717</v>
      </c>
      <c r="P562" s="34" t="s">
        <v>1486</v>
      </c>
      <c r="Q562" s="34" t="s">
        <v>1486</v>
      </c>
      <c r="R562" s="34" t="s">
        <v>1488</v>
      </c>
      <c r="S562" s="34" t="s">
        <v>1488</v>
      </c>
      <c r="T562" s="34" t="s">
        <v>769</v>
      </c>
      <c r="U562" s="34" t="s">
        <v>769</v>
      </c>
      <c r="V562" s="37">
        <v>8.59</v>
      </c>
      <c r="W562" s="45">
        <v>1917.36</v>
      </c>
      <c r="X562" s="37">
        <v>22220.84</v>
      </c>
      <c r="Y562" s="36">
        <v>43864</v>
      </c>
      <c r="Z562" s="34" t="s">
        <v>1448</v>
      </c>
    </row>
    <row r="563" spans="1:26" x14ac:dyDescent="0.25">
      <c r="A563" s="34" t="s">
        <v>1441</v>
      </c>
      <c r="B563" s="34" t="s">
        <v>1442</v>
      </c>
      <c r="C563" s="34" t="s">
        <v>16</v>
      </c>
      <c r="D563" s="34" t="s">
        <v>15</v>
      </c>
      <c r="E563" s="35">
        <v>30041241</v>
      </c>
      <c r="F563" s="34" t="s">
        <v>771</v>
      </c>
      <c r="G563" s="39">
        <v>10079295</v>
      </c>
      <c r="H563" s="42">
        <v>30041241</v>
      </c>
      <c r="I563" s="34" t="s">
        <v>587</v>
      </c>
      <c r="J563" s="34" t="s">
        <v>1443</v>
      </c>
      <c r="K563" s="36">
        <v>43472</v>
      </c>
      <c r="L563" s="34" t="s">
        <v>1444</v>
      </c>
      <c r="M563" s="34" t="s">
        <v>1445</v>
      </c>
      <c r="N563" s="34" t="s">
        <v>717</v>
      </c>
      <c r="O563" s="34" t="s">
        <v>717</v>
      </c>
      <c r="P563" s="34" t="s">
        <v>1466</v>
      </c>
      <c r="Q563" s="34" t="s">
        <v>1466</v>
      </c>
      <c r="R563" s="34" t="s">
        <v>1467</v>
      </c>
      <c r="S563" s="34" t="s">
        <v>1467</v>
      </c>
      <c r="T563" s="34" t="s">
        <v>771</v>
      </c>
      <c r="U563" s="34" t="s">
        <v>771</v>
      </c>
      <c r="V563" s="37">
        <v>8.59</v>
      </c>
      <c r="W563" s="45">
        <v>1917.36</v>
      </c>
      <c r="X563" s="37">
        <v>22220.84</v>
      </c>
      <c r="Y563" s="36">
        <v>43864</v>
      </c>
      <c r="Z563" s="34" t="s">
        <v>1448</v>
      </c>
    </row>
    <row r="564" spans="1:26" x14ac:dyDescent="0.25">
      <c r="A564" s="34" t="s">
        <v>1441</v>
      </c>
      <c r="B564" s="34" t="s">
        <v>1442</v>
      </c>
      <c r="C564" s="34" t="s">
        <v>6</v>
      </c>
      <c r="D564" s="34" t="s">
        <v>15</v>
      </c>
      <c r="E564" s="35">
        <v>30041242</v>
      </c>
      <c r="F564" s="34" t="s">
        <v>766</v>
      </c>
      <c r="G564" s="39">
        <v>10079500</v>
      </c>
      <c r="H564" s="42">
        <v>30041242</v>
      </c>
      <c r="I564" s="34" t="s">
        <v>588</v>
      </c>
      <c r="J564" s="34" t="s">
        <v>1443</v>
      </c>
      <c r="K564" s="36">
        <v>43479</v>
      </c>
      <c r="L564" s="34" t="s">
        <v>1444</v>
      </c>
      <c r="M564" s="34" t="s">
        <v>1445</v>
      </c>
      <c r="N564" s="34" t="s">
        <v>717</v>
      </c>
      <c r="O564" s="34" t="s">
        <v>717</v>
      </c>
      <c r="P564" s="34" t="s">
        <v>1460</v>
      </c>
      <c r="Q564" s="34" t="s">
        <v>1460</v>
      </c>
      <c r="R564" s="34" t="s">
        <v>1461</v>
      </c>
      <c r="S564" s="34" t="s">
        <v>1461</v>
      </c>
      <c r="T564" s="34" t="s">
        <v>766</v>
      </c>
      <c r="U564" s="34" t="s">
        <v>766</v>
      </c>
      <c r="V564" s="37">
        <v>7.37</v>
      </c>
      <c r="W564" s="45">
        <v>1645.05</v>
      </c>
      <c r="X564" s="37">
        <v>22220.9</v>
      </c>
      <c r="Y564" s="36">
        <v>43864</v>
      </c>
      <c r="Z564" s="34" t="s">
        <v>1448</v>
      </c>
    </row>
    <row r="565" spans="1:26" x14ac:dyDescent="0.25">
      <c r="A565" s="34" t="s">
        <v>1441</v>
      </c>
      <c r="B565" s="34" t="s">
        <v>1442</v>
      </c>
      <c r="C565" s="34" t="s">
        <v>16</v>
      </c>
      <c r="D565" s="34" t="s">
        <v>15</v>
      </c>
      <c r="E565" s="35">
        <v>30041243</v>
      </c>
      <c r="F565" s="34" t="s">
        <v>757</v>
      </c>
      <c r="G565" s="39">
        <v>10079503</v>
      </c>
      <c r="H565" s="42">
        <v>30041243</v>
      </c>
      <c r="I565" s="34" t="s">
        <v>589</v>
      </c>
      <c r="J565" s="34" t="s">
        <v>1443</v>
      </c>
      <c r="K565" s="36">
        <v>43479</v>
      </c>
      <c r="L565" s="34" t="s">
        <v>1444</v>
      </c>
      <c r="M565" s="34" t="s">
        <v>1445</v>
      </c>
      <c r="N565" s="34" t="s">
        <v>717</v>
      </c>
      <c r="O565" s="34" t="s">
        <v>717</v>
      </c>
      <c r="P565" s="34" t="s">
        <v>1470</v>
      </c>
      <c r="Q565" s="34" t="s">
        <v>1470</v>
      </c>
      <c r="R565" s="34" t="s">
        <v>1482</v>
      </c>
      <c r="S565" s="34" t="s">
        <v>1482</v>
      </c>
      <c r="T565" s="34" t="s">
        <v>757</v>
      </c>
      <c r="U565" s="34" t="s">
        <v>757</v>
      </c>
      <c r="V565" s="37">
        <v>7.37</v>
      </c>
      <c r="W565" s="45">
        <v>1645.05</v>
      </c>
      <c r="X565" s="37">
        <v>22220.9</v>
      </c>
      <c r="Y565" s="36">
        <v>43864</v>
      </c>
      <c r="Z565" s="34" t="s">
        <v>1448</v>
      </c>
    </row>
    <row r="566" spans="1:26" x14ac:dyDescent="0.25">
      <c r="A566" s="34" t="s">
        <v>1441</v>
      </c>
      <c r="B566" s="34" t="s">
        <v>1442</v>
      </c>
      <c r="C566" s="34" t="s">
        <v>16</v>
      </c>
      <c r="D566" s="34" t="s">
        <v>15</v>
      </c>
      <c r="E566" s="35">
        <v>30041244</v>
      </c>
      <c r="F566" s="34" t="s">
        <v>757</v>
      </c>
      <c r="G566" s="39">
        <v>10079631</v>
      </c>
      <c r="H566" s="42">
        <v>30041244</v>
      </c>
      <c r="I566" s="34" t="s">
        <v>590</v>
      </c>
      <c r="J566" s="34" t="s">
        <v>1443</v>
      </c>
      <c r="K566" s="36">
        <v>43500</v>
      </c>
      <c r="L566" s="34" t="s">
        <v>1444</v>
      </c>
      <c r="M566" s="34" t="s">
        <v>1445</v>
      </c>
      <c r="N566" s="34" t="s">
        <v>717</v>
      </c>
      <c r="O566" s="34" t="s">
        <v>717</v>
      </c>
      <c r="P566" s="34" t="s">
        <v>1470</v>
      </c>
      <c r="Q566" s="34" t="s">
        <v>1470</v>
      </c>
      <c r="R566" s="34" t="s">
        <v>1482</v>
      </c>
      <c r="S566" s="34" t="s">
        <v>1482</v>
      </c>
      <c r="T566" s="34" t="s">
        <v>757</v>
      </c>
      <c r="U566" s="34" t="s">
        <v>757</v>
      </c>
      <c r="V566" s="37">
        <v>7.37</v>
      </c>
      <c r="W566" s="45">
        <v>1645.05</v>
      </c>
      <c r="X566" s="37">
        <v>22220.9</v>
      </c>
      <c r="Y566" s="36">
        <v>43864</v>
      </c>
      <c r="Z566" s="34" t="s">
        <v>1448</v>
      </c>
    </row>
    <row r="567" spans="1:26" x14ac:dyDescent="0.25">
      <c r="A567" s="34" t="s">
        <v>1441</v>
      </c>
      <c r="B567" s="34" t="s">
        <v>1442</v>
      </c>
      <c r="C567" s="34" t="s">
        <v>16</v>
      </c>
      <c r="D567" s="34" t="s">
        <v>15</v>
      </c>
      <c r="E567" s="35">
        <v>30041245</v>
      </c>
      <c r="F567" s="34" t="s">
        <v>757</v>
      </c>
      <c r="G567" s="39">
        <v>10079640</v>
      </c>
      <c r="H567" s="42">
        <v>30041245</v>
      </c>
      <c r="I567" s="34" t="s">
        <v>591</v>
      </c>
      <c r="J567" s="34" t="s">
        <v>1443</v>
      </c>
      <c r="K567" s="36">
        <v>43500</v>
      </c>
      <c r="L567" s="34" t="s">
        <v>1444</v>
      </c>
      <c r="M567" s="34" t="s">
        <v>1445</v>
      </c>
      <c r="N567" s="34" t="s">
        <v>717</v>
      </c>
      <c r="O567" s="34" t="s">
        <v>717</v>
      </c>
      <c r="P567" s="34" t="s">
        <v>1456</v>
      </c>
      <c r="Q567" s="34" t="s">
        <v>1456</v>
      </c>
      <c r="R567" s="34" t="s">
        <v>1457</v>
      </c>
      <c r="S567" s="34" t="s">
        <v>1457</v>
      </c>
      <c r="T567" s="34" t="s">
        <v>757</v>
      </c>
      <c r="U567" s="34" t="s">
        <v>757</v>
      </c>
      <c r="V567" s="37">
        <v>7.37</v>
      </c>
      <c r="W567" s="45">
        <v>1645.05</v>
      </c>
      <c r="X567" s="37">
        <v>22220.9</v>
      </c>
      <c r="Y567" s="36">
        <v>43864</v>
      </c>
      <c r="Z567" s="34" t="s">
        <v>1448</v>
      </c>
    </row>
    <row r="568" spans="1:26" x14ac:dyDescent="0.25">
      <c r="A568" s="34" t="s">
        <v>1441</v>
      </c>
      <c r="B568" s="34" t="s">
        <v>1442</v>
      </c>
      <c r="C568" s="34" t="s">
        <v>16</v>
      </c>
      <c r="D568" s="34" t="s">
        <v>15</v>
      </c>
      <c r="E568" s="35">
        <v>30041246</v>
      </c>
      <c r="F568" s="34" t="s">
        <v>769</v>
      </c>
      <c r="G568" s="39">
        <v>10079649</v>
      </c>
      <c r="H568" s="42">
        <v>30041246</v>
      </c>
      <c r="I568" s="34" t="s">
        <v>592</v>
      </c>
      <c r="J568" s="34" t="s">
        <v>1443</v>
      </c>
      <c r="K568" s="36">
        <v>43500</v>
      </c>
      <c r="L568" s="34" t="s">
        <v>1444</v>
      </c>
      <c r="M568" s="34" t="s">
        <v>1445</v>
      </c>
      <c r="N568" s="34" t="s">
        <v>717</v>
      </c>
      <c r="O568" s="34" t="s">
        <v>717</v>
      </c>
      <c r="P568" s="34" t="s">
        <v>1486</v>
      </c>
      <c r="Q568" s="34" t="s">
        <v>1486</v>
      </c>
      <c r="R568" s="34" t="s">
        <v>1487</v>
      </c>
      <c r="S568" s="34" t="s">
        <v>1487</v>
      </c>
      <c r="T568" s="34" t="s">
        <v>769</v>
      </c>
      <c r="U568" s="34" t="s">
        <v>769</v>
      </c>
      <c r="V568" s="37">
        <v>8.59</v>
      </c>
      <c r="W568" s="45">
        <v>1917.36</v>
      </c>
      <c r="X568" s="37">
        <v>22220.84</v>
      </c>
      <c r="Y568" s="36">
        <v>43864</v>
      </c>
      <c r="Z568" s="34" t="s">
        <v>1448</v>
      </c>
    </row>
    <row r="569" spans="1:26" x14ac:dyDescent="0.25">
      <c r="A569" s="34" t="s">
        <v>1441</v>
      </c>
      <c r="B569" s="34" t="s">
        <v>1442</v>
      </c>
      <c r="C569" s="34" t="s">
        <v>16</v>
      </c>
      <c r="D569" s="34" t="s">
        <v>15</v>
      </c>
      <c r="E569" s="35">
        <v>30041247</v>
      </c>
      <c r="F569" s="34" t="s">
        <v>771</v>
      </c>
      <c r="G569" s="39">
        <v>10079653</v>
      </c>
      <c r="H569" s="42">
        <v>30041247</v>
      </c>
      <c r="I569" s="34" t="s">
        <v>593</v>
      </c>
      <c r="J569" s="34" t="s">
        <v>1443</v>
      </c>
      <c r="K569" s="36">
        <v>43500</v>
      </c>
      <c r="L569" s="34" t="s">
        <v>1444</v>
      </c>
      <c r="M569" s="34" t="s">
        <v>1445</v>
      </c>
      <c r="N569" s="34" t="s">
        <v>717</v>
      </c>
      <c r="O569" s="34" t="s">
        <v>717</v>
      </c>
      <c r="P569" s="34" t="s">
        <v>1466</v>
      </c>
      <c r="Q569" s="34" t="s">
        <v>1466</v>
      </c>
      <c r="R569" s="34" t="s">
        <v>1467</v>
      </c>
      <c r="S569" s="34" t="s">
        <v>1467</v>
      </c>
      <c r="T569" s="34" t="s">
        <v>771</v>
      </c>
      <c r="U569" s="34" t="s">
        <v>771</v>
      </c>
      <c r="V569" s="37">
        <v>8.59</v>
      </c>
      <c r="W569" s="45">
        <v>1917.36</v>
      </c>
      <c r="X569" s="37">
        <v>22220.84</v>
      </c>
      <c r="Y569" s="36">
        <v>43864</v>
      </c>
      <c r="Z569" s="34" t="s">
        <v>1448</v>
      </c>
    </row>
    <row r="570" spans="1:26" x14ac:dyDescent="0.25">
      <c r="A570" s="34" t="s">
        <v>1441</v>
      </c>
      <c r="B570" s="34" t="s">
        <v>1442</v>
      </c>
      <c r="C570" s="34" t="s">
        <v>16</v>
      </c>
      <c r="D570" s="34" t="s">
        <v>15</v>
      </c>
      <c r="E570" s="35">
        <v>30041248</v>
      </c>
      <c r="F570" s="34" t="s">
        <v>774</v>
      </c>
      <c r="G570" s="39">
        <v>10079728</v>
      </c>
      <c r="H570" s="42">
        <v>30041248</v>
      </c>
      <c r="I570" s="34" t="s">
        <v>594</v>
      </c>
      <c r="J570" s="34" t="s">
        <v>1443</v>
      </c>
      <c r="K570" s="36">
        <v>43507</v>
      </c>
      <c r="L570" s="34" t="s">
        <v>1444</v>
      </c>
      <c r="M570" s="34" t="s">
        <v>1445</v>
      </c>
      <c r="N570" s="34" t="s">
        <v>717</v>
      </c>
      <c r="O570" s="34" t="s">
        <v>717</v>
      </c>
      <c r="P570" s="34" t="s">
        <v>1446</v>
      </c>
      <c r="Q570" s="34" t="s">
        <v>1446</v>
      </c>
      <c r="R570" s="34" t="s">
        <v>1451</v>
      </c>
      <c r="S570" s="34" t="s">
        <v>1451</v>
      </c>
      <c r="T570" s="34" t="s">
        <v>774</v>
      </c>
      <c r="U570" s="34" t="s">
        <v>774</v>
      </c>
      <c r="V570" s="37">
        <v>9.49</v>
      </c>
      <c r="W570" s="45">
        <v>2118.25</v>
      </c>
      <c r="X570" s="37">
        <v>22220.86</v>
      </c>
      <c r="Y570" s="36">
        <v>43864</v>
      </c>
      <c r="Z570" s="34" t="s">
        <v>1448</v>
      </c>
    </row>
    <row r="571" spans="1:26" x14ac:dyDescent="0.25">
      <c r="A571" s="34" t="s">
        <v>1441</v>
      </c>
      <c r="B571" s="34" t="s">
        <v>1442</v>
      </c>
      <c r="C571" s="34" t="s">
        <v>16</v>
      </c>
      <c r="D571" s="34" t="s">
        <v>15</v>
      </c>
      <c r="E571" s="35">
        <v>30041249</v>
      </c>
      <c r="F571" s="34" t="s">
        <v>769</v>
      </c>
      <c r="G571" s="39">
        <v>10079876</v>
      </c>
      <c r="H571" s="42">
        <v>30041249</v>
      </c>
      <c r="I571" s="34" t="s">
        <v>595</v>
      </c>
      <c r="J571" s="34" t="s">
        <v>1443</v>
      </c>
      <c r="K571" s="36">
        <v>43535</v>
      </c>
      <c r="L571" s="34" t="s">
        <v>1444</v>
      </c>
      <c r="M571" s="34" t="s">
        <v>1445</v>
      </c>
      <c r="N571" s="34" t="s">
        <v>717</v>
      </c>
      <c r="O571" s="34" t="s">
        <v>717</v>
      </c>
      <c r="P571" s="34" t="s">
        <v>1486</v>
      </c>
      <c r="Q571" s="34" t="s">
        <v>1486</v>
      </c>
      <c r="R571" s="34" t="s">
        <v>1487</v>
      </c>
      <c r="S571" s="34" t="s">
        <v>1487</v>
      </c>
      <c r="T571" s="34" t="s">
        <v>769</v>
      </c>
      <c r="U571" s="34" t="s">
        <v>769</v>
      </c>
      <c r="V571" s="37">
        <v>8.59</v>
      </c>
      <c r="W571" s="45">
        <v>1917.36</v>
      </c>
      <c r="X571" s="37">
        <v>22220.84</v>
      </c>
      <c r="Y571" s="36">
        <v>43864</v>
      </c>
      <c r="Z571" s="34" t="s">
        <v>1448</v>
      </c>
    </row>
    <row r="572" spans="1:26" x14ac:dyDescent="0.25">
      <c r="A572" s="34" t="s">
        <v>1441</v>
      </c>
      <c r="B572" s="34" t="s">
        <v>1442</v>
      </c>
      <c r="C572" s="34" t="s">
        <v>16</v>
      </c>
      <c r="D572" s="34" t="s">
        <v>15</v>
      </c>
      <c r="E572" s="35">
        <v>30041250</v>
      </c>
      <c r="F572" s="34" t="s">
        <v>757</v>
      </c>
      <c r="G572" s="39">
        <v>10079880</v>
      </c>
      <c r="H572" s="42">
        <v>30041250</v>
      </c>
      <c r="I572" s="34" t="s">
        <v>596</v>
      </c>
      <c r="J572" s="34" t="s">
        <v>1443</v>
      </c>
      <c r="K572" s="36">
        <v>43535</v>
      </c>
      <c r="L572" s="34" t="s">
        <v>1444</v>
      </c>
      <c r="M572" s="34" t="s">
        <v>1445</v>
      </c>
      <c r="N572" s="34" t="s">
        <v>717</v>
      </c>
      <c r="O572" s="34" t="s">
        <v>717</v>
      </c>
      <c r="P572" s="34" t="s">
        <v>1474</v>
      </c>
      <c r="Q572" s="34" t="s">
        <v>1474</v>
      </c>
      <c r="R572" s="34" t="s">
        <v>1475</v>
      </c>
      <c r="S572" s="34" t="s">
        <v>1475</v>
      </c>
      <c r="T572" s="34" t="s">
        <v>757</v>
      </c>
      <c r="U572" s="34" t="s">
        <v>757</v>
      </c>
      <c r="V572" s="37">
        <v>7.37</v>
      </c>
      <c r="W572" s="45">
        <v>7.37</v>
      </c>
      <c r="X572" s="37">
        <v>0</v>
      </c>
      <c r="Y572" s="36">
        <v>43864</v>
      </c>
      <c r="Z572" s="34" t="s">
        <v>1448</v>
      </c>
    </row>
    <row r="573" spans="1:26" x14ac:dyDescent="0.25">
      <c r="A573" s="34" t="s">
        <v>1441</v>
      </c>
      <c r="B573" s="34" t="s">
        <v>1442</v>
      </c>
      <c r="C573" s="34" t="s">
        <v>16</v>
      </c>
      <c r="D573" s="34" t="s">
        <v>15</v>
      </c>
      <c r="E573" s="35">
        <v>30041251</v>
      </c>
      <c r="F573" s="34" t="s">
        <v>757</v>
      </c>
      <c r="G573" s="39">
        <v>10079883</v>
      </c>
      <c r="H573" s="42">
        <v>30041251</v>
      </c>
      <c r="I573" s="34" t="s">
        <v>597</v>
      </c>
      <c r="J573" s="34" t="s">
        <v>1443</v>
      </c>
      <c r="K573" s="36">
        <v>43535</v>
      </c>
      <c r="L573" s="34" t="s">
        <v>1444</v>
      </c>
      <c r="M573" s="34" t="s">
        <v>1445</v>
      </c>
      <c r="N573" s="34" t="s">
        <v>717</v>
      </c>
      <c r="O573" s="34" t="s">
        <v>717</v>
      </c>
      <c r="P573" s="34" t="s">
        <v>1449</v>
      </c>
      <c r="Q573" s="34" t="s">
        <v>1449</v>
      </c>
      <c r="R573" s="34" t="s">
        <v>1450</v>
      </c>
      <c r="S573" s="34" t="s">
        <v>1450</v>
      </c>
      <c r="T573" s="34" t="s">
        <v>757</v>
      </c>
      <c r="U573" s="34" t="s">
        <v>757</v>
      </c>
      <c r="V573" s="37">
        <v>7.37</v>
      </c>
      <c r="W573" s="45">
        <v>1645.05</v>
      </c>
      <c r="X573" s="37">
        <v>22220.9</v>
      </c>
      <c r="Y573" s="36">
        <v>43864</v>
      </c>
      <c r="Z573" s="34" t="s">
        <v>1448</v>
      </c>
    </row>
    <row r="574" spans="1:26" x14ac:dyDescent="0.25">
      <c r="A574" s="34" t="s">
        <v>1441</v>
      </c>
      <c r="B574" s="34" t="s">
        <v>1442</v>
      </c>
      <c r="C574" s="34" t="s">
        <v>16</v>
      </c>
      <c r="D574" s="34" t="s">
        <v>15</v>
      </c>
      <c r="E574" s="35">
        <v>30041252</v>
      </c>
      <c r="F574" s="34" t="s">
        <v>757</v>
      </c>
      <c r="G574" s="39">
        <v>10079885</v>
      </c>
      <c r="H574" s="42">
        <v>30041252</v>
      </c>
      <c r="I574" s="34" t="s">
        <v>598</v>
      </c>
      <c r="J574" s="34" t="s">
        <v>1443</v>
      </c>
      <c r="K574" s="36">
        <v>43535</v>
      </c>
      <c r="L574" s="34" t="s">
        <v>1444</v>
      </c>
      <c r="M574" s="34" t="s">
        <v>1445</v>
      </c>
      <c r="N574" s="34" t="s">
        <v>717</v>
      </c>
      <c r="O574" s="34" t="s">
        <v>717</v>
      </c>
      <c r="P574" s="34" t="s">
        <v>1462</v>
      </c>
      <c r="Q574" s="34" t="s">
        <v>1462</v>
      </c>
      <c r="R574" s="34" t="s">
        <v>1478</v>
      </c>
      <c r="S574" s="34" t="s">
        <v>1478</v>
      </c>
      <c r="T574" s="34" t="s">
        <v>757</v>
      </c>
      <c r="U574" s="34" t="s">
        <v>757</v>
      </c>
      <c r="V574" s="37">
        <v>7.37</v>
      </c>
      <c r="W574" s="45">
        <v>1645.05</v>
      </c>
      <c r="X574" s="37">
        <v>22220.9</v>
      </c>
      <c r="Y574" s="36">
        <v>43864</v>
      </c>
      <c r="Z574" s="34" t="s">
        <v>1448</v>
      </c>
    </row>
    <row r="575" spans="1:26" x14ac:dyDescent="0.25">
      <c r="A575" s="34" t="s">
        <v>1441</v>
      </c>
      <c r="B575" s="34" t="s">
        <v>1442</v>
      </c>
      <c r="C575" s="34" t="s">
        <v>16</v>
      </c>
      <c r="D575" s="34" t="s">
        <v>15</v>
      </c>
      <c r="E575" s="35">
        <v>30041253</v>
      </c>
      <c r="F575" s="34" t="s">
        <v>757</v>
      </c>
      <c r="G575" s="39">
        <v>10079887</v>
      </c>
      <c r="H575" s="42">
        <v>30041253</v>
      </c>
      <c r="I575" s="34" t="s">
        <v>599</v>
      </c>
      <c r="J575" s="34" t="s">
        <v>1443</v>
      </c>
      <c r="K575" s="36">
        <v>43535</v>
      </c>
      <c r="L575" s="34" t="s">
        <v>1444</v>
      </c>
      <c r="M575" s="34" t="s">
        <v>1445</v>
      </c>
      <c r="N575" s="34" t="s">
        <v>717</v>
      </c>
      <c r="O575" s="34" t="s">
        <v>717</v>
      </c>
      <c r="P575" s="34" t="s">
        <v>1462</v>
      </c>
      <c r="Q575" s="34" t="s">
        <v>1462</v>
      </c>
      <c r="R575" s="34" t="s">
        <v>1463</v>
      </c>
      <c r="S575" s="34" t="s">
        <v>1463</v>
      </c>
      <c r="T575" s="34" t="s">
        <v>757</v>
      </c>
      <c r="U575" s="34" t="s">
        <v>757</v>
      </c>
      <c r="V575" s="37">
        <v>7.37</v>
      </c>
      <c r="W575" s="45">
        <v>1645.05</v>
      </c>
      <c r="X575" s="37">
        <v>22220.9</v>
      </c>
      <c r="Y575" s="36">
        <v>43864</v>
      </c>
      <c r="Z575" s="34" t="s">
        <v>1448</v>
      </c>
    </row>
    <row r="576" spans="1:26" x14ac:dyDescent="0.25">
      <c r="A576" s="34" t="s">
        <v>1441</v>
      </c>
      <c r="B576" s="34" t="s">
        <v>1442</v>
      </c>
      <c r="C576" s="34" t="s">
        <v>16</v>
      </c>
      <c r="D576" s="34" t="s">
        <v>15</v>
      </c>
      <c r="E576" s="35">
        <v>30041254</v>
      </c>
      <c r="F576" s="34" t="s">
        <v>757</v>
      </c>
      <c r="G576" s="39">
        <v>10079894</v>
      </c>
      <c r="H576" s="42">
        <v>30041254</v>
      </c>
      <c r="I576" s="34" t="s">
        <v>600</v>
      </c>
      <c r="J576" s="34" t="s">
        <v>1443</v>
      </c>
      <c r="K576" s="36">
        <v>43535</v>
      </c>
      <c r="L576" s="34" t="s">
        <v>1444</v>
      </c>
      <c r="M576" s="34" t="s">
        <v>1445</v>
      </c>
      <c r="N576" s="34" t="s">
        <v>717</v>
      </c>
      <c r="O576" s="34" t="s">
        <v>717</v>
      </c>
      <c r="P576" s="34" t="s">
        <v>1462</v>
      </c>
      <c r="Q576" s="34" t="s">
        <v>1462</v>
      </c>
      <c r="R576" s="34" t="s">
        <v>1494</v>
      </c>
      <c r="S576" s="34" t="s">
        <v>1494</v>
      </c>
      <c r="T576" s="34" t="s">
        <v>757</v>
      </c>
      <c r="U576" s="34" t="s">
        <v>757</v>
      </c>
      <c r="V576" s="37">
        <v>7.37</v>
      </c>
      <c r="W576" s="45">
        <v>1645.05</v>
      </c>
      <c r="X576" s="37">
        <v>22220.9</v>
      </c>
      <c r="Y576" s="36">
        <v>43864</v>
      </c>
      <c r="Z576" s="34" t="s">
        <v>1448</v>
      </c>
    </row>
    <row r="577" spans="1:26" x14ac:dyDescent="0.25">
      <c r="A577" s="34" t="s">
        <v>1441</v>
      </c>
      <c r="B577" s="34" t="s">
        <v>1442</v>
      </c>
      <c r="C577" s="34" t="s">
        <v>16</v>
      </c>
      <c r="D577" s="34" t="s">
        <v>15</v>
      </c>
      <c r="E577" s="35">
        <v>30041255</v>
      </c>
      <c r="F577" s="34" t="s">
        <v>757</v>
      </c>
      <c r="G577" s="39">
        <v>10079995</v>
      </c>
      <c r="H577" s="42">
        <v>30041255</v>
      </c>
      <c r="I577" s="34" t="s">
        <v>601</v>
      </c>
      <c r="J577" s="34" t="s">
        <v>1443</v>
      </c>
      <c r="K577" s="36">
        <v>43542</v>
      </c>
      <c r="L577" s="34" t="s">
        <v>1444</v>
      </c>
      <c r="M577" s="34" t="s">
        <v>1445</v>
      </c>
      <c r="N577" s="34" t="s">
        <v>717</v>
      </c>
      <c r="O577" s="34" t="s">
        <v>717</v>
      </c>
      <c r="P577" s="34" t="s">
        <v>1470</v>
      </c>
      <c r="Q577" s="34" t="s">
        <v>1470</v>
      </c>
      <c r="R577" s="34" t="s">
        <v>1471</v>
      </c>
      <c r="S577" s="34" t="s">
        <v>1471</v>
      </c>
      <c r="T577" s="34" t="s">
        <v>757</v>
      </c>
      <c r="U577" s="34" t="s">
        <v>757</v>
      </c>
      <c r="V577" s="37">
        <v>7.37</v>
      </c>
      <c r="W577" s="45">
        <v>1645.05</v>
      </c>
      <c r="X577" s="37">
        <v>22220.9</v>
      </c>
      <c r="Y577" s="36">
        <v>43864</v>
      </c>
      <c r="Z577" s="34" t="s">
        <v>1448</v>
      </c>
    </row>
    <row r="578" spans="1:26" x14ac:dyDescent="0.25">
      <c r="A578" s="34" t="s">
        <v>1441</v>
      </c>
      <c r="B578" s="34" t="s">
        <v>1442</v>
      </c>
      <c r="C578" s="34" t="s">
        <v>6</v>
      </c>
      <c r="D578" s="34" t="s">
        <v>15</v>
      </c>
      <c r="E578" s="35">
        <v>30041256</v>
      </c>
      <c r="F578" s="34" t="s">
        <v>766</v>
      </c>
      <c r="G578" s="39">
        <v>10080118</v>
      </c>
      <c r="H578" s="42">
        <v>30041256</v>
      </c>
      <c r="I578" s="34" t="s">
        <v>602</v>
      </c>
      <c r="J578" s="34" t="s">
        <v>1443</v>
      </c>
      <c r="K578" s="36">
        <v>43556</v>
      </c>
      <c r="L578" s="34" t="s">
        <v>1444</v>
      </c>
      <c r="M578" s="34" t="s">
        <v>1445</v>
      </c>
      <c r="N578" s="34" t="s">
        <v>717</v>
      </c>
      <c r="O578" s="34" t="s">
        <v>717</v>
      </c>
      <c r="P578" s="34" t="s">
        <v>1460</v>
      </c>
      <c r="Q578" s="34" t="s">
        <v>1460</v>
      </c>
      <c r="R578" s="34" t="s">
        <v>1506</v>
      </c>
      <c r="S578" s="34" t="s">
        <v>1506</v>
      </c>
      <c r="T578" s="34" t="s">
        <v>766</v>
      </c>
      <c r="U578" s="34" t="s">
        <v>766</v>
      </c>
      <c r="V578" s="37">
        <v>7.37</v>
      </c>
      <c r="W578" s="45">
        <v>1645.05</v>
      </c>
      <c r="X578" s="37">
        <v>22220.9</v>
      </c>
      <c r="Y578" s="36">
        <v>43864</v>
      </c>
      <c r="Z578" s="34" t="s">
        <v>1448</v>
      </c>
    </row>
    <row r="579" spans="1:26" x14ac:dyDescent="0.25">
      <c r="A579" s="34" t="s">
        <v>1441</v>
      </c>
      <c r="B579" s="34" t="s">
        <v>1442</v>
      </c>
      <c r="C579" s="34" t="s">
        <v>16</v>
      </c>
      <c r="D579" s="34" t="s">
        <v>15</v>
      </c>
      <c r="E579" s="35">
        <v>30041257</v>
      </c>
      <c r="F579" s="34" t="s">
        <v>757</v>
      </c>
      <c r="G579" s="39">
        <v>10080120</v>
      </c>
      <c r="H579" s="42">
        <v>30041257</v>
      </c>
      <c r="I579" s="34" t="s">
        <v>603</v>
      </c>
      <c r="J579" s="34" t="s">
        <v>1443</v>
      </c>
      <c r="K579" s="36">
        <v>43556</v>
      </c>
      <c r="L579" s="34" t="s">
        <v>1444</v>
      </c>
      <c r="M579" s="34" t="s">
        <v>1445</v>
      </c>
      <c r="N579" s="34" t="s">
        <v>717</v>
      </c>
      <c r="O579" s="34" t="s">
        <v>717</v>
      </c>
      <c r="P579" s="34" t="s">
        <v>1470</v>
      </c>
      <c r="Q579" s="34" t="s">
        <v>1470</v>
      </c>
      <c r="R579" s="34" t="s">
        <v>1471</v>
      </c>
      <c r="S579" s="34" t="s">
        <v>1471</v>
      </c>
      <c r="T579" s="34" t="s">
        <v>757</v>
      </c>
      <c r="U579" s="34" t="s">
        <v>757</v>
      </c>
      <c r="V579" s="37">
        <v>7.37</v>
      </c>
      <c r="W579" s="45">
        <v>1645.05</v>
      </c>
      <c r="X579" s="37">
        <v>22220.9</v>
      </c>
      <c r="Y579" s="36">
        <v>43864</v>
      </c>
      <c r="Z579" s="34" t="s">
        <v>1448</v>
      </c>
    </row>
    <row r="580" spans="1:26" x14ac:dyDescent="0.25">
      <c r="A580" s="34" t="s">
        <v>1441</v>
      </c>
      <c r="B580" s="34" t="s">
        <v>1442</v>
      </c>
      <c r="C580" s="34" t="s">
        <v>16</v>
      </c>
      <c r="D580" s="34" t="s">
        <v>15</v>
      </c>
      <c r="E580" s="35">
        <v>30041258</v>
      </c>
      <c r="F580" s="34" t="s">
        <v>757</v>
      </c>
      <c r="G580" s="39">
        <v>10080124</v>
      </c>
      <c r="H580" s="42">
        <v>30041258</v>
      </c>
      <c r="I580" s="34" t="s">
        <v>604</v>
      </c>
      <c r="J580" s="34" t="s">
        <v>1443</v>
      </c>
      <c r="K580" s="36">
        <v>43556</v>
      </c>
      <c r="L580" s="34" t="s">
        <v>1444</v>
      </c>
      <c r="M580" s="34" t="s">
        <v>1445</v>
      </c>
      <c r="N580" s="34" t="s">
        <v>717</v>
      </c>
      <c r="O580" s="34" t="s">
        <v>717</v>
      </c>
      <c r="P580" s="34" t="s">
        <v>1446</v>
      </c>
      <c r="Q580" s="34" t="s">
        <v>1446</v>
      </c>
      <c r="R580" s="34" t="s">
        <v>1447</v>
      </c>
      <c r="S580" s="34" t="s">
        <v>1447</v>
      </c>
      <c r="T580" s="34" t="s">
        <v>757</v>
      </c>
      <c r="U580" s="34" t="s">
        <v>757</v>
      </c>
      <c r="V580" s="37">
        <v>7.37</v>
      </c>
      <c r="W580" s="45">
        <v>1645.05</v>
      </c>
      <c r="X580" s="37">
        <v>22220.9</v>
      </c>
      <c r="Y580" s="36">
        <v>43864</v>
      </c>
      <c r="Z580" s="34" t="s">
        <v>1448</v>
      </c>
    </row>
    <row r="581" spans="1:26" x14ac:dyDescent="0.25">
      <c r="A581" s="34" t="s">
        <v>1441</v>
      </c>
      <c r="B581" s="34" t="s">
        <v>1442</v>
      </c>
      <c r="C581" s="34" t="s">
        <v>16</v>
      </c>
      <c r="D581" s="34" t="s">
        <v>15</v>
      </c>
      <c r="E581" s="35">
        <v>30041259</v>
      </c>
      <c r="F581" s="34" t="s">
        <v>757</v>
      </c>
      <c r="G581" s="39">
        <v>10080128</v>
      </c>
      <c r="H581" s="42">
        <v>30041259</v>
      </c>
      <c r="I581" s="34" t="s">
        <v>605</v>
      </c>
      <c r="J581" s="34" t="s">
        <v>1443</v>
      </c>
      <c r="K581" s="36">
        <v>43556</v>
      </c>
      <c r="L581" s="34" t="s">
        <v>1444</v>
      </c>
      <c r="M581" s="34" t="s">
        <v>1445</v>
      </c>
      <c r="N581" s="34" t="s">
        <v>717</v>
      </c>
      <c r="O581" s="34" t="s">
        <v>717</v>
      </c>
      <c r="P581" s="34" t="s">
        <v>1470</v>
      </c>
      <c r="Q581" s="34" t="s">
        <v>1470</v>
      </c>
      <c r="R581" s="34" t="s">
        <v>1482</v>
      </c>
      <c r="S581" s="34" t="s">
        <v>1482</v>
      </c>
      <c r="T581" s="34" t="s">
        <v>757</v>
      </c>
      <c r="U581" s="34" t="s">
        <v>757</v>
      </c>
      <c r="V581" s="37">
        <v>7.37</v>
      </c>
      <c r="W581" s="45">
        <v>1645.05</v>
      </c>
      <c r="X581" s="37">
        <v>22220.9</v>
      </c>
      <c r="Y581" s="36">
        <v>43864</v>
      </c>
      <c r="Z581" s="34" t="s">
        <v>1448</v>
      </c>
    </row>
    <row r="582" spans="1:26" x14ac:dyDescent="0.25">
      <c r="A582" s="34" t="s">
        <v>1441</v>
      </c>
      <c r="B582" s="34" t="s">
        <v>1442</v>
      </c>
      <c r="C582" s="34" t="s">
        <v>16</v>
      </c>
      <c r="D582" s="34" t="s">
        <v>15</v>
      </c>
      <c r="E582" s="35">
        <v>30041260</v>
      </c>
      <c r="F582" s="34" t="s">
        <v>769</v>
      </c>
      <c r="G582" s="39">
        <v>10080137</v>
      </c>
      <c r="H582" s="42">
        <v>30041260</v>
      </c>
      <c r="I582" s="34" t="s">
        <v>606</v>
      </c>
      <c r="J582" s="34" t="s">
        <v>1443</v>
      </c>
      <c r="K582" s="36">
        <v>43556</v>
      </c>
      <c r="L582" s="34" t="s">
        <v>1444</v>
      </c>
      <c r="M582" s="34" t="s">
        <v>1445</v>
      </c>
      <c r="N582" s="34" t="s">
        <v>717</v>
      </c>
      <c r="O582" s="34" t="s">
        <v>717</v>
      </c>
      <c r="P582" s="34" t="s">
        <v>1446</v>
      </c>
      <c r="Q582" s="34" t="s">
        <v>1446</v>
      </c>
      <c r="R582" s="34" t="s">
        <v>1451</v>
      </c>
      <c r="S582" s="34" t="s">
        <v>1451</v>
      </c>
      <c r="T582" s="34" t="s">
        <v>769</v>
      </c>
      <c r="U582" s="34" t="s">
        <v>769</v>
      </c>
      <c r="V582" s="37">
        <v>8.59</v>
      </c>
      <c r="W582" s="45">
        <v>1917.36</v>
      </c>
      <c r="X582" s="37">
        <v>22220.84</v>
      </c>
      <c r="Y582" s="36">
        <v>43864</v>
      </c>
      <c r="Z582" s="34" t="s">
        <v>1448</v>
      </c>
    </row>
    <row r="583" spans="1:26" x14ac:dyDescent="0.25">
      <c r="A583" s="34" t="s">
        <v>1441</v>
      </c>
      <c r="B583" s="34" t="s">
        <v>1442</v>
      </c>
      <c r="C583" s="34" t="s">
        <v>16</v>
      </c>
      <c r="D583" s="34" t="s">
        <v>15</v>
      </c>
      <c r="E583" s="35">
        <v>30041261</v>
      </c>
      <c r="F583" s="34" t="s">
        <v>757</v>
      </c>
      <c r="G583" s="39">
        <v>10080149</v>
      </c>
      <c r="H583" s="42">
        <v>30041261</v>
      </c>
      <c r="I583" s="34" t="s">
        <v>607</v>
      </c>
      <c r="J583" s="34" t="s">
        <v>1443</v>
      </c>
      <c r="K583" s="36">
        <v>43556</v>
      </c>
      <c r="L583" s="34" t="s">
        <v>1444</v>
      </c>
      <c r="M583" s="34" t="s">
        <v>1445</v>
      </c>
      <c r="N583" s="34" t="s">
        <v>717</v>
      </c>
      <c r="O583" s="34" t="s">
        <v>717</v>
      </c>
      <c r="P583" s="34" t="s">
        <v>1462</v>
      </c>
      <c r="Q583" s="34" t="s">
        <v>1462</v>
      </c>
      <c r="R583" s="34" t="s">
        <v>1478</v>
      </c>
      <c r="S583" s="34" t="s">
        <v>1478</v>
      </c>
      <c r="T583" s="34" t="s">
        <v>757</v>
      </c>
      <c r="U583" s="34" t="s">
        <v>757</v>
      </c>
      <c r="V583" s="37">
        <v>7.37</v>
      </c>
      <c r="W583" s="45">
        <v>1645.05</v>
      </c>
      <c r="X583" s="37">
        <v>22220.9</v>
      </c>
      <c r="Y583" s="36">
        <v>43864</v>
      </c>
      <c r="Z583" s="34" t="s">
        <v>1448</v>
      </c>
    </row>
    <row r="584" spans="1:26" x14ac:dyDescent="0.25">
      <c r="A584" s="34" t="s">
        <v>1441</v>
      </c>
      <c r="B584" s="34" t="s">
        <v>1442</v>
      </c>
      <c r="C584" s="34" t="s">
        <v>16</v>
      </c>
      <c r="D584" s="34" t="s">
        <v>15</v>
      </c>
      <c r="E584" s="35">
        <v>30041262</v>
      </c>
      <c r="F584" s="34" t="s">
        <v>757</v>
      </c>
      <c r="G584" s="39">
        <v>10080653</v>
      </c>
      <c r="H584" s="42">
        <v>30041262</v>
      </c>
      <c r="I584" s="34" t="s">
        <v>608</v>
      </c>
      <c r="J584" s="34" t="s">
        <v>1443</v>
      </c>
      <c r="K584" s="36">
        <v>43649</v>
      </c>
      <c r="L584" s="34" t="s">
        <v>1444</v>
      </c>
      <c r="M584" s="34" t="s">
        <v>1445</v>
      </c>
      <c r="N584" s="34" t="s">
        <v>717</v>
      </c>
      <c r="O584" s="34" t="s">
        <v>717</v>
      </c>
      <c r="P584" s="34" t="s">
        <v>1446</v>
      </c>
      <c r="Q584" s="34" t="s">
        <v>1446</v>
      </c>
      <c r="R584" s="34" t="s">
        <v>1451</v>
      </c>
      <c r="S584" s="34" t="s">
        <v>1451</v>
      </c>
      <c r="T584" s="34" t="s">
        <v>757</v>
      </c>
      <c r="U584" s="34" t="s">
        <v>757</v>
      </c>
      <c r="V584" s="37">
        <v>7.37</v>
      </c>
      <c r="W584" s="45">
        <v>1645.05</v>
      </c>
      <c r="X584" s="37">
        <v>22220.9</v>
      </c>
      <c r="Y584" s="36">
        <v>43864</v>
      </c>
      <c r="Z584" s="34" t="s">
        <v>1448</v>
      </c>
    </row>
    <row r="585" spans="1:26" x14ac:dyDescent="0.25">
      <c r="A585" s="34" t="s">
        <v>1441</v>
      </c>
      <c r="B585" s="34" t="s">
        <v>1442</v>
      </c>
      <c r="C585" s="34" t="s">
        <v>16</v>
      </c>
      <c r="D585" s="34" t="s">
        <v>15</v>
      </c>
      <c r="E585" s="35">
        <v>30041263</v>
      </c>
      <c r="F585" s="34" t="s">
        <v>757</v>
      </c>
      <c r="G585" s="39">
        <v>10080654</v>
      </c>
      <c r="H585" s="42">
        <v>30041263</v>
      </c>
      <c r="I585" s="34" t="s">
        <v>609</v>
      </c>
      <c r="J585" s="34" t="s">
        <v>1443</v>
      </c>
      <c r="K585" s="36">
        <v>43649</v>
      </c>
      <c r="L585" s="34" t="s">
        <v>1444</v>
      </c>
      <c r="M585" s="34" t="s">
        <v>1445</v>
      </c>
      <c r="N585" s="34" t="s">
        <v>717</v>
      </c>
      <c r="O585" s="34" t="s">
        <v>717</v>
      </c>
      <c r="P585" s="34" t="s">
        <v>1486</v>
      </c>
      <c r="Q585" s="34" t="s">
        <v>1486</v>
      </c>
      <c r="R585" s="34" t="s">
        <v>1488</v>
      </c>
      <c r="S585" s="34" t="s">
        <v>1488</v>
      </c>
      <c r="T585" s="34" t="s">
        <v>757</v>
      </c>
      <c r="U585" s="34" t="s">
        <v>757</v>
      </c>
      <c r="V585" s="37">
        <v>7.37</v>
      </c>
      <c r="W585" s="45">
        <v>1645.05</v>
      </c>
      <c r="X585" s="37">
        <v>22220.9</v>
      </c>
      <c r="Y585" s="36">
        <v>43864</v>
      </c>
      <c r="Z585" s="34" t="s">
        <v>1448</v>
      </c>
    </row>
    <row r="586" spans="1:26" x14ac:dyDescent="0.25">
      <c r="A586" s="34" t="s">
        <v>1441</v>
      </c>
      <c r="B586" s="34" t="s">
        <v>1442</v>
      </c>
      <c r="C586" s="34" t="s">
        <v>16</v>
      </c>
      <c r="D586" s="34" t="s">
        <v>15</v>
      </c>
      <c r="E586" s="35">
        <v>30041264</v>
      </c>
      <c r="F586" s="34" t="s">
        <v>769</v>
      </c>
      <c r="G586" s="39">
        <v>10080655</v>
      </c>
      <c r="H586" s="42">
        <v>30041264</v>
      </c>
      <c r="I586" s="34" t="s">
        <v>610</v>
      </c>
      <c r="J586" s="34" t="s">
        <v>1443</v>
      </c>
      <c r="K586" s="36">
        <v>43649</v>
      </c>
      <c r="L586" s="34" t="s">
        <v>1444</v>
      </c>
      <c r="M586" s="34" t="s">
        <v>1445</v>
      </c>
      <c r="N586" s="34" t="s">
        <v>717</v>
      </c>
      <c r="O586" s="34" t="s">
        <v>717</v>
      </c>
      <c r="P586" s="34" t="s">
        <v>1486</v>
      </c>
      <c r="Q586" s="34" t="s">
        <v>1486</v>
      </c>
      <c r="R586" s="34" t="s">
        <v>1487</v>
      </c>
      <c r="S586" s="34" t="s">
        <v>1487</v>
      </c>
      <c r="T586" s="34" t="s">
        <v>769</v>
      </c>
      <c r="U586" s="34" t="s">
        <v>769</v>
      </c>
      <c r="V586" s="37">
        <v>8.59</v>
      </c>
      <c r="W586" s="45">
        <v>1917.36</v>
      </c>
      <c r="X586" s="37">
        <v>22220.84</v>
      </c>
      <c r="Y586" s="36">
        <v>43864</v>
      </c>
      <c r="Z586" s="34" t="s">
        <v>1448</v>
      </c>
    </row>
    <row r="587" spans="1:26" x14ac:dyDescent="0.25">
      <c r="A587" s="34" t="s">
        <v>1441</v>
      </c>
      <c r="B587" s="34" t="s">
        <v>1442</v>
      </c>
      <c r="C587" s="34" t="s">
        <v>16</v>
      </c>
      <c r="D587" s="34" t="s">
        <v>15</v>
      </c>
      <c r="E587" s="35">
        <v>30041265</v>
      </c>
      <c r="F587" s="34" t="s">
        <v>757</v>
      </c>
      <c r="G587" s="39">
        <v>10080656</v>
      </c>
      <c r="H587" s="42">
        <v>30041265</v>
      </c>
      <c r="I587" s="34" t="s">
        <v>611</v>
      </c>
      <c r="J587" s="34" t="s">
        <v>1443</v>
      </c>
      <c r="K587" s="36">
        <v>43649</v>
      </c>
      <c r="L587" s="34" t="s">
        <v>1444</v>
      </c>
      <c r="M587" s="34" t="s">
        <v>1445</v>
      </c>
      <c r="N587" s="34" t="s">
        <v>717</v>
      </c>
      <c r="O587" s="34" t="s">
        <v>717</v>
      </c>
      <c r="P587" s="34" t="s">
        <v>1452</v>
      </c>
      <c r="Q587" s="34" t="s">
        <v>1452</v>
      </c>
      <c r="R587" s="34" t="s">
        <v>1453</v>
      </c>
      <c r="S587" s="34" t="s">
        <v>1453</v>
      </c>
      <c r="T587" s="34" t="s">
        <v>757</v>
      </c>
      <c r="U587" s="34" t="s">
        <v>757</v>
      </c>
      <c r="V587" s="37">
        <v>7.37</v>
      </c>
      <c r="W587" s="45">
        <v>1645.05</v>
      </c>
      <c r="X587" s="37">
        <v>22220.9</v>
      </c>
      <c r="Y587" s="36">
        <v>43864</v>
      </c>
      <c r="Z587" s="34" t="s">
        <v>1448</v>
      </c>
    </row>
    <row r="588" spans="1:26" x14ac:dyDescent="0.25">
      <c r="A588" s="34" t="s">
        <v>1441</v>
      </c>
      <c r="B588" s="34" t="s">
        <v>1442</v>
      </c>
      <c r="C588" s="34" t="s">
        <v>16</v>
      </c>
      <c r="D588" s="34" t="s">
        <v>15</v>
      </c>
      <c r="E588" s="35">
        <v>30041266</v>
      </c>
      <c r="F588" s="34" t="s">
        <v>769</v>
      </c>
      <c r="G588" s="39">
        <v>10080658</v>
      </c>
      <c r="H588" s="42">
        <v>30041266</v>
      </c>
      <c r="I588" s="34" t="s">
        <v>612</v>
      </c>
      <c r="J588" s="34" t="s">
        <v>1443</v>
      </c>
      <c r="K588" s="36">
        <v>43649</v>
      </c>
      <c r="L588" s="34" t="s">
        <v>1444</v>
      </c>
      <c r="M588" s="34" t="s">
        <v>1445</v>
      </c>
      <c r="N588" s="34" t="s">
        <v>717</v>
      </c>
      <c r="O588" s="34" t="s">
        <v>717</v>
      </c>
      <c r="P588" s="34" t="s">
        <v>1486</v>
      </c>
      <c r="Q588" s="34" t="s">
        <v>1486</v>
      </c>
      <c r="R588" s="34" t="s">
        <v>1487</v>
      </c>
      <c r="S588" s="34" t="s">
        <v>1487</v>
      </c>
      <c r="T588" s="34" t="s">
        <v>769</v>
      </c>
      <c r="U588" s="34" t="s">
        <v>769</v>
      </c>
      <c r="V588" s="37">
        <v>8.59</v>
      </c>
      <c r="W588" s="45">
        <v>1917.36</v>
      </c>
      <c r="X588" s="37">
        <v>22220.84</v>
      </c>
      <c r="Y588" s="36">
        <v>43864</v>
      </c>
      <c r="Z588" s="34" t="s">
        <v>1448</v>
      </c>
    </row>
    <row r="589" spans="1:26" x14ac:dyDescent="0.25">
      <c r="A589" s="34" t="s">
        <v>1441</v>
      </c>
      <c r="B589" s="34" t="s">
        <v>1442</v>
      </c>
      <c r="C589" s="34" t="s">
        <v>16</v>
      </c>
      <c r="D589" s="34" t="s">
        <v>15</v>
      </c>
      <c r="E589" s="35">
        <v>30041267</v>
      </c>
      <c r="F589" s="34" t="s">
        <v>757</v>
      </c>
      <c r="G589" s="39">
        <v>10080659</v>
      </c>
      <c r="H589" s="42">
        <v>30041267</v>
      </c>
      <c r="I589" s="34" t="s">
        <v>613</v>
      </c>
      <c r="J589" s="34" t="s">
        <v>1443</v>
      </c>
      <c r="K589" s="36">
        <v>43649</v>
      </c>
      <c r="L589" s="34" t="s">
        <v>1444</v>
      </c>
      <c r="M589" s="34" t="s">
        <v>1445</v>
      </c>
      <c r="N589" s="34" t="s">
        <v>717</v>
      </c>
      <c r="O589" s="34" t="s">
        <v>717</v>
      </c>
      <c r="P589" s="34" t="s">
        <v>1446</v>
      </c>
      <c r="Q589" s="34" t="s">
        <v>1446</v>
      </c>
      <c r="R589" s="34" t="s">
        <v>1447</v>
      </c>
      <c r="S589" s="34" t="s">
        <v>1447</v>
      </c>
      <c r="T589" s="34" t="s">
        <v>757</v>
      </c>
      <c r="U589" s="34" t="s">
        <v>757</v>
      </c>
      <c r="V589" s="37">
        <v>7.37</v>
      </c>
      <c r="W589" s="45">
        <v>1645.05</v>
      </c>
      <c r="X589" s="37">
        <v>22220.9</v>
      </c>
      <c r="Y589" s="36">
        <v>43864</v>
      </c>
      <c r="Z589" s="34" t="s">
        <v>1448</v>
      </c>
    </row>
    <row r="590" spans="1:26" x14ac:dyDescent="0.25">
      <c r="A590" s="34" t="s">
        <v>1441</v>
      </c>
      <c r="B590" s="34" t="s">
        <v>1442</v>
      </c>
      <c r="C590" s="34" t="s">
        <v>16</v>
      </c>
      <c r="D590" s="34" t="s">
        <v>15</v>
      </c>
      <c r="E590" s="35">
        <v>30041268</v>
      </c>
      <c r="F590" s="34" t="s">
        <v>757</v>
      </c>
      <c r="G590" s="39">
        <v>10080707</v>
      </c>
      <c r="H590" s="42">
        <v>30041268</v>
      </c>
      <c r="I590" s="34" t="s">
        <v>614</v>
      </c>
      <c r="J590" s="34" t="s">
        <v>1443</v>
      </c>
      <c r="K590" s="36">
        <v>43658</v>
      </c>
      <c r="L590" s="34" t="s">
        <v>1444</v>
      </c>
      <c r="M590" s="34" t="s">
        <v>1445</v>
      </c>
      <c r="N590" s="34" t="s">
        <v>717</v>
      </c>
      <c r="O590" s="34" t="s">
        <v>717</v>
      </c>
      <c r="P590" s="34" t="s">
        <v>1456</v>
      </c>
      <c r="Q590" s="34" t="s">
        <v>1456</v>
      </c>
      <c r="R590" s="34" t="s">
        <v>1457</v>
      </c>
      <c r="S590" s="34" t="s">
        <v>1457</v>
      </c>
      <c r="T590" s="34" t="s">
        <v>757</v>
      </c>
      <c r="U590" s="34" t="s">
        <v>757</v>
      </c>
      <c r="V590" s="37">
        <v>7.37</v>
      </c>
      <c r="W590" s="45">
        <v>1645.05</v>
      </c>
      <c r="X590" s="37">
        <v>22220.9</v>
      </c>
      <c r="Y590" s="36">
        <v>43864</v>
      </c>
      <c r="Z590" s="34" t="s">
        <v>1448</v>
      </c>
    </row>
    <row r="591" spans="1:26" x14ac:dyDescent="0.25">
      <c r="A591" s="34" t="s">
        <v>1441</v>
      </c>
      <c r="B591" s="34" t="s">
        <v>1442</v>
      </c>
      <c r="C591" s="34" t="s">
        <v>16</v>
      </c>
      <c r="D591" s="34" t="s">
        <v>15</v>
      </c>
      <c r="E591" s="35">
        <v>30041269</v>
      </c>
      <c r="F591" s="34" t="s">
        <v>757</v>
      </c>
      <c r="G591" s="39">
        <v>10080708</v>
      </c>
      <c r="H591" s="42">
        <v>30041269</v>
      </c>
      <c r="I591" s="34" t="s">
        <v>615</v>
      </c>
      <c r="J591" s="34" t="s">
        <v>1443</v>
      </c>
      <c r="K591" s="36">
        <v>43658</v>
      </c>
      <c r="L591" s="34" t="s">
        <v>1444</v>
      </c>
      <c r="M591" s="34" t="s">
        <v>1445</v>
      </c>
      <c r="N591" s="34" t="s">
        <v>717</v>
      </c>
      <c r="O591" s="34" t="s">
        <v>717</v>
      </c>
      <c r="P591" s="34" t="s">
        <v>1446</v>
      </c>
      <c r="Q591" s="34" t="s">
        <v>1446</v>
      </c>
      <c r="R591" s="34" t="s">
        <v>1447</v>
      </c>
      <c r="S591" s="34" t="s">
        <v>1447</v>
      </c>
      <c r="T591" s="34" t="s">
        <v>757</v>
      </c>
      <c r="U591" s="34" t="s">
        <v>757</v>
      </c>
      <c r="V591" s="37">
        <v>7.37</v>
      </c>
      <c r="W591" s="45">
        <v>1645.05</v>
      </c>
      <c r="X591" s="37">
        <v>22220.9</v>
      </c>
      <c r="Y591" s="36">
        <v>43864</v>
      </c>
      <c r="Z591" s="34" t="s">
        <v>1448</v>
      </c>
    </row>
    <row r="592" spans="1:26" x14ac:dyDescent="0.25">
      <c r="A592" s="34" t="s">
        <v>1441</v>
      </c>
      <c r="B592" s="34" t="s">
        <v>1442</v>
      </c>
      <c r="C592" s="34" t="s">
        <v>16</v>
      </c>
      <c r="D592" s="34" t="s">
        <v>15</v>
      </c>
      <c r="E592" s="35">
        <v>30041270</v>
      </c>
      <c r="F592" s="34" t="s">
        <v>757</v>
      </c>
      <c r="G592" s="39">
        <v>10080709</v>
      </c>
      <c r="H592" s="42">
        <v>30041270</v>
      </c>
      <c r="I592" s="34" t="s">
        <v>616</v>
      </c>
      <c r="J592" s="34" t="s">
        <v>1443</v>
      </c>
      <c r="K592" s="36">
        <v>43658</v>
      </c>
      <c r="L592" s="34" t="s">
        <v>1444</v>
      </c>
      <c r="M592" s="34" t="s">
        <v>1445</v>
      </c>
      <c r="N592" s="34" t="s">
        <v>717</v>
      </c>
      <c r="O592" s="34" t="s">
        <v>717</v>
      </c>
      <c r="P592" s="34" t="s">
        <v>1446</v>
      </c>
      <c r="Q592" s="34" t="s">
        <v>1446</v>
      </c>
      <c r="R592" s="34" t="s">
        <v>1447</v>
      </c>
      <c r="S592" s="34" t="s">
        <v>1447</v>
      </c>
      <c r="T592" s="34" t="s">
        <v>757</v>
      </c>
      <c r="U592" s="34" t="s">
        <v>757</v>
      </c>
      <c r="V592" s="37">
        <v>7.37</v>
      </c>
      <c r="W592" s="45">
        <v>1645.05</v>
      </c>
      <c r="X592" s="37">
        <v>22220.9</v>
      </c>
      <c r="Y592" s="36">
        <v>43864</v>
      </c>
      <c r="Z592" s="34" t="s">
        <v>1448</v>
      </c>
    </row>
    <row r="593" spans="1:26" x14ac:dyDescent="0.25">
      <c r="A593" s="34" t="s">
        <v>1441</v>
      </c>
      <c r="B593" s="34" t="s">
        <v>1442</v>
      </c>
      <c r="C593" s="34" t="s">
        <v>16</v>
      </c>
      <c r="D593" s="34" t="s">
        <v>15</v>
      </c>
      <c r="E593" s="35">
        <v>30041271</v>
      </c>
      <c r="F593" s="34" t="s">
        <v>757</v>
      </c>
      <c r="G593" s="39">
        <v>10080710</v>
      </c>
      <c r="H593" s="42">
        <v>30041271</v>
      </c>
      <c r="I593" s="34" t="s">
        <v>617</v>
      </c>
      <c r="J593" s="34" t="s">
        <v>1443</v>
      </c>
      <c r="K593" s="36">
        <v>43658</v>
      </c>
      <c r="L593" s="34" t="s">
        <v>1444</v>
      </c>
      <c r="M593" s="34" t="s">
        <v>1445</v>
      </c>
      <c r="N593" s="34" t="s">
        <v>717</v>
      </c>
      <c r="O593" s="34" t="s">
        <v>717</v>
      </c>
      <c r="P593" s="34" t="s">
        <v>1446</v>
      </c>
      <c r="Q593" s="34" t="s">
        <v>1446</v>
      </c>
      <c r="R593" s="34" t="s">
        <v>1447</v>
      </c>
      <c r="S593" s="34" t="s">
        <v>1447</v>
      </c>
      <c r="T593" s="34" t="s">
        <v>757</v>
      </c>
      <c r="U593" s="34" t="s">
        <v>757</v>
      </c>
      <c r="V593" s="37">
        <v>7.37</v>
      </c>
      <c r="W593" s="45">
        <v>1645.05</v>
      </c>
      <c r="X593" s="37">
        <v>22220.9</v>
      </c>
      <c r="Y593" s="36">
        <v>43864</v>
      </c>
      <c r="Z593" s="34" t="s">
        <v>1448</v>
      </c>
    </row>
    <row r="594" spans="1:26" x14ac:dyDescent="0.25">
      <c r="A594" s="34" t="s">
        <v>1441</v>
      </c>
      <c r="B594" s="34" t="s">
        <v>1442</v>
      </c>
      <c r="C594" s="34" t="s">
        <v>16</v>
      </c>
      <c r="D594" s="34" t="s">
        <v>15</v>
      </c>
      <c r="E594" s="35">
        <v>30041272</v>
      </c>
      <c r="F594" s="34" t="s">
        <v>757</v>
      </c>
      <c r="G594" s="39">
        <v>10080711</v>
      </c>
      <c r="H594" s="42">
        <v>30041272</v>
      </c>
      <c r="I594" s="34" t="s">
        <v>618</v>
      </c>
      <c r="J594" s="34" t="s">
        <v>1443</v>
      </c>
      <c r="K594" s="36">
        <v>43658</v>
      </c>
      <c r="L594" s="34" t="s">
        <v>1444</v>
      </c>
      <c r="M594" s="34" t="s">
        <v>1445</v>
      </c>
      <c r="N594" s="34" t="s">
        <v>717</v>
      </c>
      <c r="O594" s="34" t="s">
        <v>717</v>
      </c>
      <c r="P594" s="34" t="s">
        <v>1446</v>
      </c>
      <c r="Q594" s="34" t="s">
        <v>1446</v>
      </c>
      <c r="R594" s="34" t="s">
        <v>1447</v>
      </c>
      <c r="S594" s="34" t="s">
        <v>1447</v>
      </c>
      <c r="T594" s="34" t="s">
        <v>757</v>
      </c>
      <c r="U594" s="34" t="s">
        <v>757</v>
      </c>
      <c r="V594" s="37">
        <v>7.37</v>
      </c>
      <c r="W594" s="45">
        <v>1645.05</v>
      </c>
      <c r="X594" s="37">
        <v>22220.9</v>
      </c>
      <c r="Y594" s="36">
        <v>43864</v>
      </c>
      <c r="Z594" s="34" t="s">
        <v>1448</v>
      </c>
    </row>
    <row r="595" spans="1:26" x14ac:dyDescent="0.25">
      <c r="A595" s="34" t="s">
        <v>1441</v>
      </c>
      <c r="B595" s="34" t="s">
        <v>1442</v>
      </c>
      <c r="C595" s="34" t="s">
        <v>16</v>
      </c>
      <c r="D595" s="34" t="s">
        <v>15</v>
      </c>
      <c r="E595" s="35">
        <v>30041273</v>
      </c>
      <c r="F595" s="34" t="s">
        <v>757</v>
      </c>
      <c r="G595" s="39">
        <v>10080712</v>
      </c>
      <c r="H595" s="42">
        <v>30041273</v>
      </c>
      <c r="I595" s="34" t="s">
        <v>619</v>
      </c>
      <c r="J595" s="34" t="s">
        <v>1443</v>
      </c>
      <c r="K595" s="36">
        <v>43658</v>
      </c>
      <c r="L595" s="34" t="s">
        <v>1444</v>
      </c>
      <c r="M595" s="34" t="s">
        <v>1445</v>
      </c>
      <c r="N595" s="34" t="s">
        <v>717</v>
      </c>
      <c r="O595" s="34" t="s">
        <v>717</v>
      </c>
      <c r="P595" s="34" t="s">
        <v>1456</v>
      </c>
      <c r="Q595" s="34" t="s">
        <v>1456</v>
      </c>
      <c r="R595" s="34" t="s">
        <v>1457</v>
      </c>
      <c r="S595" s="34" t="s">
        <v>1457</v>
      </c>
      <c r="T595" s="34" t="s">
        <v>757</v>
      </c>
      <c r="U595" s="34" t="s">
        <v>757</v>
      </c>
      <c r="V595" s="37">
        <v>7.37</v>
      </c>
      <c r="W595" s="45">
        <v>1645.05</v>
      </c>
      <c r="X595" s="37">
        <v>22220.9</v>
      </c>
      <c r="Y595" s="36">
        <v>43864</v>
      </c>
      <c r="Z595" s="34" t="s">
        <v>1448</v>
      </c>
    </row>
    <row r="596" spans="1:26" x14ac:dyDescent="0.25">
      <c r="A596" s="34" t="s">
        <v>1441</v>
      </c>
      <c r="B596" s="34" t="s">
        <v>1442</v>
      </c>
      <c r="C596" s="34" t="s">
        <v>16</v>
      </c>
      <c r="D596" s="34" t="s">
        <v>15</v>
      </c>
      <c r="E596" s="35">
        <v>30041274</v>
      </c>
      <c r="F596" s="34" t="s">
        <v>757</v>
      </c>
      <c r="G596" s="39">
        <v>10080713</v>
      </c>
      <c r="H596" s="42">
        <v>30041274</v>
      </c>
      <c r="I596" s="34" t="s">
        <v>620</v>
      </c>
      <c r="J596" s="34" t="s">
        <v>1443</v>
      </c>
      <c r="K596" s="36">
        <v>43658</v>
      </c>
      <c r="L596" s="34" t="s">
        <v>1444</v>
      </c>
      <c r="M596" s="34" t="s">
        <v>1445</v>
      </c>
      <c r="N596" s="34" t="s">
        <v>717</v>
      </c>
      <c r="O596" s="34" t="s">
        <v>717</v>
      </c>
      <c r="P596" s="34" t="s">
        <v>1486</v>
      </c>
      <c r="Q596" s="34" t="s">
        <v>1486</v>
      </c>
      <c r="R596" s="34" t="s">
        <v>1487</v>
      </c>
      <c r="S596" s="34" t="s">
        <v>1487</v>
      </c>
      <c r="T596" s="34" t="s">
        <v>757</v>
      </c>
      <c r="U596" s="34" t="s">
        <v>757</v>
      </c>
      <c r="V596" s="37">
        <v>7.37</v>
      </c>
      <c r="W596" s="45">
        <v>1645.05</v>
      </c>
      <c r="X596" s="37">
        <v>22220.9</v>
      </c>
      <c r="Y596" s="36">
        <v>43864</v>
      </c>
      <c r="Z596" s="34" t="s">
        <v>1448</v>
      </c>
    </row>
    <row r="597" spans="1:26" x14ac:dyDescent="0.25">
      <c r="A597" s="34" t="s">
        <v>1441</v>
      </c>
      <c r="B597" s="34" t="s">
        <v>1442</v>
      </c>
      <c r="C597" s="34" t="s">
        <v>16</v>
      </c>
      <c r="D597" s="34" t="s">
        <v>15</v>
      </c>
      <c r="E597" s="35">
        <v>30041275</v>
      </c>
      <c r="F597" s="34" t="s">
        <v>757</v>
      </c>
      <c r="G597" s="39">
        <v>10080714</v>
      </c>
      <c r="H597" s="42">
        <v>30041275</v>
      </c>
      <c r="I597" s="34" t="s">
        <v>621</v>
      </c>
      <c r="J597" s="34" t="s">
        <v>1443</v>
      </c>
      <c r="K597" s="36">
        <v>43658</v>
      </c>
      <c r="L597" s="34" t="s">
        <v>1444</v>
      </c>
      <c r="M597" s="34" t="s">
        <v>1445</v>
      </c>
      <c r="N597" s="34" t="s">
        <v>717</v>
      </c>
      <c r="O597" s="34" t="s">
        <v>717</v>
      </c>
      <c r="P597" s="34" t="s">
        <v>1456</v>
      </c>
      <c r="Q597" s="34" t="s">
        <v>1456</v>
      </c>
      <c r="R597" s="34" t="s">
        <v>1457</v>
      </c>
      <c r="S597" s="34" t="s">
        <v>1457</v>
      </c>
      <c r="T597" s="34" t="s">
        <v>757</v>
      </c>
      <c r="U597" s="34" t="s">
        <v>757</v>
      </c>
      <c r="V597" s="37">
        <v>7.37</v>
      </c>
      <c r="W597" s="45">
        <v>1645.05</v>
      </c>
      <c r="X597" s="37">
        <v>22220.9</v>
      </c>
      <c r="Y597" s="36">
        <v>43864</v>
      </c>
      <c r="Z597" s="34" t="s">
        <v>1448</v>
      </c>
    </row>
    <row r="598" spans="1:26" x14ac:dyDescent="0.25">
      <c r="A598" s="34" t="s">
        <v>1441</v>
      </c>
      <c r="B598" s="34" t="s">
        <v>1442</v>
      </c>
      <c r="C598" s="34" t="s">
        <v>16</v>
      </c>
      <c r="D598" s="34" t="s">
        <v>15</v>
      </c>
      <c r="E598" s="35">
        <v>30041276</v>
      </c>
      <c r="F598" s="34" t="s">
        <v>757</v>
      </c>
      <c r="G598" s="39">
        <v>10080716</v>
      </c>
      <c r="H598" s="42">
        <v>30041276</v>
      </c>
      <c r="I598" s="34" t="s">
        <v>622</v>
      </c>
      <c r="J598" s="34" t="s">
        <v>1443</v>
      </c>
      <c r="K598" s="36">
        <v>43658</v>
      </c>
      <c r="L598" s="34" t="s">
        <v>1444</v>
      </c>
      <c r="M598" s="34" t="s">
        <v>1445</v>
      </c>
      <c r="N598" s="34" t="s">
        <v>717</v>
      </c>
      <c r="O598" s="34" t="s">
        <v>717</v>
      </c>
      <c r="P598" s="34" t="s">
        <v>1486</v>
      </c>
      <c r="Q598" s="34" t="s">
        <v>1486</v>
      </c>
      <c r="R598" s="34" t="s">
        <v>1488</v>
      </c>
      <c r="S598" s="34" t="s">
        <v>1488</v>
      </c>
      <c r="T598" s="34" t="s">
        <v>757</v>
      </c>
      <c r="U598" s="34" t="s">
        <v>757</v>
      </c>
      <c r="V598" s="37">
        <v>7.37</v>
      </c>
      <c r="W598" s="45">
        <v>1645.05</v>
      </c>
      <c r="X598" s="37">
        <v>22220.9</v>
      </c>
      <c r="Y598" s="36">
        <v>43864</v>
      </c>
      <c r="Z598" s="34" t="s">
        <v>1448</v>
      </c>
    </row>
    <row r="599" spans="1:26" x14ac:dyDescent="0.25">
      <c r="A599" s="34" t="s">
        <v>1441</v>
      </c>
      <c r="B599" s="34" t="s">
        <v>1442</v>
      </c>
      <c r="C599" s="34" t="s">
        <v>16</v>
      </c>
      <c r="D599" s="34" t="s">
        <v>15</v>
      </c>
      <c r="E599" s="35">
        <v>30041277</v>
      </c>
      <c r="F599" s="34" t="s">
        <v>757</v>
      </c>
      <c r="G599" s="39">
        <v>10080717</v>
      </c>
      <c r="H599" s="42">
        <v>30041277</v>
      </c>
      <c r="I599" s="34" t="s">
        <v>623</v>
      </c>
      <c r="J599" s="34" t="s">
        <v>1443</v>
      </c>
      <c r="K599" s="36">
        <v>43658</v>
      </c>
      <c r="L599" s="34" t="s">
        <v>1444</v>
      </c>
      <c r="M599" s="34" t="s">
        <v>1445</v>
      </c>
      <c r="N599" s="34" t="s">
        <v>717</v>
      </c>
      <c r="O599" s="34" t="s">
        <v>717</v>
      </c>
      <c r="P599" s="34" t="s">
        <v>1466</v>
      </c>
      <c r="Q599" s="34" t="s">
        <v>1466</v>
      </c>
      <c r="R599" s="34" t="s">
        <v>1467</v>
      </c>
      <c r="S599" s="34" t="s">
        <v>1467</v>
      </c>
      <c r="T599" s="34" t="s">
        <v>757</v>
      </c>
      <c r="U599" s="34" t="s">
        <v>757</v>
      </c>
      <c r="V599" s="37">
        <v>7.37</v>
      </c>
      <c r="W599" s="45">
        <v>1645.05</v>
      </c>
      <c r="X599" s="37">
        <v>22220.9</v>
      </c>
      <c r="Y599" s="36">
        <v>43864</v>
      </c>
      <c r="Z599" s="34" t="s">
        <v>1448</v>
      </c>
    </row>
    <row r="600" spans="1:26" x14ac:dyDescent="0.25">
      <c r="A600" s="34" t="s">
        <v>1441</v>
      </c>
      <c r="B600" s="34" t="s">
        <v>1442</v>
      </c>
      <c r="C600" s="34" t="s">
        <v>16</v>
      </c>
      <c r="D600" s="34" t="s">
        <v>15</v>
      </c>
      <c r="E600" s="35">
        <v>30041278</v>
      </c>
      <c r="F600" s="34" t="s">
        <v>757</v>
      </c>
      <c r="G600" s="39">
        <v>10080718</v>
      </c>
      <c r="H600" s="42">
        <v>30041278</v>
      </c>
      <c r="I600" s="34" t="s">
        <v>624</v>
      </c>
      <c r="J600" s="34" t="s">
        <v>1443</v>
      </c>
      <c r="K600" s="36">
        <v>43658</v>
      </c>
      <c r="L600" s="34" t="s">
        <v>1444</v>
      </c>
      <c r="M600" s="34" t="s">
        <v>1445</v>
      </c>
      <c r="N600" s="34" t="s">
        <v>717</v>
      </c>
      <c r="O600" s="34" t="s">
        <v>717</v>
      </c>
      <c r="P600" s="34" t="s">
        <v>1486</v>
      </c>
      <c r="Q600" s="34" t="s">
        <v>1486</v>
      </c>
      <c r="R600" s="34" t="s">
        <v>1487</v>
      </c>
      <c r="S600" s="34" t="s">
        <v>1487</v>
      </c>
      <c r="T600" s="34" t="s">
        <v>757</v>
      </c>
      <c r="U600" s="34" t="s">
        <v>757</v>
      </c>
      <c r="V600" s="37">
        <v>7.37</v>
      </c>
      <c r="W600" s="45">
        <v>1645.05</v>
      </c>
      <c r="X600" s="37">
        <v>22220.9</v>
      </c>
      <c r="Y600" s="36">
        <v>43864</v>
      </c>
      <c r="Z600" s="34" t="s">
        <v>1448</v>
      </c>
    </row>
    <row r="601" spans="1:26" x14ac:dyDescent="0.25">
      <c r="A601" s="34" t="s">
        <v>1441</v>
      </c>
      <c r="B601" s="34" t="s">
        <v>1442</v>
      </c>
      <c r="C601" s="34" t="s">
        <v>16</v>
      </c>
      <c r="D601" s="34" t="s">
        <v>15</v>
      </c>
      <c r="E601" s="35">
        <v>30041279</v>
      </c>
      <c r="F601" s="34" t="s">
        <v>757</v>
      </c>
      <c r="G601" s="39">
        <v>10080720</v>
      </c>
      <c r="H601" s="42">
        <v>30041279</v>
      </c>
      <c r="I601" s="34" t="s">
        <v>625</v>
      </c>
      <c r="J601" s="34" t="s">
        <v>1443</v>
      </c>
      <c r="K601" s="36">
        <v>43658</v>
      </c>
      <c r="L601" s="34" t="s">
        <v>1444</v>
      </c>
      <c r="M601" s="34" t="s">
        <v>1445</v>
      </c>
      <c r="N601" s="34" t="s">
        <v>717</v>
      </c>
      <c r="O601" s="34" t="s">
        <v>717</v>
      </c>
      <c r="P601" s="34" t="s">
        <v>1452</v>
      </c>
      <c r="Q601" s="34" t="s">
        <v>1452</v>
      </c>
      <c r="R601" s="34" t="s">
        <v>1453</v>
      </c>
      <c r="S601" s="34" t="s">
        <v>1453</v>
      </c>
      <c r="T601" s="34" t="s">
        <v>757</v>
      </c>
      <c r="U601" s="34" t="s">
        <v>757</v>
      </c>
      <c r="V601" s="37">
        <v>7.37</v>
      </c>
      <c r="W601" s="45">
        <v>1645.05</v>
      </c>
      <c r="X601" s="37">
        <v>22220.9</v>
      </c>
      <c r="Y601" s="36">
        <v>43864</v>
      </c>
      <c r="Z601" s="34" t="s">
        <v>1448</v>
      </c>
    </row>
    <row r="602" spans="1:26" x14ac:dyDescent="0.25">
      <c r="A602" s="34" t="s">
        <v>1441</v>
      </c>
      <c r="B602" s="34" t="s">
        <v>1442</v>
      </c>
      <c r="C602" s="34" t="s">
        <v>16</v>
      </c>
      <c r="D602" s="34" t="s">
        <v>15</v>
      </c>
      <c r="E602" s="35">
        <v>30041280</v>
      </c>
      <c r="F602" s="34" t="s">
        <v>757</v>
      </c>
      <c r="G602" s="39">
        <v>10080842</v>
      </c>
      <c r="H602" s="42">
        <v>30041280</v>
      </c>
      <c r="I602" s="34" t="s">
        <v>626</v>
      </c>
      <c r="J602" s="34" t="s">
        <v>1443</v>
      </c>
      <c r="K602" s="36">
        <v>43682</v>
      </c>
      <c r="L602" s="34" t="s">
        <v>1444</v>
      </c>
      <c r="M602" s="34" t="s">
        <v>1445</v>
      </c>
      <c r="N602" s="34" t="s">
        <v>717</v>
      </c>
      <c r="O602" s="34" t="s">
        <v>717</v>
      </c>
      <c r="P602" s="34" t="s">
        <v>1456</v>
      </c>
      <c r="Q602" s="34" t="s">
        <v>1456</v>
      </c>
      <c r="R602" s="34" t="s">
        <v>1457</v>
      </c>
      <c r="S602" s="34" t="s">
        <v>1457</v>
      </c>
      <c r="T602" s="34" t="s">
        <v>757</v>
      </c>
      <c r="U602" s="34" t="s">
        <v>757</v>
      </c>
      <c r="V602" s="37">
        <v>7.37</v>
      </c>
      <c r="W602" s="45">
        <v>1645.05</v>
      </c>
      <c r="X602" s="37">
        <v>22220.9</v>
      </c>
      <c r="Y602" s="36">
        <v>43864</v>
      </c>
      <c r="Z602" s="34" t="s">
        <v>1448</v>
      </c>
    </row>
    <row r="603" spans="1:26" x14ac:dyDescent="0.25">
      <c r="A603" s="34" t="s">
        <v>1441</v>
      </c>
      <c r="B603" s="34" t="s">
        <v>1442</v>
      </c>
      <c r="C603" s="34" t="s">
        <v>16</v>
      </c>
      <c r="D603" s="34" t="s">
        <v>15</v>
      </c>
      <c r="E603" s="35">
        <v>30041281</v>
      </c>
      <c r="F603" s="34" t="s">
        <v>757</v>
      </c>
      <c r="G603" s="39">
        <v>10080859</v>
      </c>
      <c r="H603" s="42">
        <v>30041281</v>
      </c>
      <c r="I603" s="34" t="s">
        <v>627</v>
      </c>
      <c r="J603" s="34" t="s">
        <v>1443</v>
      </c>
      <c r="K603" s="36">
        <v>43682</v>
      </c>
      <c r="L603" s="34" t="s">
        <v>1444</v>
      </c>
      <c r="M603" s="34" t="s">
        <v>1445</v>
      </c>
      <c r="N603" s="34" t="s">
        <v>717</v>
      </c>
      <c r="O603" s="34" t="s">
        <v>717</v>
      </c>
      <c r="P603" s="34" t="s">
        <v>1456</v>
      </c>
      <c r="Q603" s="34" t="s">
        <v>1456</v>
      </c>
      <c r="R603" s="34" t="s">
        <v>1457</v>
      </c>
      <c r="S603" s="34" t="s">
        <v>1457</v>
      </c>
      <c r="T603" s="34" t="s">
        <v>757</v>
      </c>
      <c r="U603" s="34" t="s">
        <v>757</v>
      </c>
      <c r="V603" s="37">
        <v>7.37</v>
      </c>
      <c r="W603" s="45">
        <v>1645.05</v>
      </c>
      <c r="X603" s="37">
        <v>22220.9</v>
      </c>
      <c r="Y603" s="36">
        <v>43864</v>
      </c>
      <c r="Z603" s="34" t="s">
        <v>1448</v>
      </c>
    </row>
    <row r="604" spans="1:26" x14ac:dyDescent="0.25">
      <c r="A604" s="34" t="s">
        <v>1441</v>
      </c>
      <c r="B604" s="34" t="s">
        <v>1442</v>
      </c>
      <c r="C604" s="34" t="s">
        <v>16</v>
      </c>
      <c r="D604" s="34" t="s">
        <v>15</v>
      </c>
      <c r="E604" s="35">
        <v>30041282</v>
      </c>
      <c r="F604" s="34" t="s">
        <v>768</v>
      </c>
      <c r="G604" s="39">
        <v>10081018</v>
      </c>
      <c r="H604" s="42">
        <v>30041282</v>
      </c>
      <c r="I604" s="34" t="s">
        <v>628</v>
      </c>
      <c r="J604" s="34" t="s">
        <v>1443</v>
      </c>
      <c r="K604" s="36">
        <v>43710</v>
      </c>
      <c r="L604" s="34" t="s">
        <v>1444</v>
      </c>
      <c r="M604" s="34" t="s">
        <v>1445</v>
      </c>
      <c r="N604" s="34" t="s">
        <v>717</v>
      </c>
      <c r="O604" s="34" t="s">
        <v>717</v>
      </c>
      <c r="P604" s="34" t="s">
        <v>1446</v>
      </c>
      <c r="Q604" s="34" t="s">
        <v>1446</v>
      </c>
      <c r="R604" s="34" t="s">
        <v>1447</v>
      </c>
      <c r="S604" s="34" t="s">
        <v>1447</v>
      </c>
      <c r="T604" s="34" t="s">
        <v>768</v>
      </c>
      <c r="U604" s="34" t="s">
        <v>768</v>
      </c>
      <c r="V604" s="37">
        <v>8.52</v>
      </c>
      <c r="W604" s="45">
        <v>1901.74</v>
      </c>
      <c r="X604" s="37">
        <v>22220.89</v>
      </c>
      <c r="Y604" s="36">
        <v>43864</v>
      </c>
      <c r="Z604" s="34" t="s">
        <v>1448</v>
      </c>
    </row>
    <row r="605" spans="1:26" x14ac:dyDescent="0.25">
      <c r="A605" s="34" t="s">
        <v>1441</v>
      </c>
      <c r="B605" s="34" t="s">
        <v>1442</v>
      </c>
      <c r="C605" s="34" t="s">
        <v>6</v>
      </c>
      <c r="D605" s="34" t="s">
        <v>15</v>
      </c>
      <c r="E605" s="35">
        <v>30041283</v>
      </c>
      <c r="F605" s="34" t="s">
        <v>766</v>
      </c>
      <c r="G605" s="39">
        <v>10081107</v>
      </c>
      <c r="H605" s="42">
        <v>30041283</v>
      </c>
      <c r="I605" s="34" t="s">
        <v>629</v>
      </c>
      <c r="J605" s="34" t="s">
        <v>1443</v>
      </c>
      <c r="K605" s="36">
        <v>43739</v>
      </c>
      <c r="L605" s="34" t="s">
        <v>1444</v>
      </c>
      <c r="M605" s="34" t="s">
        <v>1445</v>
      </c>
      <c r="N605" s="34" t="s">
        <v>717</v>
      </c>
      <c r="O605" s="34" t="s">
        <v>717</v>
      </c>
      <c r="P605" s="34" t="s">
        <v>1460</v>
      </c>
      <c r="Q605" s="34" t="s">
        <v>1460</v>
      </c>
      <c r="R605" s="34" t="s">
        <v>1506</v>
      </c>
      <c r="S605" s="34" t="s">
        <v>1506</v>
      </c>
      <c r="T605" s="34" t="s">
        <v>766</v>
      </c>
      <c r="U605" s="34" t="s">
        <v>766</v>
      </c>
      <c r="V605" s="37">
        <v>7.37</v>
      </c>
      <c r="W605" s="45">
        <v>1645.05</v>
      </c>
      <c r="X605" s="37">
        <v>22220.9</v>
      </c>
      <c r="Y605" s="36">
        <v>43864</v>
      </c>
      <c r="Z605" s="34" t="s">
        <v>1448</v>
      </c>
    </row>
    <row r="606" spans="1:26" x14ac:dyDescent="0.25">
      <c r="A606" s="34" t="s">
        <v>1441</v>
      </c>
      <c r="B606" s="34" t="s">
        <v>1442</v>
      </c>
      <c r="C606" s="34" t="s">
        <v>6</v>
      </c>
      <c r="D606" s="34" t="s">
        <v>15</v>
      </c>
      <c r="E606" s="35">
        <v>30041284</v>
      </c>
      <c r="F606" s="34" t="s">
        <v>766</v>
      </c>
      <c r="G606" s="39">
        <v>10081108</v>
      </c>
      <c r="H606" s="42">
        <v>30041284</v>
      </c>
      <c r="I606" s="34" t="s">
        <v>630</v>
      </c>
      <c r="J606" s="34" t="s">
        <v>1443</v>
      </c>
      <c r="K606" s="36">
        <v>43739</v>
      </c>
      <c r="L606" s="34" t="s">
        <v>1444</v>
      </c>
      <c r="M606" s="34" t="s">
        <v>1445</v>
      </c>
      <c r="N606" s="34" t="s">
        <v>717</v>
      </c>
      <c r="O606" s="34" t="s">
        <v>717</v>
      </c>
      <c r="P606" s="34" t="s">
        <v>1460</v>
      </c>
      <c r="Q606" s="34" t="s">
        <v>1460</v>
      </c>
      <c r="R606" s="34" t="s">
        <v>1506</v>
      </c>
      <c r="S606" s="34" t="s">
        <v>1506</v>
      </c>
      <c r="T606" s="34" t="s">
        <v>766</v>
      </c>
      <c r="U606" s="34" t="s">
        <v>766</v>
      </c>
      <c r="V606" s="37">
        <v>7.37</v>
      </c>
      <c r="W606" s="45">
        <v>1645.05</v>
      </c>
      <c r="X606" s="37">
        <v>22220.9</v>
      </c>
      <c r="Y606" s="36">
        <v>43864</v>
      </c>
      <c r="Z606" s="34" t="s">
        <v>1448</v>
      </c>
    </row>
    <row r="607" spans="1:26" x14ac:dyDescent="0.25">
      <c r="A607" s="34" t="s">
        <v>1441</v>
      </c>
      <c r="B607" s="34" t="s">
        <v>1442</v>
      </c>
      <c r="C607" s="34" t="s">
        <v>6</v>
      </c>
      <c r="D607" s="34" t="s">
        <v>15</v>
      </c>
      <c r="E607" s="35">
        <v>30041285</v>
      </c>
      <c r="F607" s="34" t="s">
        <v>18</v>
      </c>
      <c r="G607" s="39">
        <v>10081394</v>
      </c>
      <c r="H607" s="42">
        <v>30041285</v>
      </c>
      <c r="I607" s="34" t="s">
        <v>631</v>
      </c>
      <c r="J607" s="34" t="s">
        <v>1443</v>
      </c>
      <c r="K607" s="36">
        <v>43780</v>
      </c>
      <c r="L607" s="34" t="s">
        <v>1444</v>
      </c>
      <c r="M607" s="34" t="s">
        <v>1445</v>
      </c>
      <c r="N607" s="34" t="s">
        <v>717</v>
      </c>
      <c r="O607" s="34" t="s">
        <v>717</v>
      </c>
      <c r="P607" s="34" t="s">
        <v>1509</v>
      </c>
      <c r="Q607" s="34" t="s">
        <v>1509</v>
      </c>
      <c r="R607" s="34" t="s">
        <v>1510</v>
      </c>
      <c r="S607" s="34" t="s">
        <v>1510</v>
      </c>
      <c r="T607" s="34" t="s">
        <v>18</v>
      </c>
      <c r="U607" s="34" t="s">
        <v>18</v>
      </c>
      <c r="V607" s="37">
        <v>7.37</v>
      </c>
      <c r="W607" s="45">
        <v>1645.05</v>
      </c>
      <c r="X607" s="37">
        <v>22220.9</v>
      </c>
      <c r="Y607" s="36">
        <v>43864</v>
      </c>
      <c r="Z607" s="34" t="s">
        <v>1448</v>
      </c>
    </row>
    <row r="608" spans="1:26" x14ac:dyDescent="0.25">
      <c r="A608" s="34" t="s">
        <v>1441</v>
      </c>
      <c r="B608" s="34" t="s">
        <v>1442</v>
      </c>
      <c r="C608" s="34" t="s">
        <v>16</v>
      </c>
      <c r="D608" s="34" t="s">
        <v>15</v>
      </c>
      <c r="E608" s="35">
        <v>30041286</v>
      </c>
      <c r="F608" s="34" t="s">
        <v>757</v>
      </c>
      <c r="G608" s="39">
        <v>10081648</v>
      </c>
      <c r="H608" s="42">
        <v>30041286</v>
      </c>
      <c r="I608" s="34" t="s">
        <v>632</v>
      </c>
      <c r="J608" s="34" t="s">
        <v>1443</v>
      </c>
      <c r="K608" s="36">
        <v>43788</v>
      </c>
      <c r="L608" s="34" t="s">
        <v>1444</v>
      </c>
      <c r="M608" s="34" t="s">
        <v>1445</v>
      </c>
      <c r="N608" s="34" t="s">
        <v>717</v>
      </c>
      <c r="O608" s="34" t="s">
        <v>717</v>
      </c>
      <c r="P608" s="34" t="s">
        <v>1446</v>
      </c>
      <c r="Q608" s="34" t="s">
        <v>1446</v>
      </c>
      <c r="R608" s="34" t="s">
        <v>1447</v>
      </c>
      <c r="S608" s="34" t="s">
        <v>1447</v>
      </c>
      <c r="T608" s="34" t="s">
        <v>757</v>
      </c>
      <c r="U608" s="34" t="s">
        <v>757</v>
      </c>
      <c r="V608" s="37">
        <v>7.37</v>
      </c>
      <c r="W608" s="45">
        <v>1645.05</v>
      </c>
      <c r="X608" s="37">
        <v>22220.9</v>
      </c>
      <c r="Y608" s="36">
        <v>43864</v>
      </c>
      <c r="Z608" s="34" t="s">
        <v>1448</v>
      </c>
    </row>
    <row r="609" spans="1:26" x14ac:dyDescent="0.25">
      <c r="A609" s="34" t="s">
        <v>1441</v>
      </c>
      <c r="B609" s="34" t="s">
        <v>1442</v>
      </c>
      <c r="C609" s="34" t="s">
        <v>16</v>
      </c>
      <c r="D609" s="34" t="s">
        <v>15</v>
      </c>
      <c r="E609" s="35">
        <v>30041287</v>
      </c>
      <c r="F609" s="34" t="s">
        <v>757</v>
      </c>
      <c r="G609" s="39">
        <v>10081652</v>
      </c>
      <c r="H609" s="42">
        <v>30041287</v>
      </c>
      <c r="I609" s="34" t="s">
        <v>633</v>
      </c>
      <c r="J609" s="34" t="s">
        <v>1443</v>
      </c>
      <c r="K609" s="36">
        <v>43788</v>
      </c>
      <c r="L609" s="34" t="s">
        <v>1444</v>
      </c>
      <c r="M609" s="34" t="s">
        <v>1445</v>
      </c>
      <c r="N609" s="34" t="s">
        <v>717</v>
      </c>
      <c r="O609" s="34" t="s">
        <v>717</v>
      </c>
      <c r="P609" s="34" t="s">
        <v>1466</v>
      </c>
      <c r="Q609" s="34" t="s">
        <v>1466</v>
      </c>
      <c r="R609" s="34" t="s">
        <v>1467</v>
      </c>
      <c r="S609" s="34" t="s">
        <v>1467</v>
      </c>
      <c r="T609" s="34" t="s">
        <v>757</v>
      </c>
      <c r="U609" s="34" t="s">
        <v>757</v>
      </c>
      <c r="V609" s="37">
        <v>7.37</v>
      </c>
      <c r="W609" s="45">
        <v>1645.05</v>
      </c>
      <c r="X609" s="37">
        <v>22220.9</v>
      </c>
      <c r="Y609" s="36">
        <v>43864</v>
      </c>
      <c r="Z609" s="34" t="s">
        <v>1448</v>
      </c>
    </row>
    <row r="610" spans="1:26" x14ac:dyDescent="0.25">
      <c r="A610" s="34" t="s">
        <v>1441</v>
      </c>
      <c r="B610" s="34" t="s">
        <v>1442</v>
      </c>
      <c r="C610" s="34" t="s">
        <v>16</v>
      </c>
      <c r="D610" s="34" t="s">
        <v>15</v>
      </c>
      <c r="E610" s="35">
        <v>30041288</v>
      </c>
      <c r="F610" s="34" t="s">
        <v>757</v>
      </c>
      <c r="G610" s="39">
        <v>10081668</v>
      </c>
      <c r="H610" s="42">
        <v>30041288</v>
      </c>
      <c r="I610" s="34" t="s">
        <v>634</v>
      </c>
      <c r="J610" s="34" t="s">
        <v>1443</v>
      </c>
      <c r="K610" s="36">
        <v>43788</v>
      </c>
      <c r="L610" s="34" t="s">
        <v>1444</v>
      </c>
      <c r="M610" s="34" t="s">
        <v>1445</v>
      </c>
      <c r="N610" s="34" t="s">
        <v>717</v>
      </c>
      <c r="O610" s="34" t="s">
        <v>717</v>
      </c>
      <c r="P610" s="34" t="s">
        <v>1466</v>
      </c>
      <c r="Q610" s="34" t="s">
        <v>1466</v>
      </c>
      <c r="R610" s="34" t="s">
        <v>1467</v>
      </c>
      <c r="S610" s="34" t="s">
        <v>1467</v>
      </c>
      <c r="T610" s="34" t="s">
        <v>757</v>
      </c>
      <c r="U610" s="34" t="s">
        <v>757</v>
      </c>
      <c r="V610" s="37">
        <v>7.37</v>
      </c>
      <c r="W610" s="45">
        <v>1645.05</v>
      </c>
      <c r="X610" s="37">
        <v>22220.9</v>
      </c>
      <c r="Y610" s="36">
        <v>43864</v>
      </c>
      <c r="Z610" s="34" t="s">
        <v>1448</v>
      </c>
    </row>
    <row r="611" spans="1:26" x14ac:dyDescent="0.25">
      <c r="A611" s="34" t="s">
        <v>1441</v>
      </c>
      <c r="B611" s="34" t="s">
        <v>1442</v>
      </c>
      <c r="C611" s="34" t="s">
        <v>16</v>
      </c>
      <c r="D611" s="34" t="s">
        <v>15</v>
      </c>
      <c r="E611" s="35">
        <v>30041289</v>
      </c>
      <c r="F611" s="34" t="s">
        <v>757</v>
      </c>
      <c r="G611" s="39">
        <v>10081670</v>
      </c>
      <c r="H611" s="42">
        <v>30041289</v>
      </c>
      <c r="I611" s="34" t="s">
        <v>635</v>
      </c>
      <c r="J611" s="34" t="s">
        <v>1443</v>
      </c>
      <c r="K611" s="36">
        <v>43788</v>
      </c>
      <c r="L611" s="34" t="s">
        <v>1444</v>
      </c>
      <c r="M611" s="34" t="s">
        <v>1445</v>
      </c>
      <c r="N611" s="34" t="s">
        <v>717</v>
      </c>
      <c r="O611" s="34" t="s">
        <v>717</v>
      </c>
      <c r="P611" s="34" t="s">
        <v>1486</v>
      </c>
      <c r="Q611" s="34" t="s">
        <v>1486</v>
      </c>
      <c r="R611" s="34" t="s">
        <v>1487</v>
      </c>
      <c r="S611" s="34" t="s">
        <v>1487</v>
      </c>
      <c r="T611" s="34" t="s">
        <v>757</v>
      </c>
      <c r="U611" s="34" t="s">
        <v>757</v>
      </c>
      <c r="V611" s="37">
        <v>7.37</v>
      </c>
      <c r="W611" s="45">
        <v>1645.05</v>
      </c>
      <c r="X611" s="37">
        <v>22220.9</v>
      </c>
      <c r="Y611" s="36">
        <v>43864</v>
      </c>
      <c r="Z611" s="34" t="s">
        <v>1448</v>
      </c>
    </row>
    <row r="612" spans="1:26" x14ac:dyDescent="0.25">
      <c r="A612" s="34" t="s">
        <v>1441</v>
      </c>
      <c r="B612" s="34" t="s">
        <v>1442</v>
      </c>
      <c r="C612" s="34" t="s">
        <v>16</v>
      </c>
      <c r="D612" s="34" t="s">
        <v>15</v>
      </c>
      <c r="E612" s="35">
        <v>30041290</v>
      </c>
      <c r="F612" s="34" t="s">
        <v>757</v>
      </c>
      <c r="G612" s="39">
        <v>10081671</v>
      </c>
      <c r="H612" s="42">
        <v>30041290</v>
      </c>
      <c r="I612" s="34" t="s">
        <v>636</v>
      </c>
      <c r="J612" s="34" t="s">
        <v>1443</v>
      </c>
      <c r="K612" s="36">
        <v>43788</v>
      </c>
      <c r="L612" s="34" t="s">
        <v>1444</v>
      </c>
      <c r="M612" s="34" t="s">
        <v>1445</v>
      </c>
      <c r="N612" s="34" t="s">
        <v>717</v>
      </c>
      <c r="O612" s="34" t="s">
        <v>717</v>
      </c>
      <c r="P612" s="34" t="s">
        <v>1456</v>
      </c>
      <c r="Q612" s="34" t="s">
        <v>1456</v>
      </c>
      <c r="R612" s="34" t="s">
        <v>1457</v>
      </c>
      <c r="S612" s="34" t="s">
        <v>1457</v>
      </c>
      <c r="T612" s="34" t="s">
        <v>757</v>
      </c>
      <c r="U612" s="34" t="s">
        <v>757</v>
      </c>
      <c r="V612" s="37">
        <v>7.37</v>
      </c>
      <c r="W612" s="45">
        <v>1645.05</v>
      </c>
      <c r="X612" s="37">
        <v>22220.9</v>
      </c>
      <c r="Y612" s="36">
        <v>43864</v>
      </c>
      <c r="Z612" s="34" t="s">
        <v>1448</v>
      </c>
    </row>
    <row r="613" spans="1:26" x14ac:dyDescent="0.25">
      <c r="A613" s="34" t="s">
        <v>1441</v>
      </c>
      <c r="B613" s="34" t="s">
        <v>1442</v>
      </c>
      <c r="C613" s="34" t="s">
        <v>16</v>
      </c>
      <c r="D613" s="34" t="s">
        <v>15</v>
      </c>
      <c r="E613" s="35">
        <v>30041291</v>
      </c>
      <c r="F613" s="34" t="s">
        <v>757</v>
      </c>
      <c r="G613" s="39">
        <v>10081673</v>
      </c>
      <c r="H613" s="42">
        <v>30041291</v>
      </c>
      <c r="I613" s="34" t="s">
        <v>637</v>
      </c>
      <c r="J613" s="34" t="s">
        <v>1443</v>
      </c>
      <c r="K613" s="36">
        <v>43788</v>
      </c>
      <c r="L613" s="34" t="s">
        <v>1444</v>
      </c>
      <c r="M613" s="34" t="s">
        <v>1445</v>
      </c>
      <c r="N613" s="34" t="s">
        <v>717</v>
      </c>
      <c r="O613" s="34" t="s">
        <v>717</v>
      </c>
      <c r="P613" s="34" t="s">
        <v>1486</v>
      </c>
      <c r="Q613" s="34" t="s">
        <v>1486</v>
      </c>
      <c r="R613" s="34" t="s">
        <v>1487</v>
      </c>
      <c r="S613" s="34" t="s">
        <v>1487</v>
      </c>
      <c r="T613" s="34" t="s">
        <v>757</v>
      </c>
      <c r="U613" s="34" t="s">
        <v>757</v>
      </c>
      <c r="V613" s="37">
        <v>7.37</v>
      </c>
      <c r="W613" s="45">
        <v>1645.05</v>
      </c>
      <c r="X613" s="37">
        <v>22220.9</v>
      </c>
      <c r="Y613" s="36">
        <v>43864</v>
      </c>
      <c r="Z613" s="34" t="s">
        <v>1448</v>
      </c>
    </row>
    <row r="614" spans="1:26" x14ac:dyDescent="0.25">
      <c r="A614" s="34" t="s">
        <v>1441</v>
      </c>
      <c r="B614" s="34" t="s">
        <v>1442</v>
      </c>
      <c r="C614" s="34" t="s">
        <v>16</v>
      </c>
      <c r="D614" s="34" t="s">
        <v>15</v>
      </c>
      <c r="E614" s="35">
        <v>30041292</v>
      </c>
      <c r="F614" s="34" t="s">
        <v>757</v>
      </c>
      <c r="G614" s="39">
        <v>10081677</v>
      </c>
      <c r="H614" s="42">
        <v>30041292</v>
      </c>
      <c r="I614" s="34" t="s">
        <v>638</v>
      </c>
      <c r="J614" s="34" t="s">
        <v>1443</v>
      </c>
      <c r="K614" s="36">
        <v>43788</v>
      </c>
      <c r="L614" s="34" t="s">
        <v>1444</v>
      </c>
      <c r="M614" s="34" t="s">
        <v>1445</v>
      </c>
      <c r="N614" s="34" t="s">
        <v>717</v>
      </c>
      <c r="O614" s="34" t="s">
        <v>717</v>
      </c>
      <c r="P614" s="34" t="s">
        <v>1446</v>
      </c>
      <c r="Q614" s="34" t="s">
        <v>1446</v>
      </c>
      <c r="R614" s="34" t="s">
        <v>1447</v>
      </c>
      <c r="S614" s="34" t="s">
        <v>1447</v>
      </c>
      <c r="T614" s="34" t="s">
        <v>757</v>
      </c>
      <c r="U614" s="34" t="s">
        <v>757</v>
      </c>
      <c r="V614" s="37">
        <v>7.37</v>
      </c>
      <c r="W614" s="45">
        <v>1645.05</v>
      </c>
      <c r="X614" s="37">
        <v>22220.9</v>
      </c>
      <c r="Y614" s="36">
        <v>43864</v>
      </c>
      <c r="Z614" s="34" t="s">
        <v>1448</v>
      </c>
    </row>
    <row r="615" spans="1:26" x14ac:dyDescent="0.25">
      <c r="A615" s="34" t="s">
        <v>1441</v>
      </c>
      <c r="B615" s="34" t="s">
        <v>1442</v>
      </c>
      <c r="C615" s="34" t="s">
        <v>16</v>
      </c>
      <c r="D615" s="34" t="s">
        <v>15</v>
      </c>
      <c r="E615" s="35">
        <v>30041293</v>
      </c>
      <c r="F615" s="34" t="s">
        <v>757</v>
      </c>
      <c r="G615" s="39">
        <v>10081679</v>
      </c>
      <c r="H615" s="42">
        <v>30041293</v>
      </c>
      <c r="I615" s="34" t="s">
        <v>639</v>
      </c>
      <c r="J615" s="34" t="s">
        <v>1443</v>
      </c>
      <c r="K615" s="36">
        <v>43788</v>
      </c>
      <c r="L615" s="34" t="s">
        <v>1444</v>
      </c>
      <c r="M615" s="34" t="s">
        <v>1445</v>
      </c>
      <c r="N615" s="34" t="s">
        <v>717</v>
      </c>
      <c r="O615" s="34" t="s">
        <v>717</v>
      </c>
      <c r="P615" s="34" t="s">
        <v>1446</v>
      </c>
      <c r="Q615" s="34" t="s">
        <v>1446</v>
      </c>
      <c r="R615" s="34" t="s">
        <v>1447</v>
      </c>
      <c r="S615" s="34" t="s">
        <v>1447</v>
      </c>
      <c r="T615" s="34" t="s">
        <v>757</v>
      </c>
      <c r="U615" s="34" t="s">
        <v>757</v>
      </c>
      <c r="V615" s="37">
        <v>7.37</v>
      </c>
      <c r="W615" s="45">
        <v>1645.05</v>
      </c>
      <c r="X615" s="37">
        <v>22220.9</v>
      </c>
      <c r="Y615" s="36">
        <v>43864</v>
      </c>
      <c r="Z615" s="34" t="s">
        <v>1448</v>
      </c>
    </row>
    <row r="616" spans="1:26" x14ac:dyDescent="0.25">
      <c r="A616" s="34" t="s">
        <v>1441</v>
      </c>
      <c r="B616" s="34" t="s">
        <v>1442</v>
      </c>
      <c r="C616" s="34" t="s">
        <v>16</v>
      </c>
      <c r="D616" s="34" t="s">
        <v>15</v>
      </c>
      <c r="E616" s="35">
        <v>30041294</v>
      </c>
      <c r="F616" s="34" t="s">
        <v>757</v>
      </c>
      <c r="G616" s="39">
        <v>10081680</v>
      </c>
      <c r="H616" s="42">
        <v>30041294</v>
      </c>
      <c r="I616" s="34" t="s">
        <v>640</v>
      </c>
      <c r="J616" s="34" t="s">
        <v>1443</v>
      </c>
      <c r="K616" s="36">
        <v>43788</v>
      </c>
      <c r="L616" s="34" t="s">
        <v>1444</v>
      </c>
      <c r="M616" s="34" t="s">
        <v>1445</v>
      </c>
      <c r="N616" s="34" t="s">
        <v>717</v>
      </c>
      <c r="O616" s="34" t="s">
        <v>717</v>
      </c>
      <c r="P616" s="34" t="s">
        <v>1462</v>
      </c>
      <c r="Q616" s="34" t="s">
        <v>1462</v>
      </c>
      <c r="R616" s="34" t="s">
        <v>1478</v>
      </c>
      <c r="S616" s="34" t="s">
        <v>1478</v>
      </c>
      <c r="T616" s="34" t="s">
        <v>757</v>
      </c>
      <c r="U616" s="34" t="s">
        <v>757</v>
      </c>
      <c r="V616" s="37">
        <v>7.37</v>
      </c>
      <c r="W616" s="45">
        <v>1645.05</v>
      </c>
      <c r="X616" s="37">
        <v>22220.9</v>
      </c>
      <c r="Y616" s="36">
        <v>43864</v>
      </c>
      <c r="Z616" s="34" t="s">
        <v>1448</v>
      </c>
    </row>
    <row r="617" spans="1:26" x14ac:dyDescent="0.25">
      <c r="A617" s="34" t="s">
        <v>1441</v>
      </c>
      <c r="B617" s="34" t="s">
        <v>1442</v>
      </c>
      <c r="C617" s="34" t="s">
        <v>16</v>
      </c>
      <c r="D617" s="34" t="s">
        <v>15</v>
      </c>
      <c r="E617" s="35">
        <v>30041295</v>
      </c>
      <c r="F617" s="34" t="s">
        <v>757</v>
      </c>
      <c r="G617" s="39">
        <v>10081732</v>
      </c>
      <c r="H617" s="42">
        <v>30041295</v>
      </c>
      <c r="I617" s="34" t="s">
        <v>641</v>
      </c>
      <c r="J617" s="34" t="s">
        <v>1443</v>
      </c>
      <c r="K617" s="36">
        <v>43805</v>
      </c>
      <c r="L617" s="34" t="s">
        <v>1444</v>
      </c>
      <c r="M617" s="34" t="s">
        <v>1445</v>
      </c>
      <c r="N617" s="34" t="s">
        <v>717</v>
      </c>
      <c r="O617" s="34" t="s">
        <v>717</v>
      </c>
      <c r="P617" s="34" t="s">
        <v>1470</v>
      </c>
      <c r="Q617" s="34" t="s">
        <v>1470</v>
      </c>
      <c r="R617" s="34" t="s">
        <v>1511</v>
      </c>
      <c r="S617" s="34" t="s">
        <v>1511</v>
      </c>
      <c r="T617" s="34" t="s">
        <v>757</v>
      </c>
      <c r="U617" s="34" t="s">
        <v>757</v>
      </c>
      <c r="V617" s="37">
        <v>7.37</v>
      </c>
      <c r="W617" s="45">
        <v>1645.05</v>
      </c>
      <c r="X617" s="37">
        <v>22220.9</v>
      </c>
      <c r="Y617" s="36">
        <v>43864</v>
      </c>
      <c r="Z617" s="34" t="s">
        <v>1448</v>
      </c>
    </row>
    <row r="618" spans="1:26" x14ac:dyDescent="0.25">
      <c r="A618" s="34" t="s">
        <v>1441</v>
      </c>
      <c r="B618" s="34" t="s">
        <v>1442</v>
      </c>
      <c r="C618" s="34" t="s">
        <v>16</v>
      </c>
      <c r="D618" s="34" t="s">
        <v>15</v>
      </c>
      <c r="E618" s="35">
        <v>30041296</v>
      </c>
      <c r="F618" s="34" t="s">
        <v>757</v>
      </c>
      <c r="G618" s="39">
        <v>10081733</v>
      </c>
      <c r="H618" s="42">
        <v>30041296</v>
      </c>
      <c r="I618" s="34" t="s">
        <v>642</v>
      </c>
      <c r="J618" s="34" t="s">
        <v>1443</v>
      </c>
      <c r="K618" s="36">
        <v>43805</v>
      </c>
      <c r="L618" s="34" t="s">
        <v>1444</v>
      </c>
      <c r="M618" s="34" t="s">
        <v>1445</v>
      </c>
      <c r="N618" s="34" t="s">
        <v>717</v>
      </c>
      <c r="O618" s="34" t="s">
        <v>717</v>
      </c>
      <c r="P618" s="34" t="s">
        <v>1470</v>
      </c>
      <c r="Q618" s="34" t="s">
        <v>1470</v>
      </c>
      <c r="R618" s="34" t="s">
        <v>1511</v>
      </c>
      <c r="S618" s="34" t="s">
        <v>1511</v>
      </c>
      <c r="T618" s="34" t="s">
        <v>757</v>
      </c>
      <c r="U618" s="34" t="s">
        <v>757</v>
      </c>
      <c r="V618" s="37">
        <v>7.37</v>
      </c>
      <c r="W618" s="45">
        <v>1645.05</v>
      </c>
      <c r="X618" s="37">
        <v>22220.9</v>
      </c>
      <c r="Y618" s="36">
        <v>43864</v>
      </c>
      <c r="Z618" s="34" t="s">
        <v>1448</v>
      </c>
    </row>
    <row r="619" spans="1:26" x14ac:dyDescent="0.25">
      <c r="A619" s="34" t="s">
        <v>1441</v>
      </c>
      <c r="B619" s="34" t="s">
        <v>1442</v>
      </c>
      <c r="C619" s="34" t="s">
        <v>16</v>
      </c>
      <c r="D619" s="34" t="s">
        <v>15</v>
      </c>
      <c r="E619" s="35">
        <v>30041297</v>
      </c>
      <c r="F619" s="34" t="s">
        <v>757</v>
      </c>
      <c r="G619" s="39">
        <v>10081734</v>
      </c>
      <c r="H619" s="42">
        <v>30041297</v>
      </c>
      <c r="I619" s="34" t="s">
        <v>643</v>
      </c>
      <c r="J619" s="34" t="s">
        <v>1443</v>
      </c>
      <c r="K619" s="36">
        <v>43805</v>
      </c>
      <c r="L619" s="34" t="s">
        <v>1444</v>
      </c>
      <c r="M619" s="34" t="s">
        <v>1445</v>
      </c>
      <c r="N619" s="34" t="s">
        <v>717</v>
      </c>
      <c r="O619" s="34" t="s">
        <v>717</v>
      </c>
      <c r="P619" s="34" t="s">
        <v>1470</v>
      </c>
      <c r="Q619" s="34" t="s">
        <v>1470</v>
      </c>
      <c r="R619" s="34" t="s">
        <v>1511</v>
      </c>
      <c r="S619" s="34" t="s">
        <v>1511</v>
      </c>
      <c r="T619" s="34" t="s">
        <v>757</v>
      </c>
      <c r="U619" s="34" t="s">
        <v>757</v>
      </c>
      <c r="V619" s="37">
        <v>7.37</v>
      </c>
      <c r="W619" s="45">
        <v>1645.05</v>
      </c>
      <c r="X619" s="37">
        <v>22220.9</v>
      </c>
      <c r="Y619" s="36">
        <v>43864</v>
      </c>
      <c r="Z619" s="34" t="s">
        <v>1448</v>
      </c>
    </row>
    <row r="620" spans="1:26" x14ac:dyDescent="0.25">
      <c r="A620" s="34" t="s">
        <v>1441</v>
      </c>
      <c r="B620" s="34" t="s">
        <v>1442</v>
      </c>
      <c r="C620" s="34" t="s">
        <v>16</v>
      </c>
      <c r="D620" s="34" t="s">
        <v>15</v>
      </c>
      <c r="E620" s="35">
        <v>30041298</v>
      </c>
      <c r="F620" s="34" t="s">
        <v>757</v>
      </c>
      <c r="G620" s="39">
        <v>10081735</v>
      </c>
      <c r="H620" s="42">
        <v>30041298</v>
      </c>
      <c r="I620" s="34" t="s">
        <v>644</v>
      </c>
      <c r="J620" s="34" t="s">
        <v>1443</v>
      </c>
      <c r="K620" s="36">
        <v>43805</v>
      </c>
      <c r="L620" s="34" t="s">
        <v>1444</v>
      </c>
      <c r="M620" s="34" t="s">
        <v>1445</v>
      </c>
      <c r="N620" s="34" t="s">
        <v>717</v>
      </c>
      <c r="O620" s="34" t="s">
        <v>717</v>
      </c>
      <c r="P620" s="34" t="s">
        <v>1470</v>
      </c>
      <c r="Q620" s="34" t="s">
        <v>1470</v>
      </c>
      <c r="R620" s="34" t="s">
        <v>1511</v>
      </c>
      <c r="S620" s="34" t="s">
        <v>1511</v>
      </c>
      <c r="T620" s="34" t="s">
        <v>757</v>
      </c>
      <c r="U620" s="34" t="s">
        <v>757</v>
      </c>
      <c r="V620" s="37">
        <v>7.37</v>
      </c>
      <c r="W620" s="45">
        <v>1645.05</v>
      </c>
      <c r="X620" s="37">
        <v>22220.9</v>
      </c>
      <c r="Y620" s="36">
        <v>43864</v>
      </c>
      <c r="Z620" s="34" t="s">
        <v>1448</v>
      </c>
    </row>
    <row r="621" spans="1:26" x14ac:dyDescent="0.25">
      <c r="A621" s="34" t="s">
        <v>1441</v>
      </c>
      <c r="B621" s="34" t="s">
        <v>1442</v>
      </c>
      <c r="C621" s="34" t="s">
        <v>16</v>
      </c>
      <c r="D621" s="34" t="s">
        <v>15</v>
      </c>
      <c r="E621" s="35">
        <v>30041299</v>
      </c>
      <c r="F621" s="34" t="s">
        <v>757</v>
      </c>
      <c r="G621" s="39">
        <v>10081736</v>
      </c>
      <c r="H621" s="42">
        <v>30041299</v>
      </c>
      <c r="I621" s="34" t="s">
        <v>645</v>
      </c>
      <c r="J621" s="34" t="s">
        <v>1443</v>
      </c>
      <c r="K621" s="36">
        <v>43805</v>
      </c>
      <c r="L621" s="34" t="s">
        <v>1444</v>
      </c>
      <c r="M621" s="34" t="s">
        <v>1445</v>
      </c>
      <c r="N621" s="34" t="s">
        <v>717</v>
      </c>
      <c r="O621" s="34" t="s">
        <v>717</v>
      </c>
      <c r="P621" s="34" t="s">
        <v>1462</v>
      </c>
      <c r="Q621" s="34" t="s">
        <v>1462</v>
      </c>
      <c r="R621" s="34" t="s">
        <v>1463</v>
      </c>
      <c r="S621" s="34" t="s">
        <v>1463</v>
      </c>
      <c r="T621" s="34" t="s">
        <v>757</v>
      </c>
      <c r="U621" s="34" t="s">
        <v>757</v>
      </c>
      <c r="V621" s="37">
        <v>7.37</v>
      </c>
      <c r="W621" s="45">
        <v>1645.05</v>
      </c>
      <c r="X621" s="37">
        <v>22220.9</v>
      </c>
      <c r="Y621" s="36">
        <v>43864</v>
      </c>
      <c r="Z621" s="34" t="s">
        <v>1448</v>
      </c>
    </row>
    <row r="622" spans="1:26" x14ac:dyDescent="0.25">
      <c r="A622" s="34" t="s">
        <v>1441</v>
      </c>
      <c r="B622" s="34" t="s">
        <v>1442</v>
      </c>
      <c r="C622" s="34" t="s">
        <v>16</v>
      </c>
      <c r="D622" s="34" t="s">
        <v>15</v>
      </c>
      <c r="E622" s="35">
        <v>30041300</v>
      </c>
      <c r="F622" s="34" t="s">
        <v>757</v>
      </c>
      <c r="G622" s="39">
        <v>10081737</v>
      </c>
      <c r="H622" s="42">
        <v>30041300</v>
      </c>
      <c r="I622" s="34" t="s">
        <v>646</v>
      </c>
      <c r="J622" s="34" t="s">
        <v>1443</v>
      </c>
      <c r="K622" s="36">
        <v>43805</v>
      </c>
      <c r="L622" s="34" t="s">
        <v>1444</v>
      </c>
      <c r="M622" s="34" t="s">
        <v>1445</v>
      </c>
      <c r="N622" s="34" t="s">
        <v>717</v>
      </c>
      <c r="O622" s="34" t="s">
        <v>717</v>
      </c>
      <c r="P622" s="34" t="s">
        <v>1462</v>
      </c>
      <c r="Q622" s="34" t="s">
        <v>1462</v>
      </c>
      <c r="R622" s="34" t="s">
        <v>1463</v>
      </c>
      <c r="S622" s="34" t="s">
        <v>1463</v>
      </c>
      <c r="T622" s="34" t="s">
        <v>757</v>
      </c>
      <c r="U622" s="34" t="s">
        <v>757</v>
      </c>
      <c r="V622" s="37">
        <v>7.37</v>
      </c>
      <c r="W622" s="45">
        <v>1645.05</v>
      </c>
      <c r="X622" s="37">
        <v>22220.9</v>
      </c>
      <c r="Y622" s="36">
        <v>43864</v>
      </c>
      <c r="Z622" s="34" t="s">
        <v>1448</v>
      </c>
    </row>
    <row r="623" spans="1:26" x14ac:dyDescent="0.25">
      <c r="A623" s="34" t="s">
        <v>1441</v>
      </c>
      <c r="B623" s="34" t="s">
        <v>1442</v>
      </c>
      <c r="C623" s="34" t="s">
        <v>16</v>
      </c>
      <c r="D623" s="34" t="s">
        <v>15</v>
      </c>
      <c r="E623" s="35">
        <v>30041301</v>
      </c>
      <c r="F623" s="34" t="s">
        <v>757</v>
      </c>
      <c r="G623" s="39">
        <v>10081738</v>
      </c>
      <c r="H623" s="42">
        <v>30041301</v>
      </c>
      <c r="I623" s="34" t="s">
        <v>647</v>
      </c>
      <c r="J623" s="34" t="s">
        <v>1443</v>
      </c>
      <c r="K623" s="36">
        <v>43805</v>
      </c>
      <c r="L623" s="34" t="s">
        <v>1444</v>
      </c>
      <c r="M623" s="34" t="s">
        <v>1445</v>
      </c>
      <c r="N623" s="34" t="s">
        <v>717</v>
      </c>
      <c r="O623" s="34" t="s">
        <v>717</v>
      </c>
      <c r="P623" s="34" t="s">
        <v>1462</v>
      </c>
      <c r="Q623" s="34" t="s">
        <v>1462</v>
      </c>
      <c r="R623" s="34" t="s">
        <v>1463</v>
      </c>
      <c r="S623" s="34" t="s">
        <v>1463</v>
      </c>
      <c r="T623" s="34" t="s">
        <v>757</v>
      </c>
      <c r="U623" s="34" t="s">
        <v>757</v>
      </c>
      <c r="V623" s="37">
        <v>7.37</v>
      </c>
      <c r="W623" s="45">
        <v>1645.05</v>
      </c>
      <c r="X623" s="37">
        <v>22220.9</v>
      </c>
      <c r="Y623" s="36">
        <v>43864</v>
      </c>
      <c r="Z623" s="34" t="s">
        <v>1448</v>
      </c>
    </row>
    <row r="624" spans="1:26" x14ac:dyDescent="0.25">
      <c r="A624" s="34" t="s">
        <v>1441</v>
      </c>
      <c r="B624" s="34" t="s">
        <v>1442</v>
      </c>
      <c r="C624" s="34" t="s">
        <v>16</v>
      </c>
      <c r="D624" s="34" t="s">
        <v>15</v>
      </c>
      <c r="E624" s="35">
        <v>30041302</v>
      </c>
      <c r="F624" s="34" t="s">
        <v>757</v>
      </c>
      <c r="G624" s="39">
        <v>10081740</v>
      </c>
      <c r="H624" s="42">
        <v>30041302</v>
      </c>
      <c r="I624" s="34" t="s">
        <v>648</v>
      </c>
      <c r="J624" s="34" t="s">
        <v>1443</v>
      </c>
      <c r="K624" s="36">
        <v>43805</v>
      </c>
      <c r="L624" s="34" t="s">
        <v>1444</v>
      </c>
      <c r="M624" s="34" t="s">
        <v>1445</v>
      </c>
      <c r="N624" s="34" t="s">
        <v>717</v>
      </c>
      <c r="O624" s="34" t="s">
        <v>717</v>
      </c>
      <c r="P624" s="34" t="s">
        <v>1474</v>
      </c>
      <c r="Q624" s="34" t="s">
        <v>1474</v>
      </c>
      <c r="R624" s="34" t="s">
        <v>1475</v>
      </c>
      <c r="S624" s="34" t="s">
        <v>1475</v>
      </c>
      <c r="T624" s="34" t="s">
        <v>757</v>
      </c>
      <c r="U624" s="34" t="s">
        <v>757</v>
      </c>
      <c r="V624" s="37">
        <v>7.37</v>
      </c>
      <c r="W624" s="45">
        <v>1645.05</v>
      </c>
      <c r="X624" s="37">
        <v>22220.9</v>
      </c>
      <c r="Y624" s="36">
        <v>43864</v>
      </c>
      <c r="Z624" s="34" t="s">
        <v>1448</v>
      </c>
    </row>
    <row r="625" spans="1:26" x14ac:dyDescent="0.25">
      <c r="A625" s="34" t="s">
        <v>1441</v>
      </c>
      <c r="B625" s="34" t="s">
        <v>1442</v>
      </c>
      <c r="C625" s="34" t="s">
        <v>16</v>
      </c>
      <c r="D625" s="34" t="s">
        <v>15</v>
      </c>
      <c r="E625" s="35">
        <v>30041303</v>
      </c>
      <c r="F625" s="34" t="s">
        <v>757</v>
      </c>
      <c r="G625" s="39">
        <v>10081742</v>
      </c>
      <c r="H625" s="42">
        <v>30041303</v>
      </c>
      <c r="I625" s="34" t="s">
        <v>649</v>
      </c>
      <c r="J625" s="34" t="s">
        <v>1443</v>
      </c>
      <c r="K625" s="36">
        <v>43805</v>
      </c>
      <c r="L625" s="34" t="s">
        <v>1444</v>
      </c>
      <c r="M625" s="34" t="s">
        <v>1445</v>
      </c>
      <c r="N625" s="34" t="s">
        <v>717</v>
      </c>
      <c r="O625" s="34" t="s">
        <v>717</v>
      </c>
      <c r="P625" s="34" t="s">
        <v>1470</v>
      </c>
      <c r="Q625" s="34" t="s">
        <v>1470</v>
      </c>
      <c r="R625" s="34" t="s">
        <v>1511</v>
      </c>
      <c r="S625" s="34" t="s">
        <v>1511</v>
      </c>
      <c r="T625" s="34" t="s">
        <v>757</v>
      </c>
      <c r="U625" s="34" t="s">
        <v>757</v>
      </c>
      <c r="V625" s="37">
        <v>7.37</v>
      </c>
      <c r="W625" s="45">
        <v>1645.05</v>
      </c>
      <c r="X625" s="37">
        <v>22220.9</v>
      </c>
      <c r="Y625" s="36">
        <v>43864</v>
      </c>
      <c r="Z625" s="34" t="s">
        <v>1448</v>
      </c>
    </row>
    <row r="626" spans="1:26" x14ac:dyDescent="0.25">
      <c r="A626" s="34" t="s">
        <v>1441</v>
      </c>
      <c r="B626" s="34" t="s">
        <v>1442</v>
      </c>
      <c r="C626" s="34" t="s">
        <v>16</v>
      </c>
      <c r="D626" s="34" t="s">
        <v>15</v>
      </c>
      <c r="E626" s="35">
        <v>30041304</v>
      </c>
      <c r="F626" s="34" t="s">
        <v>757</v>
      </c>
      <c r="G626" s="39">
        <v>10081783</v>
      </c>
      <c r="H626" s="42">
        <v>30041304</v>
      </c>
      <c r="I626" s="34" t="s">
        <v>650</v>
      </c>
      <c r="J626" s="34" t="s">
        <v>1443</v>
      </c>
      <c r="K626" s="36">
        <v>43809</v>
      </c>
      <c r="L626" s="34" t="s">
        <v>1444</v>
      </c>
      <c r="M626" s="34" t="s">
        <v>1445</v>
      </c>
      <c r="N626" s="34" t="s">
        <v>717</v>
      </c>
      <c r="O626" s="34" t="s">
        <v>717</v>
      </c>
      <c r="P626" s="34" t="s">
        <v>1462</v>
      </c>
      <c r="Q626" s="34" t="s">
        <v>1462</v>
      </c>
      <c r="R626" s="34" t="s">
        <v>1478</v>
      </c>
      <c r="S626" s="34" t="s">
        <v>1478</v>
      </c>
      <c r="T626" s="34" t="s">
        <v>757</v>
      </c>
      <c r="U626" s="34" t="s">
        <v>757</v>
      </c>
      <c r="V626" s="37">
        <v>7.37</v>
      </c>
      <c r="W626" s="45">
        <v>1645.05</v>
      </c>
      <c r="X626" s="37">
        <v>22220.9</v>
      </c>
      <c r="Y626" s="36">
        <v>43864</v>
      </c>
      <c r="Z626" s="34" t="s">
        <v>1448</v>
      </c>
    </row>
    <row r="627" spans="1:26" x14ac:dyDescent="0.25">
      <c r="A627" s="34" t="s">
        <v>1441</v>
      </c>
      <c r="B627" s="34" t="s">
        <v>1442</v>
      </c>
      <c r="C627" s="34" t="s">
        <v>16</v>
      </c>
      <c r="D627" s="34" t="s">
        <v>15</v>
      </c>
      <c r="E627" s="35">
        <v>30041305</v>
      </c>
      <c r="F627" s="34" t="s">
        <v>757</v>
      </c>
      <c r="G627" s="39">
        <v>10081785</v>
      </c>
      <c r="H627" s="42">
        <v>30041305</v>
      </c>
      <c r="I627" s="34" t="s">
        <v>651</v>
      </c>
      <c r="J627" s="34" t="s">
        <v>1443</v>
      </c>
      <c r="K627" s="36">
        <v>43809</v>
      </c>
      <c r="L627" s="34" t="s">
        <v>1444</v>
      </c>
      <c r="M627" s="34" t="s">
        <v>1445</v>
      </c>
      <c r="N627" s="34" t="s">
        <v>717</v>
      </c>
      <c r="O627" s="34" t="s">
        <v>717</v>
      </c>
      <c r="P627" s="34" t="s">
        <v>1462</v>
      </c>
      <c r="Q627" s="34" t="s">
        <v>1462</v>
      </c>
      <c r="R627" s="34" t="s">
        <v>1478</v>
      </c>
      <c r="S627" s="34" t="s">
        <v>1478</v>
      </c>
      <c r="T627" s="34" t="s">
        <v>757</v>
      </c>
      <c r="U627" s="34" t="s">
        <v>757</v>
      </c>
      <c r="V627" s="37">
        <v>7.37</v>
      </c>
      <c r="W627" s="45">
        <v>1645.05</v>
      </c>
      <c r="X627" s="37">
        <v>22220.9</v>
      </c>
      <c r="Y627" s="36">
        <v>43864</v>
      </c>
      <c r="Z627" s="34" t="s">
        <v>1448</v>
      </c>
    </row>
    <row r="628" spans="1:26" x14ac:dyDescent="0.25">
      <c r="A628" s="34" t="s">
        <v>1441</v>
      </c>
      <c r="B628" s="34" t="s">
        <v>1442</v>
      </c>
      <c r="C628" s="34" t="s">
        <v>16</v>
      </c>
      <c r="D628" s="34" t="s">
        <v>15</v>
      </c>
      <c r="E628" s="35">
        <v>30041306</v>
      </c>
      <c r="F628" s="34" t="s">
        <v>757</v>
      </c>
      <c r="G628" s="39">
        <v>10081852</v>
      </c>
      <c r="H628" s="42">
        <v>30041306</v>
      </c>
      <c r="I628" s="34" t="s">
        <v>652</v>
      </c>
      <c r="J628" s="34" t="s">
        <v>1443</v>
      </c>
      <c r="K628" s="36">
        <v>43817</v>
      </c>
      <c r="L628" s="34" t="s">
        <v>1444</v>
      </c>
      <c r="M628" s="34" t="s">
        <v>1445</v>
      </c>
      <c r="N628" s="34" t="s">
        <v>717</v>
      </c>
      <c r="O628" s="34" t="s">
        <v>717</v>
      </c>
      <c r="P628" s="34" t="s">
        <v>1449</v>
      </c>
      <c r="Q628" s="34" t="s">
        <v>1449</v>
      </c>
      <c r="R628" s="34" t="s">
        <v>1450</v>
      </c>
      <c r="S628" s="34" t="s">
        <v>1450</v>
      </c>
      <c r="T628" s="34" t="s">
        <v>757</v>
      </c>
      <c r="U628" s="34" t="s">
        <v>757</v>
      </c>
      <c r="V628" s="37">
        <v>7.37</v>
      </c>
      <c r="W628" s="45">
        <v>1645.05</v>
      </c>
      <c r="X628" s="37">
        <v>22220.9</v>
      </c>
      <c r="Y628" s="36">
        <v>43864</v>
      </c>
      <c r="Z628" s="34" t="s">
        <v>1448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80981224143F54FA5503392249B2F7F" ma:contentTypeVersion="13" ma:contentTypeDescription="Crie um novo documento." ma:contentTypeScope="" ma:versionID="d443b24347ad23eb67be560a7d54a904">
  <xsd:schema xmlns:xsd="http://www.w3.org/2001/XMLSchema" xmlns:xs="http://www.w3.org/2001/XMLSchema" xmlns:p="http://schemas.microsoft.com/office/2006/metadata/properties" xmlns:ns2="0abb5ab6-4e69-4f42-80f2-67d3dd6ff409" xmlns:ns3="c844437c-2cb1-4d5e-9060-53010c232dfe" targetNamespace="http://schemas.microsoft.com/office/2006/metadata/properties" ma:root="true" ma:fieldsID="f43eada78e137fab80267cd5b73ca90c" ns2:_="" ns3:_="">
    <xsd:import namespace="0abb5ab6-4e69-4f42-80f2-67d3dd6ff409"/>
    <xsd:import namespace="c844437c-2cb1-4d5e-9060-53010c232df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b5ab6-4e69-4f42-80f2-67d3dd6ff4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44437c-2cb1-4d5e-9060-53010c232d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Tipo de Conteúdo"/>
        <xsd:element ref="dc:title" minOccurs="0" maxOccurs="1" ma:index="3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76B4A8-C32C-4BFA-87D0-99CC016F3A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9AD3AA-6468-43E2-928B-247764DA86C0}">
  <ds:schemaRefs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c844437c-2cb1-4d5e-9060-53010c232dfe"/>
    <ds:schemaRef ds:uri="http://www.w3.org/XML/1998/namespace"/>
    <ds:schemaRef ds:uri="http://purl.org/dc/dcmitype/"/>
    <ds:schemaRef ds:uri="http://purl.org/dc/terms/"/>
    <ds:schemaRef ds:uri="http://schemas.openxmlformats.org/package/2006/metadata/core-properties"/>
    <ds:schemaRef ds:uri="0abb5ab6-4e69-4f42-80f2-67d3dd6ff40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D1A4A7E-32DD-434A-AAD7-F676AC2F92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bb5ab6-4e69-4f42-80f2-67d3dd6ff409"/>
    <ds:schemaRef ds:uri="c844437c-2cb1-4d5e-9060-53010c232d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Bdados</vt:lpstr>
      <vt:lpstr>Plan1</vt:lpstr>
      <vt:lpstr>base ZITRHR129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</dc:creator>
  <cp:lastModifiedBy>Duratex S.A.</cp:lastModifiedBy>
  <dcterms:created xsi:type="dcterms:W3CDTF">2018-09-04T19:00:26Z</dcterms:created>
  <dcterms:modified xsi:type="dcterms:W3CDTF">2020-02-03T20:58:43Z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0x010100980981224143F54FA5503392249B2F7F</vt:lpwstr>
  </property>
</Properties>
</file>